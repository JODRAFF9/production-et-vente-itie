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20"/>
  <workbookPr defaultThemeVersion="166925"/>
  <mc:AlternateContent xmlns:mc="http://schemas.openxmlformats.org/markup-compatibility/2006">
    <mc:Choice Requires="x15">
      <x15ac:absPath xmlns:x15ac="http://schemas.microsoft.com/office/spreadsheetml/2010/11/ac" url="C:\Users\Bmd\Documents\ISE\Cours\ISE3\Stage ITIE\rapports\donnée\"/>
    </mc:Choice>
  </mc:AlternateContent>
  <xr:revisionPtr revIDLastSave="0" documentId="13_ncr:1_{E32514AA-FBFA-4B34-B666-DC740824A9F3}" xr6:coauthVersionLast="47" xr6:coauthVersionMax="47" xr10:uidLastSave="{00000000-0000-0000-0000-000000000000}"/>
  <bookViews>
    <workbookView xWindow="-110" yWindow="-110" windowWidth="19420" windowHeight="10300" xr2:uid="{00000000-000D-0000-FFFF-FFFF00000000}"/>
  </bookViews>
  <sheets>
    <sheet name="Notes" sheetId="1" r:id="rId1"/>
    <sheet name="Production" sheetId="2" r:id="rId2"/>
    <sheet name="Exportation" sheetId="3" r:id="rId3"/>
    <sheet name="Paiements sociaux" sheetId="6" r:id="rId4"/>
    <sheet name="Emplois" sheetId="7" r:id="rId5"/>
    <sheet name="Flux financiers" sheetId="8" r:id="rId6"/>
  </sheets>
  <calcPr calcId="191029"/>
  <pivotCaches>
    <pivotCache cacheId="7"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L301" i="2" l="1"/>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N10" i="2" l="1"/>
  <c r="N11" i="2"/>
  <c r="N12" i="2"/>
  <c r="N13" i="2"/>
  <c r="N14" i="2"/>
  <c r="N15" i="2"/>
  <c r="N16" i="2"/>
  <c r="N17" i="2"/>
  <c r="N18" i="2"/>
  <c r="N19" i="2"/>
  <c r="N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ITIE</author>
  </authors>
  <commentList>
    <comment ref="F26" authorId="0" shapeId="0" xr:uid="{00000000-0006-0000-0100-000001000000}">
      <text>
        <r>
          <rPr>
            <sz val="11"/>
            <color theme="1"/>
            <rFont val="Calibri"/>
            <family val="2"/>
            <scheme val="minor"/>
          </rPr>
          <t>Valeur calculée sur la base de la valeur marchande déclarée par la société (rapport source 2014, astérisque en note de bas de tableau).</t>
        </r>
      </text>
    </comment>
    <comment ref="F27" authorId="0" shapeId="0" xr:uid="{00000000-0006-0000-0100-000002000000}">
      <text>
        <r>
          <rPr>
            <sz val="11"/>
            <color theme="1"/>
            <rFont val="Calibri"/>
            <family val="2"/>
            <scheme val="minor"/>
          </rPr>
          <t>Valeur calculée sur la base de la valeur marchande déclarée par la société (rapport source 2014, astérisque en note de bas de tableau).</t>
        </r>
      </text>
    </comment>
    <comment ref="F28" authorId="0" shapeId="0" xr:uid="{00000000-0006-0000-0100-000003000000}">
      <text>
        <r>
          <rPr>
            <sz val="11"/>
            <color theme="1"/>
            <rFont val="Calibri"/>
            <family val="2"/>
            <scheme val="minor"/>
          </rPr>
          <t>Valeur calculée sur la base de la valeur marchande déclarée par la société (rapport source 2014, astérisque en note de bas de tableau).</t>
        </r>
      </text>
    </comment>
    <comment ref="F30" authorId="0" shapeId="0" xr:uid="{00000000-0006-0000-0100-000004000000}">
      <text>
        <r>
          <rPr>
            <sz val="11"/>
            <color theme="1"/>
            <rFont val="Calibri"/>
            <family val="2"/>
            <scheme val="minor"/>
          </rPr>
          <t>Valeur calculée sur la base de la valeur marchande déclarée par la société (rapport source 2014, astérisque en note de bas de tableau).</t>
        </r>
      </text>
    </comment>
  </commentList>
</comments>
</file>

<file path=xl/sharedStrings.xml><?xml version="1.0" encoding="utf-8"?>
<sst xmlns="http://schemas.openxmlformats.org/spreadsheetml/2006/main" count="4878" uniqueCount="220">
  <si>
    <t>Notes méthodologiques - Données sur la production et les ventes (secteur minier)</t>
  </si>
  <si>
    <t>Portée</t>
  </si>
  <si>
    <t>Les feuilles "production" et "exportation" couvrent uniquement le secteur MINIER du Sénégal, de 2014 à 2024. Le secteur des hydrocarbures (pétrole, gaz, PETROSEN) n'est pas inclus.</t>
  </si>
  <si>
    <t>Sources par année</t>
  </si>
  <si>
    <t>2014 à 2018</t>
  </si>
  <si>
    <t>Annexe 9 "Données sur la production et les ventes/exportations" des rapports ITIE Sénégal annuels (tableau unique combinant production et exportation par société).</t>
  </si>
  <si>
    <t>2019 à 2021</t>
  </si>
  <si>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</si>
  <si>
    <t>2022</t>
  </si>
  <si>
    <t>Tableaux 46 (production) et 47 (exportations) du rapport ITIE Sénégal 2022.</t>
  </si>
  <si>
    <t>2023</t>
  </si>
  <si>
    <t>Tableaux 18 (production) et 19 (exportations) du rapport ITIE Sénégal 2023.</t>
  </si>
  <si>
    <t>2024</t>
  </si>
  <si>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</si>
  <si>
    <t>Conventions et codes utilisés</t>
  </si>
  <si>
    <t>NC</t>
  </si>
  <si>
    <t>Donnée non communiquée par la société ou l'administration (telle qu'indiquée dans le rapport source : "NC", "n/c", "N/C").</t>
  </si>
  <si>
    <t>N/A</t>
  </si>
  <si>
    <t>Sous-produit non destiné à la vente (utilisé comme intrant, par ex. pour la production de ciment), tel qu'indiqué dans le rapport source.</t>
  </si>
  <si>
    <t>Colonne "Devise" (feuille production)</t>
  </si>
  <si>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</si>
  <si>
    <t>Nombres avec virgule (ex. 12,5)</t>
  </si>
  <si>
    <t>Décimales telles que rapportées à la source (les rapports 2020-2021 expriment certaines valeurs de production en milliards de FCFA arrondis, converties ici en FCFA entiers).</t>
  </si>
  <si>
    <t>Harmonisation des noms de sociétés et de types de minerai</t>
  </si>
  <si>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</si>
  <si>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</si>
  <si>
    <t>Zircon</t>
  </si>
  <si>
    <t>Regroupe Zircon Premium, Zircon Standard, Medium Grade Zircon Sand, Zircon Co-Product, Minerais de zirconium, Zircon.</t>
  </si>
  <si>
    <t>Ilménite</t>
  </si>
  <si>
    <t>Regroupe Ilménite 54, Ilménite 56, Ilménite 58.</t>
  </si>
  <si>
    <t>Titane</t>
  </si>
  <si>
    <t>Regroupe Minerais de titane, Titane.</t>
  </si>
  <si>
    <t>Phosphate</t>
  </si>
  <si>
    <t>Regroupe Phosphate, Phosphate Naturel, Phosphate de chaux naturel, Phosphate tricalcique, Phosphate Sec Criblé, Rock Phosphate, Phosphate alumino-calcique naturel non moulu (grades/formes de minerai de phosphate brut).</t>
  </si>
  <si>
    <t>Engrais</t>
  </si>
  <si>
    <t>Regroupe Engrais, DAP (Phosphate Diammonique), DSP, NPK, Phosphate Mono Ammonique (produits finis de type engrais).</t>
  </si>
  <si>
    <t>Restent distincts</t>
  </si>
  <si>
    <t>Acide Phosphorique, Acide Sulfurique et Gypse (produits chimiques industriels, pas des grades de minerai brut ni des engrais), ainsi que "Sables minéralisés" (agrégat d'exportation regroupant plusieurs minerais GCO, propre à certaines années, non assimilable à un seul minerai).</t>
  </si>
  <si>
    <t>Après harmonisation complète : 22 sociétés distinctes et 32 types de minerai distincts sur les deux feuilles (contre respectivement 30 et une centaine de variantes avant harmonisation).</t>
  </si>
  <si>
    <t>Harmonisation des unités de volume/poids</t>
  </si>
  <si>
    <t>Les rapports sources expriment les quantités dans des unités différentes selon les années (Tonne, Kg, Gramme, MT, Once/Onces/Ounce, M3/Mètre cube...). Toutes les quantités ont été converties vers une seule unité par famille de minerai :</t>
  </si>
  <si>
    <t>Minerais bruts / matériaux (tout sauf Or et Argent)</t>
  </si>
  <si>
    <t>Unité cible : Tonne. Conversions : 1 Tonne = 1 000 Kg (Kg divisé par 1 000) ; "MT" (Metric Tonne) = Tonne (renommage, aucune conversion nécessaire).</t>
  </si>
  <si>
    <t>Or et Argent</t>
  </si>
  <si>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</si>
  <si>
    <t>Volumes (Mètre cube)</t>
  </si>
  <si>
    <t>Les quantités en M3/m3/Mètre cube n'ont PAS été converties en Tonne (densité du matériau inconnue et variable, une conversion aurait été arbitraire) ; seules les variantes orthographiques ont été unifiées sous "Mètre cube".</t>
  </si>
  <si>
    <t>Correction signalée : PMC Or/Argent 2018</t>
  </si>
  <si>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</si>
  <si>
    <t>Harmonisation des pays de destination</t>
  </si>
  <si>
    <t>Les rapports sources désignent parfois un même pays en anglais, en français, en majuscules ou avec des fautes de frappe selon l'année (ex : "China"/"CHINE"/"Chine", "Germany"/"ALLEMAGNE", "Ukranie"/"Ukraine"). Toutes ces variantes ont été unifiées sous un nom de pays canonique en français.</t>
  </si>
  <si>
    <t>Cas particuliers</t>
  </si>
  <si>
    <t>Angleterre / England / United Kingdom / Royaume Uni</t>
  </si>
  <si>
    <t>Unifiés sous "Royaume-Uni".</t>
  </si>
  <si>
    <t>Hollande / Netherlands / Pays Bas</t>
  </si>
  <si>
    <t>Unifiés sous "Pays-Bas".</t>
  </si>
  <si>
    <t>Switzerland</t>
  </si>
  <si>
    <t>Unifié sous "Suisse".</t>
  </si>
  <si>
    <t>Dubai / Dubaï / Emirats Arabes Unis</t>
  </si>
  <si>
    <t>Unifiés sous "Émirats Arabes Unis" (Dubai est utilisé comme raccourci du pays dans les rapports source).</t>
  </si>
  <si>
    <t>PARADIP INDIA / Lebanon - Beirut</t>
  </si>
  <si>
    <t>Simplifiés en "Inde" / "Liban" (le port ou la ville de destination indiqué par la source a été ramené au pays).</t>
  </si>
  <si>
    <t>Zone UEMOA / Zone hors UEMOA, Pays de l'OHADA / Pays hors l'OHADA, Locale, NC</t>
  </si>
  <si>
    <t>Conservés tels quels : ce ne sont pas des pays mais des zones économiques régionales, des ventes locales ou une donnée non communiquée.</t>
  </si>
  <si>
    <t>Espagne/Angleterre, Espagne/France, Espagne/Hollande, France / Pays bas</t>
  </si>
  <si>
    <t>Destinations combinées (transbordement via un pays intermédiaire) conservées telles quelles dans le rapport source 2014-2016 ; seule l'orthographe des pays et le séparateur ("/") ont été harmonisés (ex : "Espagne/Royaume-Uni").</t>
  </si>
  <si>
    <t>Greenwich</t>
  </si>
  <si>
    <t>Conservé tel quel (destination ambiguë du rapport 2016, non réinterprétée faute de certitude).</t>
  </si>
  <si>
    <t>Après harmonisation : 77 libellés de destination distincts sur la feuille exportation (contre environ 140 variantes avant harmonisation).</t>
  </si>
  <si>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</si>
  <si>
    <t>Année</t>
  </si>
  <si>
    <t>Société</t>
  </si>
  <si>
    <t>Type du minérai</t>
  </si>
  <si>
    <t>Unité</t>
  </si>
  <si>
    <t>Volume produit</t>
  </si>
  <si>
    <t>Valeur produite (FCFA)</t>
  </si>
  <si>
    <t>Devise</t>
  </si>
  <si>
    <t>SOCOCIM</t>
  </si>
  <si>
    <t>Marno-Calcaire</t>
  </si>
  <si>
    <t>Tonne</t>
  </si>
  <si>
    <t>FCFA</t>
  </si>
  <si>
    <t>Calcaire</t>
  </si>
  <si>
    <t>Ciment</t>
  </si>
  <si>
    <t>SGO</t>
  </si>
  <si>
    <t>Or</t>
  </si>
  <si>
    <t>Argent</t>
  </si>
  <si>
    <t>CDS</t>
  </si>
  <si>
    <t>Argile</t>
  </si>
  <si>
    <t>Latérite</t>
  </si>
  <si>
    <t>GCO</t>
  </si>
  <si>
    <t>USD</t>
  </si>
  <si>
    <t>Rutile</t>
  </si>
  <si>
    <t>Leucoxène</t>
  </si>
  <si>
    <t>SSPT</t>
  </si>
  <si>
    <t>Attapulgite</t>
  </si>
  <si>
    <t>ICS</t>
  </si>
  <si>
    <t>DANGOTE</t>
  </si>
  <si>
    <t>Clinker</t>
  </si>
  <si>
    <t>SOMIVA</t>
  </si>
  <si>
    <t>SEPHOS</t>
  </si>
  <si>
    <t>AIG</t>
  </si>
  <si>
    <t>SOSECAR</t>
  </si>
  <si>
    <t>Basalte</t>
  </si>
  <si>
    <t>Mètre cube</t>
  </si>
  <si>
    <t>COGECA</t>
  </si>
  <si>
    <t>GECAMINES</t>
  </si>
  <si>
    <t>SODEVIT</t>
  </si>
  <si>
    <t>Acide Phosphorique</t>
  </si>
  <si>
    <t>PMC</t>
  </si>
  <si>
    <t>Marne</t>
  </si>
  <si>
    <t>Minéraux lourds</t>
  </si>
  <si>
    <t>GH MINING</t>
  </si>
  <si>
    <t>Manganèse</t>
  </si>
  <si>
    <t>AFRIGOLD</t>
  </si>
  <si>
    <t>BMCC</t>
  </si>
  <si>
    <t>TALIX</t>
  </si>
  <si>
    <t>SEN-HMC</t>
  </si>
  <si>
    <t>SENEGAL MINES</t>
  </si>
  <si>
    <t>Hormite</t>
  </si>
  <si>
    <t>SORED MINES</t>
  </si>
  <si>
    <t>Or + Argent</t>
  </si>
  <si>
    <t>Stérile</t>
  </si>
  <si>
    <t>Volume exporté</t>
  </si>
  <si>
    <t>Valeur exportée(FCFA)</t>
  </si>
  <si>
    <t>Pays du destinataire</t>
  </si>
  <si>
    <t>Bénin</t>
  </si>
  <si>
    <t>Burkina Faso</t>
  </si>
  <si>
    <t>Gambie</t>
  </si>
  <si>
    <t>Guinée-Bissau</t>
  </si>
  <si>
    <t>Guinée</t>
  </si>
  <si>
    <t>Mali</t>
  </si>
  <si>
    <t>Mauritanie</t>
  </si>
  <si>
    <t>Sierra Leone</t>
  </si>
  <si>
    <t>Suisse</t>
  </si>
  <si>
    <t>Zone UEMOA</t>
  </si>
  <si>
    <t>Zone hors UEMOA</t>
  </si>
  <si>
    <t>Laitier</t>
  </si>
  <si>
    <t>Locale</t>
  </si>
  <si>
    <t>Chine</t>
  </si>
  <si>
    <t>Norvège</t>
  </si>
  <si>
    <t>États-Unis</t>
  </si>
  <si>
    <t>Russie</t>
  </si>
  <si>
    <t>Allemagne</t>
  </si>
  <si>
    <t>Brésil</t>
  </si>
  <si>
    <t>Pays-Bas</t>
  </si>
  <si>
    <t>Australie</t>
  </si>
  <si>
    <t>Italie</t>
  </si>
  <si>
    <t>France</t>
  </si>
  <si>
    <t>Mexique</t>
  </si>
  <si>
    <t>Espagne</t>
  </si>
  <si>
    <t>Turquie</t>
  </si>
  <si>
    <t>Royaume-Uni</t>
  </si>
  <si>
    <t>Espagne/Royaume-Uni</t>
  </si>
  <si>
    <t>Espagne/France</t>
  </si>
  <si>
    <t>Espagne/Pays-Bas</t>
  </si>
  <si>
    <t>Angola</t>
  </si>
  <si>
    <t>Cameroun</t>
  </si>
  <si>
    <t>Libéria</t>
  </si>
  <si>
    <t>Inde</t>
  </si>
  <si>
    <t>Côte d'Ivoire</t>
  </si>
  <si>
    <t>Ghana</t>
  </si>
  <si>
    <t>Malaisie</t>
  </si>
  <si>
    <t>Pologne</t>
  </si>
  <si>
    <t>Portugal</t>
  </si>
  <si>
    <t>Japon</t>
  </si>
  <si>
    <t>Afrique du Sud</t>
  </si>
  <si>
    <t>Luxembourg</t>
  </si>
  <si>
    <t>Corée du Sud</t>
  </si>
  <si>
    <t>Émirats Arabes Unis</t>
  </si>
  <si>
    <t>Canada</t>
  </si>
  <si>
    <t>Liban</t>
  </si>
  <si>
    <t>Indonésie</t>
  </si>
  <si>
    <t>Thaïlande</t>
  </si>
  <si>
    <t>France/Pays-Bas</t>
  </si>
  <si>
    <t>Ukraine</t>
  </si>
  <si>
    <t>Iran</t>
  </si>
  <si>
    <t>Sénégal</t>
  </si>
  <si>
    <t>El Salvador</t>
  </si>
  <si>
    <t>Arabie Saoudite</t>
  </si>
  <si>
    <t>Belgique</t>
  </si>
  <si>
    <t>Monténégro</t>
  </si>
  <si>
    <t>Niger</t>
  </si>
  <si>
    <t>Colombie</t>
  </si>
  <si>
    <t>Costa Rica</t>
  </si>
  <si>
    <t>Îles Vierges des États-Unis</t>
  </si>
  <si>
    <t>Maroc</t>
  </si>
  <si>
    <t>Nauru</t>
  </si>
  <si>
    <t>Suède</t>
  </si>
  <si>
    <t>Singapour</t>
  </si>
  <si>
    <t>Cap-Vert</t>
  </si>
  <si>
    <t>Swaziland</t>
  </si>
  <si>
    <t>Nouvelle-Zélande</t>
  </si>
  <si>
    <t>Carrière (Cailloux, graviers, pierres concassées)</t>
  </si>
  <si>
    <t>Sables minéralisés</t>
  </si>
  <si>
    <t>Finlande</t>
  </si>
  <si>
    <t>Vietnam</t>
  </si>
  <si>
    <t>Hong Kong</t>
  </si>
  <si>
    <t>Autres</t>
  </si>
  <si>
    <t>Panama</t>
  </si>
  <si>
    <t>Pays de l'OHADA</t>
  </si>
  <si>
    <t>Pays hors l'OHADA</t>
  </si>
  <si>
    <t>Gypse</t>
  </si>
  <si>
    <t>Silex</t>
  </si>
  <si>
    <t>Acide Sulfurique</t>
  </si>
  <si>
    <t>Cendres</t>
  </si>
  <si>
    <t>Taiwan</t>
  </si>
  <si>
    <t>Lituanie</t>
  </si>
  <si>
    <t>Roumanie</t>
  </si>
  <si>
    <t>Étiquettes de lignes</t>
  </si>
  <si>
    <t>Total général</t>
  </si>
  <si>
    <t>Étiquettes de colonnes</t>
  </si>
  <si>
    <t>Somme de Volume produit</t>
  </si>
  <si>
    <t xml:space="preserve">Valeur produite </t>
  </si>
  <si>
    <t>Somme de Valeur produite (FCFA)</t>
  </si>
  <si>
    <t>Taux de change</t>
  </si>
  <si>
    <t>Nationalité</t>
  </si>
  <si>
    <t>Hommes</t>
  </si>
  <si>
    <t>Femmes</t>
  </si>
  <si>
    <t>Qualification</t>
  </si>
  <si>
    <t>Type de contrat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</si>
</sst>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1" formatCode="_-* #,##0_-;\-* #,##0_-;_-* &quot;-&quot;_-;_-@_-"/>
    <numFmt numFmtId="164" formatCode="#,##0.####"/>
    <numFmt numFmtId="165" formatCode="#,##0.######"/>
    <numFmt numFmtId="166" formatCode="#,##0.########"/>
  </numFmts>
  <fonts count="5" x14ac:knownFonts="1">
    <font>
      <sz val="11"/>
      <color theme="1"/>
      <name val="Calibri"/>
      <family val="2"/>
      <scheme val="minor"/>
    </font>
    <font>
      <b/>
      <sz val="14"/>
      <name val="Calibri"/>
      <family val="2"/>
    </font>
    <font>
      <b/>
      <sz val="11"/>
      <name val="Calibri"/>
      <family val="2"/>
    </font>
    <font>
      <b/>
      <i/>
      <sz val="10"/>
      <name val="Calibri"/>
      <family val="2"/>
    </font>
    <fon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4" fillId="0" borderId="0" applyFont="0" applyFill="0" applyBorder="0" applyAlignment="0" applyProtection="0"/>
  </cellStyleXfs>
  <cellXfs count="13">
    <xf numFmtId="0" fontId="0" fillId="0" borderId="0" xfId="0"/>
    <xf numFmtId="0" fontId="1" fillId="0" borderId="0" xfId="0" applyFont="1" applyAlignment="1">
      <alignment vertical="top" wrapText="1"/>
    </xf>
    <xf numFmtId="0" fontId="0" fillId="0" borderId="0" xfId="0" applyAlignment="1">
      <alignment vertical="top" wrapText="1"/>
    </xf>
    <xf numFmtId="3" fontId="0" fillId="0" borderId="0" xfId="0" applyNumberFormat="1"/>
    <xf numFmtId="164" fontId="0" fillId="0" borderId="0" xfId="0" applyNumberFormat="1"/>
    <xf numFmtId="0" fontId="2" fillId="0" borderId="0" xfId="0" applyFont="1" applyAlignment="1">
      <alignment vertical="top" wrapText="1"/>
    </xf>
    <xf numFmtId="165" fontId="0" fillId="0" borderId="0" xfId="0" applyNumberFormat="1"/>
    <xf numFmtId="0" fontId="3" fillId="0" borderId="0" xfId="0" applyFont="1" applyAlignment="1">
      <alignment vertical="top" wrapText="1"/>
    </xf>
    <xf numFmtId="166" fontId="0" fillId="0" borderId="0" xfId="0" applyNumberFormat="1"/>
    <xf numFmtId="41" fontId="0" fillId="0" borderId="0" xfId="0" pivotButton="1" applyNumberFormat="1"/>
    <xf numFmtId="41" fontId="0" fillId="0" borderId="0" xfId="0" applyNumberFormat="1"/>
    <xf numFmtId="41" fontId="0" fillId="0" borderId="0" xfId="0" applyNumberFormat="1" applyAlignment="1">
      <alignment horizontal="left"/>
    </xf>
    <xf numFmtId="41" fontId="0" fillId="0" borderId="0" xfId="1" applyFont="1"/>
  </cellXfs>
  <cellStyles count="2">
    <cellStyle name="Milliers [0]" xfId="1" builtinId="6"/>
    <cellStyle name="Normal" xfId="0" builtinId="0"/>
  </cellStyles>
  <dxfs count="25">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 formatCode="#,##0"/>
    </dxf>
    <dxf>
      <numFmt numFmtId="3" formatCode="#,##0"/>
    </dxf>
    <dxf>
      <numFmt numFmtId="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md" refreshedDate="46216.67702314815" createdVersion="8" refreshedVersion="8" minRefreshableVersion="3" recordCount="337" xr:uid="{7BE1E438-7FEC-4224-9D2D-AD4797FA6CC5}">
  <cacheSource type="worksheet">
    <worksheetSource name="Tableau1"/>
  </cacheSource>
  <cacheFields count="7">
    <cacheField name="Année" numFmtId="0">
      <sharedItems containsSemiMixedTypes="0" containsString="0" containsNumber="1" containsInteger="1" minValue="2014" maxValue="2024" count="11">
        <n v="2014"/>
        <n v="2015"/>
        <n v="2016"/>
        <n v="2017"/>
        <n v="2018"/>
        <n v="2019"/>
        <n v="2020"/>
        <n v="2021"/>
        <n v="2022"/>
        <n v="2023"/>
        <n v="2024"/>
      </sharedItems>
    </cacheField>
    <cacheField name="Société" numFmtId="0">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numFmtId="0">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numFmtId="0">
      <sharedItems/>
    </cacheField>
    <cacheField name="Volume produit" numFmtId="0">
      <sharedItems containsMixedTypes="1" containsNumber="1" minValue="0" maxValue="5041384" count="317">
        <n v="2006939"/>
        <n v="1456686"/>
        <n v="2909032"/>
        <n v="6.5884317699999997"/>
        <s v="NC"/>
        <n v="2867917"/>
        <n v="458092"/>
        <n v="127437"/>
        <n v="72470"/>
        <n v="16657"/>
        <n v="763"/>
        <n v="8277"/>
        <n v="262"/>
        <n v="591"/>
        <n v="195668"/>
        <n v="8353"/>
        <n v="748000"/>
        <n v="23554"/>
        <n v="7008"/>
        <n v="36022"/>
        <n v="338847"/>
        <n v="215325"/>
        <n v="345000"/>
        <n v="173710"/>
        <n v="815000"/>
        <n v="1283599"/>
        <n v="732719"/>
        <n v="2592744"/>
        <n v="5.6696039599999999"/>
        <n v="2618495"/>
        <n v="590617"/>
        <n v="66135"/>
        <n v="320646"/>
        <n v="107043"/>
        <n v="23516"/>
        <n v="21732"/>
        <n v="2084"/>
        <n v="3227"/>
        <n v="181247"/>
        <n v="1261"/>
        <n v="1005628"/>
        <n v="1536830"/>
        <n v="160794"/>
        <n v="36578"/>
        <n v="939259"/>
        <n v="416366"/>
        <n v="413297"/>
        <n v="330000"/>
        <n v="150000"/>
        <n v="780000"/>
        <n v="1425402"/>
        <n v="686742"/>
        <n v="2753704"/>
        <n v="6.7412120399999997"/>
        <n v="2743271"/>
        <n v="453511"/>
        <n v="61444"/>
        <n v="298437"/>
        <n v="117913"/>
        <n v="27404"/>
        <n v="25223"/>
        <n v="9292"/>
        <n v="2892"/>
        <n v="6773"/>
        <n v="163568"/>
        <n v="1451"/>
        <n v="1607000"/>
        <n v="1361964"/>
        <n v="157733"/>
        <n v="38746"/>
        <s v="N/A"/>
        <n v="842604"/>
        <n v="319152"/>
        <n v="198500"/>
        <n v="135500"/>
        <n v="694000"/>
        <n v="1627638"/>
        <n v="714911"/>
        <n v="3142444"/>
        <n v="7.2508114099999998"/>
        <n v="0.66007797999999995"/>
        <n v="2762749"/>
        <n v="410175"/>
        <n v="122130"/>
        <n v="135022"/>
        <n v="20186"/>
        <n v="36856"/>
        <n v="24706"/>
        <n v="357416"/>
        <n v="7245"/>
        <n v="2729"/>
        <n v="160351"/>
        <n v="0"/>
        <n v="1400000"/>
        <n v="1500027"/>
        <n v="123457"/>
        <n v="50483"/>
        <n v="1111236"/>
        <n v="116963"/>
        <n v="823750"/>
        <n v="159900"/>
        <n v="773504"/>
        <n v="295042"/>
        <n v="1774882"/>
        <n v="1233461"/>
        <n v="7.6298228200000002"/>
        <n v="0.62998536999999999"/>
        <n v="2558360"/>
        <n v="363579"/>
        <n v="97426"/>
        <n v="93569"/>
        <n v="516543"/>
        <n v="176926"/>
        <n v="1782199"/>
        <n v="1830122"/>
        <n v="177599"/>
        <n v="50726"/>
        <n v="570997"/>
        <n v="69947"/>
        <n v="1052284"/>
        <n v="8737"/>
        <n v="2335864"/>
        <n v="553494"/>
        <n v="4.8809342500000001"/>
        <n v="0.31458741000000001"/>
        <n v="401962"/>
        <n v="2647939"/>
        <n v="92774"/>
        <n v="1175385"/>
        <n v="25110"/>
        <n v="325017"/>
        <n v="36119"/>
        <n v="130468"/>
        <n v="6516"/>
        <n v="22314"/>
        <n v="3615"/>
        <n v="36805"/>
        <n v="21628"/>
        <n v="157371"/>
        <n v="1706082"/>
        <n v="46778"/>
        <n v="2030895"/>
        <n v="537522"/>
        <n v="172628"/>
        <n v="1701000"/>
        <n v="0.38963324999999999"/>
        <n v="5.6291072299999998"/>
        <n v="107324"/>
        <n v="0.54608374000000004"/>
        <n v="7.2892553099999997"/>
        <n v="745152"/>
        <n v="1617455"/>
        <n v="427458"/>
        <n v="621811"/>
        <n v="170844"/>
        <n v="7"/>
        <n v="5.8"/>
        <n v="345531.2"/>
        <n v="26700.3"/>
        <n v="139767.6"/>
        <n v="34923.699999999997"/>
        <n v="26917.200000000001"/>
        <n v="21416.2"/>
        <n v="3980"/>
        <n v="5640"/>
        <n v="1649000"/>
        <n v="58310.2"/>
        <n v="431124"/>
        <n v="186615.1"/>
        <n v="2404017"/>
        <n v="367462"/>
        <n v="950428"/>
        <n v="1845762"/>
        <n v="138896.20000000001"/>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000000000001"/>
        <n v="4.8500000000000001E-2"/>
        <n v="3373277"/>
        <n v="646121"/>
        <n v="1881642"/>
        <n v="467250"/>
        <n v="328742"/>
        <n v="1771000"/>
        <n v="144956"/>
        <n v="71442"/>
        <n v="549556"/>
        <n v="34583"/>
        <n v="2205996"/>
        <n v="1847386"/>
        <n v="22498"/>
        <n v="133804"/>
        <n v="1599934"/>
        <n v="762283"/>
        <n v="436732"/>
        <n v="140987"/>
        <n v="2902226"/>
        <n v="35551"/>
        <n v="26981"/>
        <n v="69006"/>
        <n v="6284"/>
        <n v="4203"/>
        <n v="1990935"/>
        <n v="0.32540000000000002"/>
        <n v="101441"/>
        <n v="82473"/>
        <n v="400578"/>
        <n v="31092"/>
        <n v="9.1344690699999997"/>
        <n v="0.70399608999999996"/>
        <n v="3234740"/>
        <n v="1728988"/>
        <n v="2044047"/>
        <n v="854286"/>
        <n v="91543"/>
        <n v="96654"/>
        <n v="3.7276272800000001"/>
        <n v="0.27840722000000001"/>
        <n v="292630"/>
        <n v="28956"/>
        <n v="19442"/>
        <n v="110527"/>
        <n v="4942"/>
        <n v="3081"/>
        <n v="24927"/>
        <n v="18238"/>
        <n v="1606678"/>
        <n v="1098712"/>
        <n v="1882000"/>
        <n v="594170"/>
        <n v="119589"/>
        <n v="167000"/>
        <n v="7613"/>
        <n v="429"/>
        <n v="252625"/>
        <n v="4242786"/>
        <n v="597766"/>
        <n v="129108"/>
        <n v="2160802"/>
        <n v="40445"/>
        <n v="559578"/>
        <n v="303961"/>
        <n v="5079"/>
        <n v="6602"/>
        <n v="11436"/>
        <n v="5.5883000000000002E-2"/>
        <n v="2.9989999999999999E-3"/>
        <n v="523009"/>
        <n v="1800000"/>
        <n v="178554"/>
        <n v="7.1262730899999998"/>
        <n v="0.57389025000000005"/>
        <n v="3214627"/>
        <n v="1789561"/>
        <n v="1900013"/>
        <n v="892199"/>
        <n v="131432"/>
        <n v="146684"/>
        <n v="1492805"/>
        <n v="1157227"/>
        <n v="388925"/>
        <n v="39119"/>
        <n v="28497"/>
        <n v="154180"/>
        <n v="35430"/>
        <n v="6452"/>
        <n v="3789"/>
        <n v="27041"/>
        <n v="3.8551204299999999"/>
        <n v="205160"/>
        <n v="163076"/>
        <n v="173895"/>
        <n v="36"/>
        <n v="138298"/>
        <n v="5041384"/>
        <n v="700909"/>
        <n v="124142"/>
        <n v="2025023"/>
        <n v="102243"/>
        <n v="2304591"/>
        <n v="449877"/>
        <n v="284800"/>
        <n v="5.1535999999999998E-2"/>
        <n v="91182"/>
      </sharedItems>
    </cacheField>
    <cacheField name="Valeur produite (FCFA)" numFmtId="0">
      <sharedItems containsMixedTypes="1" containsNumber="1" minValue="0" maxValue="393709507828" count="255">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99FB511-FDE7-4516-BF7A-629426F06D38}" name="Tableau croisé dynamique1" cacheId="7" applyNumberFormats="0" applyBorderFormats="0" applyFontFormats="0" applyPatternFormats="0" applyAlignmentFormats="0" applyWidthHeightFormats="1" dataCaption="Valeurs" updatedVersion="8" minRefreshableVersion="3" useAutoFormatting="1" colGrandTotals="0" itemPrintTitles="1" createdVersion="8" indent="0" outline="1" outlineData="1" multipleFieldFilters="0">
  <location ref="K6:M20" firstHeaderRow="1" firstDataRow="3" firstDataCol="1"/>
  <pivotFields count="7">
    <pivotField axis="axisRow" showAll="0">
      <items count="12">
        <item x="0"/>
        <item x="1"/>
        <item x="2"/>
        <item x="3"/>
        <item x="4"/>
        <item x="5"/>
        <item x="6"/>
        <item x="7"/>
        <item x="8"/>
        <item x="9"/>
        <item x="10"/>
        <item t="default"/>
      </items>
    </pivotField>
    <pivotField showAll="0">
      <items count="23">
        <item x="16"/>
        <item x="9"/>
        <item x="17"/>
        <item x="2"/>
        <item x="11"/>
        <item x="6"/>
        <item x="3"/>
        <item x="12"/>
        <item x="15"/>
        <item x="5"/>
        <item x="14"/>
        <item x="20"/>
        <item x="19"/>
        <item x="8"/>
        <item x="1"/>
        <item x="0"/>
        <item x="13"/>
        <item x="7"/>
        <item x="21"/>
        <item x="10"/>
        <item x="4"/>
        <item x="18"/>
        <item t="default"/>
      </items>
    </pivotField>
    <pivotField axis="axisCol" showAll="0">
      <items count="25">
        <item h="1" x="16"/>
        <item h="1" x="4"/>
        <item h="1" x="5"/>
        <item h="1" x="11"/>
        <item h="1" x="14"/>
        <item h="1" x="1"/>
        <item h="1" x="2"/>
        <item h="1" x="13"/>
        <item h="1" x="17"/>
        <item h="1" x="21"/>
        <item h="1" x="7"/>
        <item h="1" x="6"/>
        <item h="1" x="10"/>
        <item h="1" x="20"/>
        <item h="1" x="18"/>
        <item h="1" x="0"/>
        <item h="1" x="19"/>
        <item h="1" sd="0" x="3"/>
        <item h="1" x="22"/>
        <item h="1" x="12"/>
        <item h="1" x="9"/>
        <item h="1" x="23"/>
        <item h="1" x="15"/>
        <item x="8"/>
        <item t="default"/>
      </items>
    </pivotField>
    <pivotField showAll="0"/>
    <pivotField dataField="1" showAll="0">
      <items count="318">
        <item x="92"/>
        <item x="279"/>
        <item x="210"/>
        <item x="315"/>
        <item x="278"/>
        <item x="250"/>
        <item x="183"/>
        <item x="124"/>
        <item x="236"/>
        <item x="145"/>
        <item x="148"/>
        <item x="284"/>
        <item x="106"/>
        <item x="80"/>
        <item x="242"/>
        <item x="181"/>
        <item x="249"/>
        <item x="301"/>
        <item x="182"/>
        <item x="209"/>
        <item x="123"/>
        <item x="146"/>
        <item x="28"/>
        <item x="156"/>
        <item x="3"/>
        <item x="53"/>
        <item x="155"/>
        <item x="283"/>
        <item x="79"/>
        <item x="149"/>
        <item x="105"/>
        <item x="241"/>
        <item x="208"/>
        <item x="180"/>
        <item x="305"/>
        <item x="12"/>
        <item x="266"/>
        <item x="13"/>
        <item x="10"/>
        <item x="39"/>
        <item x="65"/>
        <item x="206"/>
        <item x="36"/>
        <item x="90"/>
        <item x="62"/>
        <item x="256"/>
        <item x="37"/>
        <item x="135"/>
        <item x="299"/>
        <item x="163"/>
        <item x="234"/>
        <item x="190"/>
        <item x="255"/>
        <item x="275"/>
        <item x="164"/>
        <item x="233"/>
        <item x="298"/>
        <item x="133"/>
        <item x="276"/>
        <item x="179"/>
        <item x="63"/>
        <item x="191"/>
        <item x="18"/>
        <item x="89"/>
        <item x="265"/>
        <item x="11"/>
        <item x="15"/>
        <item x="120"/>
        <item x="61"/>
        <item x="207"/>
        <item x="277"/>
        <item x="9"/>
        <item x="258"/>
        <item x="253"/>
        <item x="185"/>
        <item x="85"/>
        <item x="162"/>
        <item x="137"/>
        <item x="35"/>
        <item x="134"/>
        <item x="223"/>
        <item x="34"/>
        <item x="17"/>
        <item x="87"/>
        <item x="257"/>
        <item x="129"/>
        <item x="60"/>
        <item x="188"/>
        <item x="158"/>
        <item x="161"/>
        <item x="231"/>
        <item x="189"/>
        <item x="300"/>
        <item x="59"/>
        <item x="295"/>
        <item x="252"/>
        <item x="240"/>
        <item x="220"/>
        <item x="160"/>
        <item x="297"/>
        <item x="230"/>
        <item x="19"/>
        <item x="131"/>
        <item x="43"/>
        <item x="136"/>
        <item x="86"/>
        <item x="187"/>
        <item x="69"/>
        <item x="294"/>
        <item x="272"/>
        <item x="140"/>
        <item x="96"/>
        <item x="116"/>
        <item x="166"/>
        <item x="56"/>
        <item x="175"/>
        <item x="31"/>
        <item x="232"/>
        <item x="118"/>
        <item x="218"/>
        <item x="8"/>
        <item x="238"/>
        <item x="199"/>
        <item x="316"/>
        <item x="247"/>
        <item x="127"/>
        <item x="110"/>
        <item x="248"/>
        <item x="109"/>
        <item x="194"/>
        <item x="237"/>
        <item x="311"/>
        <item x="33"/>
        <item x="147"/>
        <item x="254"/>
        <item x="98"/>
        <item x="58"/>
        <item x="263"/>
        <item x="83"/>
        <item x="95"/>
        <item x="309"/>
        <item x="7"/>
        <item x="270"/>
        <item x="132"/>
        <item x="289"/>
        <item x="224"/>
        <item x="84"/>
        <item x="74"/>
        <item x="306"/>
        <item x="173"/>
        <item x="159"/>
        <item x="228"/>
        <item x="217"/>
        <item x="186"/>
        <item x="290"/>
        <item x="48"/>
        <item x="296"/>
        <item x="138"/>
        <item x="68"/>
        <item x="100"/>
        <item x="91"/>
        <item x="42"/>
        <item x="303"/>
        <item x="64"/>
        <item x="264"/>
        <item x="154"/>
        <item x="196"/>
        <item x="143"/>
        <item x="23"/>
        <item x="304"/>
        <item x="112"/>
        <item x="115"/>
        <item x="282"/>
        <item x="38"/>
        <item x="168"/>
        <item x="14"/>
        <item x="73"/>
        <item x="302"/>
        <item x="176"/>
        <item x="21"/>
        <item x="203"/>
        <item x="267"/>
        <item x="314"/>
        <item x="251"/>
        <item x="102"/>
        <item x="57"/>
        <item x="274"/>
        <item x="72"/>
        <item x="32"/>
        <item x="130"/>
        <item x="215"/>
        <item x="47"/>
        <item x="20"/>
        <item x="22"/>
        <item x="157"/>
        <item x="88"/>
        <item x="108"/>
        <item x="170"/>
        <item x="198"/>
        <item x="184"/>
        <item x="293"/>
        <item x="239"/>
        <item x="125"/>
        <item x="82"/>
        <item x="46"/>
        <item x="45"/>
        <item x="204"/>
        <item x="152"/>
        <item x="167"/>
        <item x="227"/>
        <item x="313"/>
        <item x="55"/>
        <item x="6"/>
        <item x="214"/>
        <item x="193"/>
        <item x="111"/>
        <item x="280"/>
        <item x="195"/>
        <item x="142"/>
        <item x="219"/>
        <item x="122"/>
        <item x="273"/>
        <item x="117"/>
        <item x="30"/>
        <item x="262"/>
        <item x="269"/>
        <item x="153"/>
        <item x="212"/>
        <item x="178"/>
        <item x="51"/>
        <item x="75"/>
        <item x="308"/>
        <item x="77"/>
        <item x="26"/>
        <item x="150"/>
        <item x="16"/>
        <item x="226"/>
        <item x="101"/>
        <item x="49"/>
        <item x="24"/>
        <item x="99"/>
        <item x="71"/>
        <item x="246"/>
        <item x="288"/>
        <item x="44"/>
        <item x="171"/>
        <item x="200"/>
        <item x="40"/>
        <item x="119"/>
        <item x="260"/>
        <item x="97"/>
        <item x="292"/>
        <item x="128"/>
        <item x="104"/>
        <item x="25"/>
        <item x="67"/>
        <item x="93"/>
        <item x="50"/>
        <item x="1"/>
        <item x="291"/>
        <item x="94"/>
        <item x="41"/>
        <item x="225"/>
        <item x="259"/>
        <item x="66"/>
        <item x="151"/>
        <item x="76"/>
        <item x="165"/>
        <item x="144"/>
        <item x="139"/>
        <item x="244"/>
        <item x="192"/>
        <item x="216"/>
        <item x="103"/>
        <item x="113"/>
        <item x="286"/>
        <item x="281"/>
        <item x="205"/>
        <item x="114"/>
        <item x="172"/>
        <item x="222"/>
        <item x="213"/>
        <item x="261"/>
        <item x="287"/>
        <item x="201"/>
        <item x="202"/>
        <item x="235"/>
        <item x="0"/>
        <item x="174"/>
        <item x="310"/>
        <item x="141"/>
        <item x="245"/>
        <item x="271"/>
        <item x="221"/>
        <item x="312"/>
        <item x="121"/>
        <item x="177"/>
        <item x="169"/>
        <item x="197"/>
        <item x="107"/>
        <item x="27"/>
        <item x="29"/>
        <item x="126"/>
        <item x="54"/>
        <item x="52"/>
        <item x="81"/>
        <item x="5"/>
        <item x="229"/>
        <item x="2"/>
        <item x="78"/>
        <item x="285"/>
        <item x="243"/>
        <item x="211"/>
        <item x="268"/>
        <item x="307"/>
        <item x="70"/>
        <item x="4"/>
        <item t="default"/>
      </items>
    </pivotField>
    <pivotField dataField="1" showAll="0">
      <items count="256">
        <item x="71"/>
        <item x="8"/>
        <item x="9"/>
        <item x="6"/>
        <item x="28"/>
        <item x="27"/>
        <item x="46"/>
        <item x="254"/>
        <item x="45"/>
        <item x="47"/>
        <item x="5"/>
        <item x="7"/>
        <item x="4"/>
        <item x="24"/>
        <item x="42"/>
        <item x="26"/>
        <item x="44"/>
        <item x="25"/>
        <item x="43"/>
        <item x="228"/>
        <item x="41"/>
        <item x="23"/>
        <item x="149"/>
        <item x="97"/>
        <item x="52"/>
        <item x="101"/>
        <item x="33"/>
        <item x="13"/>
        <item x="122"/>
        <item x="212"/>
        <item x="117"/>
        <item x="154"/>
        <item x="75"/>
        <item x="49"/>
        <item x="30"/>
        <item x="205"/>
        <item x="93"/>
        <item x="177"/>
        <item x="125"/>
        <item x="84"/>
        <item x="59"/>
        <item x="106"/>
        <item x="170"/>
        <item x="104"/>
        <item x="238"/>
        <item x="87"/>
        <item x="197"/>
        <item x="32"/>
        <item x="233"/>
        <item x="208"/>
        <item x="51"/>
        <item x="74"/>
        <item x="62"/>
        <item x="204"/>
        <item x="12"/>
        <item x="206"/>
        <item x="11"/>
        <item x="227"/>
        <item x="153"/>
        <item x="178"/>
        <item x="115"/>
        <item x="239"/>
        <item x="92"/>
        <item x="174"/>
        <item x="151"/>
        <item x="69"/>
        <item x="86"/>
        <item x="146"/>
        <item x="169"/>
        <item x="79"/>
        <item x="102"/>
        <item x="61"/>
        <item x="175"/>
        <item x="196"/>
        <item x="127"/>
        <item x="195"/>
        <item x="68"/>
        <item x="95"/>
        <item x="237"/>
        <item x="147"/>
        <item x="171"/>
        <item x="112"/>
        <item x="81"/>
        <item x="141"/>
        <item x="226"/>
        <item x="48"/>
        <item x="110"/>
        <item x="173"/>
        <item x="129"/>
        <item x="220"/>
        <item x="253"/>
        <item x="29"/>
        <item x="73"/>
        <item x="50"/>
        <item x="140"/>
        <item x="10"/>
        <item x="116"/>
        <item x="14"/>
        <item x="124"/>
        <item x="165"/>
        <item x="219"/>
        <item x="91"/>
        <item x="135"/>
        <item x="128"/>
        <item x="64"/>
        <item x="187"/>
        <item x="162"/>
        <item x="38"/>
        <item x="161"/>
        <item x="218"/>
        <item x="156"/>
        <item x="99"/>
        <item x="249"/>
        <item x="139"/>
        <item x="82"/>
        <item x="217"/>
        <item x="31"/>
        <item x="148"/>
        <item x="248"/>
        <item x="77"/>
        <item x="236"/>
        <item x="108"/>
        <item x="150"/>
        <item x="56"/>
        <item x="172"/>
        <item x="203"/>
        <item x="20"/>
        <item x="70"/>
        <item x="90"/>
        <item x="247"/>
        <item x="246"/>
        <item x="111"/>
        <item x="145"/>
        <item x="168"/>
        <item x="202"/>
        <item x="201"/>
        <item x="85"/>
        <item x="103"/>
        <item x="60"/>
        <item x="200"/>
        <item x="131"/>
        <item x="54"/>
        <item x="160"/>
        <item x="17"/>
        <item x="57"/>
        <item x="16"/>
        <item x="199"/>
        <item x="198"/>
        <item x="167"/>
        <item x="19"/>
        <item x="194"/>
        <item x="144"/>
        <item x="37"/>
        <item x="36"/>
        <item x="96"/>
        <item x="15"/>
        <item x="105"/>
        <item x="225"/>
        <item x="55"/>
        <item x="18"/>
        <item x="63"/>
        <item x="80"/>
        <item x="252"/>
        <item x="78"/>
        <item x="184"/>
        <item x="176"/>
        <item x="66"/>
        <item x="191"/>
        <item x="143"/>
        <item x="109"/>
        <item x="118"/>
        <item x="98"/>
        <item x="136"/>
        <item x="251"/>
        <item x="190"/>
        <item x="114"/>
        <item x="182"/>
        <item x="216"/>
        <item x="138"/>
        <item x="94"/>
        <item x="157"/>
        <item x="215"/>
        <item x="159"/>
        <item x="35"/>
        <item x="65"/>
        <item x="166"/>
        <item x="130"/>
        <item x="245"/>
        <item x="137"/>
        <item x="193"/>
        <item x="192"/>
        <item x="107"/>
        <item x="244"/>
        <item x="53"/>
        <item x="224"/>
        <item x="214"/>
        <item x="158"/>
        <item x="113"/>
        <item x="67"/>
        <item x="134"/>
        <item x="120"/>
        <item x="76"/>
        <item x="34"/>
        <item x="243"/>
        <item x="222"/>
        <item x="189"/>
        <item x="89"/>
        <item x="163"/>
        <item x="72"/>
        <item x="231"/>
        <item x="121"/>
        <item x="241"/>
        <item x="213"/>
        <item x="155"/>
        <item x="142"/>
        <item x="186"/>
        <item x="188"/>
        <item x="242"/>
        <item x="88"/>
        <item x="240"/>
        <item x="210"/>
        <item x="185"/>
        <item x="223"/>
        <item x="235"/>
        <item x="183"/>
        <item x="221"/>
        <item x="250"/>
        <item x="230"/>
        <item x="100"/>
        <item x="21"/>
        <item x="39"/>
        <item x="22"/>
        <item x="1"/>
        <item x="2"/>
        <item x="211"/>
        <item x="180"/>
        <item x="123"/>
        <item x="40"/>
        <item x="181"/>
        <item x="234"/>
        <item x="209"/>
        <item x="83"/>
        <item x="58"/>
        <item x="133"/>
        <item x="126"/>
        <item x="229"/>
        <item x="132"/>
        <item x="119"/>
        <item x="164"/>
        <item x="232"/>
        <item x="207"/>
        <item x="152"/>
        <item x="179"/>
        <item x="0"/>
        <item x="3"/>
        <item t="default"/>
      </items>
    </pivotField>
    <pivotField showAll="0"/>
  </pivotFields>
  <rowFields count="1">
    <field x="0"/>
  </rowFields>
  <rowItems count="12">
    <i>
      <x/>
    </i>
    <i>
      <x v="1"/>
    </i>
    <i>
      <x v="2"/>
    </i>
    <i>
      <x v="3"/>
    </i>
    <i>
      <x v="4"/>
    </i>
    <i>
      <x v="5"/>
    </i>
    <i>
      <x v="6"/>
    </i>
    <i>
      <x v="7"/>
    </i>
    <i>
      <x v="8"/>
    </i>
    <i>
      <x v="9"/>
    </i>
    <i>
      <x v="10"/>
    </i>
    <i t="grand">
      <x/>
    </i>
  </rowItems>
  <colFields count="2">
    <field x="2"/>
    <field x="-2"/>
  </colFields>
  <colItems count="2">
    <i>
      <x v="23"/>
      <x/>
    </i>
    <i r="1" i="1">
      <x v="1"/>
    </i>
  </colItems>
  <dataFields count="2">
    <dataField name="Somme de Volume produit" fld="4" baseField="0" baseItem="0"/>
    <dataField name="Somme de Valeur produite (FCFA)" fld="5" baseField="0" baseItem="0"/>
  </dataFields>
  <formats count="1">
    <format dxfId="21">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E539E3-529A-4E3F-8EB8-888CD649E817}" name="Tableau1" displayName="Tableau1" ref="A1:I338" totalsRowShown="0">
  <autoFilter ref="A1:I338" xr:uid="{00E539E3-529A-4E3F-8EB8-888CD649E817}">
    <filterColumn colId="1">
      <filters>
        <filter val="SORED MINES"/>
      </filters>
    </filterColumn>
  </autoFilter>
  <tableColumns count="9">
    <tableColumn id="1" xr3:uid="{1437A5B9-68BE-4B73-BB71-D80EC66B29C7}" name="Année"/>
    <tableColumn id="2" xr3:uid="{3B4F232E-3728-4ED2-ABCC-DDBDC1E6F743}" name="Société"/>
    <tableColumn id="3" xr3:uid="{9F4D39BA-A4FA-4FAC-BD30-2E31C8FCE90B}" name="Type du minérai"/>
    <tableColumn id="4" xr3:uid="{4E6D5B3E-181E-4059-B6D6-9D0925416DC6}" name="Unité"/>
    <tableColumn id="5" xr3:uid="{41D02490-F7EF-4B05-908F-044A980B675D}" name="Volume produit" dataDxfId="24"/>
    <tableColumn id="6" xr3:uid="{9559BE68-76A1-42C4-9500-269DF984FE31}" name="Valeur produite "/>
    <tableColumn id="7" xr3:uid="{44D84B70-21BB-43FB-B04C-E9588591D1A5}" name="Devise"/>
    <tableColumn id="8" xr3:uid="{54F36313-0698-4AAA-ABB2-E41BA07ACF89}" name="Taux de change"/>
    <tableColumn id="9" xr3:uid="{A6520109-7EEB-4CC6-B96A-6A42926C8F51}" name="Valeur produite (FCFA)"/>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211DCD1-0642-46E7-AAA0-A4E1049BCCB3}" name="Tableau3" displayName="Tableau3" ref="A1:G830" totalsRowShown="0">
  <autoFilter ref="A1:G830" xr:uid="{1211DCD1-0642-46E7-AAA0-A4E1049BCCB3}"/>
  <tableColumns count="7">
    <tableColumn id="1" xr3:uid="{94E4CC5B-4E18-4075-BD79-8E349E33D6D4}" name="Année"/>
    <tableColumn id="2" xr3:uid="{EBEF898D-3251-41B2-B104-5BA7DA2AD3D6}" name="Société"/>
    <tableColumn id="3" xr3:uid="{72A44B91-B429-459C-B336-5655E4845A83}" name="Type du minérai"/>
    <tableColumn id="4" xr3:uid="{6A6B55D7-E2E5-49A9-9F28-5466D5B4D265}" name="Unité"/>
    <tableColumn id="5" xr3:uid="{B989736D-3B72-4FCE-93AE-A3C9EDF80310}" name="Volume exporté" dataDxfId="23"/>
    <tableColumn id="6" xr3:uid="{693DEA2F-C704-4E51-9015-E3A8B345ABD7}" name="Valeur exportée(FCFA)" dataDxfId="22"/>
    <tableColumn id="7" xr3:uid="{332B99B4-7A6D-456D-B08A-B5C3336D6ADD}" name="Pays du destinataire"/>
  </tableColumns>
  <tableStyleInfo name="TableStyleMedium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ivotTable" Target="../pivotTables/pivotTable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1"/>
  <sheetViews>
    <sheetView tabSelected="1" topLeftCell="A32" zoomScale="104" workbookViewId="0">
      <selection activeCell="B34" sqref="B34"/>
    </sheetView>
  </sheetViews>
  <sheetFormatPr baseColWidth="10" defaultColWidth="8.7265625" defaultRowHeight="14.5" x14ac:dyDescent="0.35"/>
  <cols>
    <col min="1" max="1" width="38" customWidth="1"/>
    <col min="2" max="2" width="110" customWidth="1"/>
  </cols>
  <sheetData>
    <row r="1" spans="1:2" ht="55.5" x14ac:dyDescent="0.35">
      <c r="A1" s="1" t="s">
        <v>0</v>
      </c>
    </row>
    <row r="3" spans="1:2" x14ac:dyDescent="0.35">
      <c r="A3" s="5" t="s">
        <v>1</v>
      </c>
    </row>
    <row r="4" spans="1:2" ht="72.5" x14ac:dyDescent="0.35">
      <c r="A4" s="2" t="s">
        <v>2</v>
      </c>
    </row>
    <row r="6" spans="1:2" x14ac:dyDescent="0.35">
      <c r="A6" s="5" t="s">
        <v>3</v>
      </c>
    </row>
    <row r="7" spans="1:2" ht="29" x14ac:dyDescent="0.35">
      <c r="A7" s="2" t="s">
        <v>4</v>
      </c>
      <c r="B7" s="2" t="s">
        <v>5</v>
      </c>
    </row>
    <row r="8" spans="1:2" ht="58" x14ac:dyDescent="0.35">
      <c r="A8" s="2" t="s">
        <v>6</v>
      </c>
      <c r="B8" s="2" t="s">
        <v>7</v>
      </c>
    </row>
    <row r="9" spans="1:2" x14ac:dyDescent="0.35">
      <c r="A9" s="2" t="s">
        <v>8</v>
      </c>
      <c r="B9" s="2" t="s">
        <v>9</v>
      </c>
    </row>
    <row r="10" spans="1:2" x14ac:dyDescent="0.35">
      <c r="A10" s="2" t="s">
        <v>10</v>
      </c>
      <c r="B10" s="2" t="s">
        <v>11</v>
      </c>
    </row>
    <row r="11" spans="1:2" ht="43.5" x14ac:dyDescent="0.35">
      <c r="A11" s="2" t="s">
        <v>12</v>
      </c>
      <c r="B11" s="2" t="s">
        <v>13</v>
      </c>
    </row>
    <row r="13" spans="1:2" x14ac:dyDescent="0.35">
      <c r="A13" s="5" t="s">
        <v>14</v>
      </c>
    </row>
    <row r="14" spans="1:2" x14ac:dyDescent="0.35">
      <c r="A14" s="2" t="s">
        <v>15</v>
      </c>
      <c r="B14" s="2" t="s">
        <v>16</v>
      </c>
    </row>
    <row r="15" spans="1:2" ht="29" x14ac:dyDescent="0.35">
      <c r="A15" s="2" t="s">
        <v>17</v>
      </c>
      <c r="B15" s="2" t="s">
        <v>18</v>
      </c>
    </row>
    <row r="16" spans="1:2" ht="87" x14ac:dyDescent="0.35">
      <c r="A16" s="2" t="s">
        <v>19</v>
      </c>
      <c r="B16" s="2" t="s">
        <v>20</v>
      </c>
    </row>
    <row r="17" spans="1:2" ht="29" x14ac:dyDescent="0.35">
      <c r="A17" s="2" t="s">
        <v>21</v>
      </c>
      <c r="B17" s="2" t="s">
        <v>22</v>
      </c>
    </row>
    <row r="19" spans="1:2" ht="29" x14ac:dyDescent="0.35">
      <c r="A19" s="5" t="s">
        <v>23</v>
      </c>
    </row>
    <row r="20" spans="1:2" ht="130.5" x14ac:dyDescent="0.35">
      <c r="A20" s="2" t="s">
        <v>24</v>
      </c>
    </row>
    <row r="21" spans="1:2" ht="159.5" x14ac:dyDescent="0.35">
      <c r="A21" s="2" t="s">
        <v>25</v>
      </c>
    </row>
    <row r="22" spans="1:2" x14ac:dyDescent="0.35">
      <c r="A22" s="2" t="s">
        <v>26</v>
      </c>
      <c r="B22" s="2" t="s">
        <v>27</v>
      </c>
    </row>
    <row r="23" spans="1:2" x14ac:dyDescent="0.35">
      <c r="A23" s="2" t="s">
        <v>28</v>
      </c>
      <c r="B23" s="2" t="s">
        <v>29</v>
      </c>
    </row>
    <row r="24" spans="1:2" x14ac:dyDescent="0.35">
      <c r="A24" s="2" t="s">
        <v>30</v>
      </c>
      <c r="B24" s="2" t="s">
        <v>31</v>
      </c>
    </row>
    <row r="25" spans="1:2" ht="29" x14ac:dyDescent="0.35">
      <c r="A25" s="2" t="s">
        <v>32</v>
      </c>
      <c r="B25" s="2" t="s">
        <v>33</v>
      </c>
    </row>
    <row r="26" spans="1:2" x14ac:dyDescent="0.35">
      <c r="A26" s="2" t="s">
        <v>34</v>
      </c>
      <c r="B26" s="2" t="s">
        <v>35</v>
      </c>
    </row>
    <row r="27" spans="1:2" ht="43.5" x14ac:dyDescent="0.35">
      <c r="A27" s="2" t="s">
        <v>36</v>
      </c>
      <c r="B27" s="2" t="s">
        <v>37</v>
      </c>
    </row>
    <row r="29" spans="1:2" ht="72.5" x14ac:dyDescent="0.35">
      <c r="A29" s="2" t="s">
        <v>38</v>
      </c>
    </row>
    <row r="31" spans="1:2" x14ac:dyDescent="0.35">
      <c r="A31" s="5" t="s">
        <v>39</v>
      </c>
    </row>
    <row r="32" spans="1:2" ht="87" x14ac:dyDescent="0.35">
      <c r="A32" s="2" t="s">
        <v>40</v>
      </c>
    </row>
    <row r="33" spans="1:2" ht="29" x14ac:dyDescent="0.35">
      <c r="A33" s="2" t="s">
        <v>41</v>
      </c>
      <c r="B33" s="2" t="s">
        <v>42</v>
      </c>
    </row>
    <row r="34" spans="1:2" ht="58" x14ac:dyDescent="0.35">
      <c r="A34" s="2" t="s">
        <v>43</v>
      </c>
      <c r="B34" s="2" t="s">
        <v>44</v>
      </c>
    </row>
    <row r="35" spans="1:2" ht="29" x14ac:dyDescent="0.35">
      <c r="A35" s="2" t="s">
        <v>45</v>
      </c>
      <c r="B35" s="2" t="s">
        <v>46</v>
      </c>
    </row>
    <row r="36" spans="1:2" ht="101.5" x14ac:dyDescent="0.35">
      <c r="A36" s="2" t="s">
        <v>47</v>
      </c>
      <c r="B36" s="2" t="s">
        <v>48</v>
      </c>
    </row>
    <row r="38" spans="1:2" x14ac:dyDescent="0.35">
      <c r="A38" s="5" t="s">
        <v>49</v>
      </c>
    </row>
    <row r="39" spans="1:2" ht="130.5" x14ac:dyDescent="0.35">
      <c r="A39" s="2" t="s">
        <v>50</v>
      </c>
    </row>
    <row r="40" spans="1:2" x14ac:dyDescent="0.35">
      <c r="A40" s="7" t="s">
        <v>51</v>
      </c>
    </row>
    <row r="41" spans="1:2" ht="29" x14ac:dyDescent="0.35">
      <c r="A41" s="2" t="s">
        <v>52</v>
      </c>
      <c r="B41" s="2" t="s">
        <v>53</v>
      </c>
    </row>
    <row r="42" spans="1:2" x14ac:dyDescent="0.35">
      <c r="A42" s="2" t="s">
        <v>54</v>
      </c>
      <c r="B42" s="2" t="s">
        <v>55</v>
      </c>
    </row>
    <row r="43" spans="1:2" x14ac:dyDescent="0.35">
      <c r="A43" s="2" t="s">
        <v>56</v>
      </c>
      <c r="B43" s="2" t="s">
        <v>57</v>
      </c>
    </row>
    <row r="44" spans="1:2" x14ac:dyDescent="0.35">
      <c r="A44" s="2" t="s">
        <v>58</v>
      </c>
      <c r="B44" s="2" t="s">
        <v>59</v>
      </c>
    </row>
    <row r="45" spans="1:2" x14ac:dyDescent="0.35">
      <c r="A45" s="2" t="s">
        <v>60</v>
      </c>
      <c r="B45" s="2" t="s">
        <v>61</v>
      </c>
    </row>
    <row r="46" spans="1:2" ht="29" x14ac:dyDescent="0.35">
      <c r="A46" s="2" t="s">
        <v>62</v>
      </c>
      <c r="B46" s="2" t="s">
        <v>63</v>
      </c>
    </row>
    <row r="47" spans="1:2" ht="29" x14ac:dyDescent="0.35">
      <c r="A47" s="2" t="s">
        <v>64</v>
      </c>
      <c r="B47" s="2" t="s">
        <v>65</v>
      </c>
    </row>
    <row r="48" spans="1:2" x14ac:dyDescent="0.35">
      <c r="A48" s="2" t="s">
        <v>66</v>
      </c>
      <c r="B48" s="2" t="s">
        <v>67</v>
      </c>
    </row>
    <row r="50" spans="1:1" ht="58" x14ac:dyDescent="0.35">
      <c r="A50" s="2" t="s">
        <v>68</v>
      </c>
    </row>
    <row r="51" spans="1:1" ht="116" x14ac:dyDescent="0.35">
      <c r="A51" s="2" t="s">
        <v>69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338"/>
  <sheetViews>
    <sheetView zoomScale="54" workbookViewId="0">
      <selection activeCell="K339" sqref="K339"/>
    </sheetView>
  </sheetViews>
  <sheetFormatPr baseColWidth="10" defaultRowHeight="14.5" x14ac:dyDescent="0.35"/>
  <cols>
    <col min="2" max="2" width="15.08984375" bestFit="1" customWidth="1"/>
    <col min="3" max="3" width="16.26953125" customWidth="1"/>
    <col min="4" max="4" width="7.36328125" customWidth="1"/>
    <col min="5" max="5" width="16" customWidth="1"/>
    <col min="6" max="6" width="21.81640625" customWidth="1"/>
    <col min="7" max="7" width="10" customWidth="1"/>
    <col min="11" max="11" width="22.1796875" bestFit="1" customWidth="1"/>
    <col min="12" max="12" width="25.54296875" bestFit="1" customWidth="1"/>
    <col min="13" max="13" width="30.6328125" bestFit="1" customWidth="1"/>
    <col min="14" max="14" width="15" bestFit="1" customWidth="1"/>
    <col min="15" max="22" width="6.81640625" bestFit="1" customWidth="1"/>
    <col min="23" max="23" width="13" bestFit="1" customWidth="1"/>
    <col min="24" max="24" width="24.7265625" bestFit="1" customWidth="1"/>
    <col min="25" max="25" width="30.6328125" bestFit="1" customWidth="1"/>
    <col min="26" max="26" width="24.7265625" bestFit="1" customWidth="1"/>
    <col min="27" max="27" width="30.6328125" bestFit="1" customWidth="1"/>
    <col min="28" max="28" width="24.7265625" bestFit="1" customWidth="1"/>
    <col min="29" max="29" width="30.6328125" bestFit="1" customWidth="1"/>
    <col min="30" max="30" width="24.7265625" bestFit="1" customWidth="1"/>
    <col min="31" max="31" width="30.6328125" bestFit="1" customWidth="1"/>
    <col min="32" max="32" width="24.7265625" bestFit="1" customWidth="1"/>
    <col min="33" max="33" width="30.6328125" bestFit="1" customWidth="1"/>
    <col min="34" max="34" width="29.54296875" bestFit="1" customWidth="1"/>
    <col min="35" max="35" width="35.453125" bestFit="1" customWidth="1"/>
  </cols>
  <sheetData>
    <row r="1" spans="1:14" x14ac:dyDescent="0.35">
      <c r="A1" t="s">
        <v>70</v>
      </c>
      <c r="B1" t="s">
        <v>71</v>
      </c>
      <c r="C1" t="s">
        <v>72</v>
      </c>
      <c r="D1" t="s">
        <v>73</v>
      </c>
      <c r="E1" t="s">
        <v>74</v>
      </c>
      <c r="F1" t="s">
        <v>212</v>
      </c>
      <c r="G1" t="s">
        <v>76</v>
      </c>
      <c r="H1" t="s">
        <v>214</v>
      </c>
      <c r="I1" t="s">
        <v>75</v>
      </c>
    </row>
    <row r="2" spans="1:14" hidden="1" x14ac:dyDescent="0.35">
      <c r="A2">
        <v>2014</v>
      </c>
      <c r="B2" t="s">
        <v>77</v>
      </c>
      <c r="C2" t="s">
        <v>78</v>
      </c>
      <c r="D2" t="s">
        <v>79</v>
      </c>
      <c r="E2" s="3">
        <v>2006939</v>
      </c>
      <c r="F2" t="s">
        <v>17</v>
      </c>
      <c r="G2" t="s">
        <v>80</v>
      </c>
    </row>
    <row r="3" spans="1:14" hidden="1" x14ac:dyDescent="0.35">
      <c r="A3">
        <v>2014</v>
      </c>
      <c r="B3" t="s">
        <v>77</v>
      </c>
      <c r="C3" t="s">
        <v>81</v>
      </c>
      <c r="D3" t="s">
        <v>79</v>
      </c>
      <c r="E3" s="3">
        <v>1456686</v>
      </c>
      <c r="F3" t="s">
        <v>17</v>
      </c>
      <c r="G3" t="s">
        <v>80</v>
      </c>
    </row>
    <row r="4" spans="1:14" hidden="1" x14ac:dyDescent="0.35">
      <c r="A4">
        <v>2014</v>
      </c>
      <c r="B4" t="s">
        <v>77</v>
      </c>
      <c r="C4" t="s">
        <v>82</v>
      </c>
      <c r="D4" t="s">
        <v>79</v>
      </c>
      <c r="E4" s="3">
        <v>2909032</v>
      </c>
      <c r="F4" s="3">
        <v>127315781182</v>
      </c>
      <c r="G4" t="s">
        <v>80</v>
      </c>
    </row>
    <row r="5" spans="1:14" hidden="1" x14ac:dyDescent="0.35">
      <c r="A5">
        <v>2014</v>
      </c>
      <c r="B5" t="s">
        <v>83</v>
      </c>
      <c r="C5" t="s">
        <v>84</v>
      </c>
      <c r="D5" t="s">
        <v>79</v>
      </c>
      <c r="E5" s="8">
        <v>6.5884317699999997</v>
      </c>
      <c r="F5" s="3">
        <v>132680295481</v>
      </c>
      <c r="G5" t="s">
        <v>80</v>
      </c>
    </row>
    <row r="6" spans="1:14" hidden="1" x14ac:dyDescent="0.35">
      <c r="A6">
        <v>2014</v>
      </c>
      <c r="B6" t="s">
        <v>83</v>
      </c>
      <c r="C6" t="s">
        <v>85</v>
      </c>
      <c r="D6" t="s">
        <v>79</v>
      </c>
      <c r="E6" t="s">
        <v>15</v>
      </c>
      <c r="F6" t="s">
        <v>15</v>
      </c>
      <c r="G6" t="s">
        <v>80</v>
      </c>
      <c r="K6" s="10"/>
      <c r="L6" s="9" t="s">
        <v>210</v>
      </c>
      <c r="M6" s="10"/>
    </row>
    <row r="7" spans="1:14" hidden="1" x14ac:dyDescent="0.35">
      <c r="A7">
        <v>2014</v>
      </c>
      <c r="B7" t="s">
        <v>86</v>
      </c>
      <c r="C7" t="s">
        <v>81</v>
      </c>
      <c r="D7" t="s">
        <v>79</v>
      </c>
      <c r="E7" s="3">
        <v>2867917</v>
      </c>
      <c r="F7" t="s">
        <v>17</v>
      </c>
      <c r="G7" t="s">
        <v>80</v>
      </c>
      <c r="K7" s="10"/>
      <c r="L7" s="10" t="s">
        <v>26</v>
      </c>
      <c r="M7" s="10"/>
    </row>
    <row r="8" spans="1:14" hidden="1" x14ac:dyDescent="0.35">
      <c r="A8">
        <v>2014</v>
      </c>
      <c r="B8" t="s">
        <v>86</v>
      </c>
      <c r="C8" t="s">
        <v>87</v>
      </c>
      <c r="D8" t="s">
        <v>79</v>
      </c>
      <c r="E8" s="3">
        <v>458092</v>
      </c>
      <c r="F8" t="s">
        <v>17</v>
      </c>
      <c r="G8" t="s">
        <v>80</v>
      </c>
      <c r="K8" s="9" t="s">
        <v>208</v>
      </c>
      <c r="L8" s="10" t="s">
        <v>211</v>
      </c>
      <c r="M8" s="10" t="s">
        <v>213</v>
      </c>
    </row>
    <row r="9" spans="1:14" hidden="1" x14ac:dyDescent="0.35">
      <c r="A9">
        <v>2014</v>
      </c>
      <c r="B9" t="s">
        <v>86</v>
      </c>
      <c r="C9" t="s">
        <v>88</v>
      </c>
      <c r="D9" t="s">
        <v>79</v>
      </c>
      <c r="E9" s="3">
        <v>127437</v>
      </c>
      <c r="F9" t="s">
        <v>17</v>
      </c>
      <c r="G9" t="s">
        <v>80</v>
      </c>
      <c r="K9" s="11">
        <v>2014</v>
      </c>
      <c r="L9" s="10">
        <v>9040</v>
      </c>
      <c r="M9" s="10">
        <v>6493637</v>
      </c>
      <c r="N9" s="12">
        <f>M9/L9</f>
        <v>718.32267699115039</v>
      </c>
    </row>
    <row r="10" spans="1:14" hidden="1" x14ac:dyDescent="0.35">
      <c r="A10">
        <v>2014</v>
      </c>
      <c r="B10" t="s">
        <v>89</v>
      </c>
      <c r="C10" t="s">
        <v>28</v>
      </c>
      <c r="D10" t="s">
        <v>79</v>
      </c>
      <c r="E10" s="3">
        <v>72470</v>
      </c>
      <c r="F10" s="3">
        <v>15163578</v>
      </c>
      <c r="G10" t="s">
        <v>90</v>
      </c>
      <c r="K10" s="11">
        <v>2015</v>
      </c>
      <c r="L10" s="10">
        <v>45248</v>
      </c>
      <c r="M10" s="10">
        <v>47869719</v>
      </c>
      <c r="N10" s="12">
        <f t="shared" ref="N10:N19" si="0">M10/L10</f>
        <v>1057.9411023691655</v>
      </c>
    </row>
    <row r="11" spans="1:14" hidden="1" x14ac:dyDescent="0.35">
      <c r="A11">
        <v>2014</v>
      </c>
      <c r="B11" t="s">
        <v>89</v>
      </c>
      <c r="C11" t="s">
        <v>28</v>
      </c>
      <c r="D11" t="s">
        <v>79</v>
      </c>
      <c r="E11" s="3">
        <v>16657</v>
      </c>
      <c r="F11" s="3">
        <v>5248771</v>
      </c>
      <c r="G11" t="s">
        <v>90</v>
      </c>
      <c r="K11" s="11">
        <v>2016</v>
      </c>
      <c r="L11" s="10">
        <v>61919</v>
      </c>
      <c r="M11" s="10">
        <v>52728439</v>
      </c>
      <c r="N11" s="12">
        <f t="shared" si="0"/>
        <v>851.57123015552577</v>
      </c>
    </row>
    <row r="12" spans="1:14" hidden="1" x14ac:dyDescent="0.35">
      <c r="A12">
        <v>2014</v>
      </c>
      <c r="B12" t="s">
        <v>89</v>
      </c>
      <c r="C12" t="s">
        <v>26</v>
      </c>
      <c r="D12" t="s">
        <v>79</v>
      </c>
      <c r="E12" s="3">
        <v>763</v>
      </c>
      <c r="F12" s="3">
        <v>576251</v>
      </c>
      <c r="G12" t="s">
        <v>90</v>
      </c>
      <c r="K12" s="11">
        <v>2017</v>
      </c>
      <c r="L12" s="10">
        <v>81748</v>
      </c>
      <c r="M12" s="10">
        <v>40208500106</v>
      </c>
      <c r="N12" s="12">
        <f t="shared" si="0"/>
        <v>491859.12934873026</v>
      </c>
    </row>
    <row r="13" spans="1:14" hidden="1" x14ac:dyDescent="0.35">
      <c r="A13">
        <v>2014</v>
      </c>
      <c r="B13" t="s">
        <v>89</v>
      </c>
      <c r="C13" t="s">
        <v>26</v>
      </c>
      <c r="D13" t="s">
        <v>79</v>
      </c>
      <c r="E13" s="3">
        <v>8277</v>
      </c>
      <c r="F13" s="3">
        <v>5917386</v>
      </c>
      <c r="G13" t="s">
        <v>90</v>
      </c>
      <c r="K13" s="11">
        <v>2018</v>
      </c>
      <c r="L13" s="10">
        <v>93569</v>
      </c>
      <c r="M13" s="10">
        <v>61606680958</v>
      </c>
      <c r="N13" s="12">
        <f t="shared" si="0"/>
        <v>658409.09871859266</v>
      </c>
    </row>
    <row r="14" spans="1:14" hidden="1" x14ac:dyDescent="0.35">
      <c r="A14">
        <v>2014</v>
      </c>
      <c r="B14" t="s">
        <v>89</v>
      </c>
      <c r="C14" t="s">
        <v>91</v>
      </c>
      <c r="D14" t="s">
        <v>79</v>
      </c>
      <c r="E14" s="3">
        <v>262</v>
      </c>
      <c r="F14" s="4">
        <v>301127.2</v>
      </c>
      <c r="G14" t="s">
        <v>90</v>
      </c>
      <c r="K14" s="11">
        <v>2019</v>
      </c>
      <c r="L14" s="10">
        <v>80747</v>
      </c>
      <c r="M14" s="10">
        <v>57754905652</v>
      </c>
      <c r="N14" s="12">
        <f t="shared" si="0"/>
        <v>715257.60278400441</v>
      </c>
    </row>
    <row r="15" spans="1:14" hidden="1" x14ac:dyDescent="0.35">
      <c r="A15">
        <v>2014</v>
      </c>
      <c r="B15" t="s">
        <v>89</v>
      </c>
      <c r="C15" t="s">
        <v>92</v>
      </c>
      <c r="D15" t="s">
        <v>79</v>
      </c>
      <c r="E15" s="3">
        <v>591</v>
      </c>
      <c r="F15" s="3">
        <v>571200</v>
      </c>
      <c r="G15" t="s">
        <v>90</v>
      </c>
      <c r="K15" s="11">
        <v>2020</v>
      </c>
      <c r="L15" s="10">
        <v>83257.100000000006</v>
      </c>
      <c r="M15" s="10">
        <v>51930000000</v>
      </c>
      <c r="N15" s="12">
        <f t="shared" si="0"/>
        <v>623730.58874258166</v>
      </c>
    </row>
    <row r="16" spans="1:14" hidden="1" x14ac:dyDescent="0.35">
      <c r="A16">
        <v>2014</v>
      </c>
      <c r="B16" t="s">
        <v>93</v>
      </c>
      <c r="C16" t="s">
        <v>94</v>
      </c>
      <c r="D16" t="s">
        <v>79</v>
      </c>
      <c r="E16" s="3">
        <v>195668</v>
      </c>
      <c r="F16" s="3">
        <v>2907039476</v>
      </c>
      <c r="G16" t="s">
        <v>80</v>
      </c>
      <c r="K16" s="11">
        <v>2021</v>
      </c>
      <c r="L16" s="10">
        <v>90759.799999999988</v>
      </c>
      <c r="M16" s="10">
        <v>61742607302</v>
      </c>
      <c r="N16" s="12">
        <f t="shared" si="0"/>
        <v>680285.84573787078</v>
      </c>
    </row>
    <row r="17" spans="1:14" hidden="1" x14ac:dyDescent="0.35">
      <c r="A17">
        <v>2014</v>
      </c>
      <c r="B17" t="s">
        <v>93</v>
      </c>
      <c r="C17" t="s">
        <v>32</v>
      </c>
      <c r="D17" t="s">
        <v>79</v>
      </c>
      <c r="E17" s="3">
        <v>8353</v>
      </c>
      <c r="F17" s="3">
        <v>395481138</v>
      </c>
      <c r="G17" t="s">
        <v>80</v>
      </c>
      <c r="K17" s="11">
        <v>2022</v>
      </c>
      <c r="L17" s="10">
        <v>84062</v>
      </c>
      <c r="M17" s="10">
        <v>82856545012</v>
      </c>
      <c r="N17" s="12">
        <f t="shared" si="0"/>
        <v>985659.9297185411</v>
      </c>
    </row>
    <row r="18" spans="1:14" hidden="1" x14ac:dyDescent="0.35">
      <c r="A18">
        <v>2014</v>
      </c>
      <c r="B18" t="s">
        <v>95</v>
      </c>
      <c r="C18" t="s">
        <v>32</v>
      </c>
      <c r="D18" t="s">
        <v>79</v>
      </c>
      <c r="E18" s="3">
        <v>748000</v>
      </c>
      <c r="F18" t="s">
        <v>17</v>
      </c>
      <c r="G18" t="s">
        <v>80</v>
      </c>
      <c r="K18" s="11">
        <v>2023</v>
      </c>
      <c r="L18" s="10">
        <v>73325</v>
      </c>
      <c r="M18" s="10">
        <v>58067850895</v>
      </c>
      <c r="N18" s="12">
        <f t="shared" si="0"/>
        <v>791924.32178656664</v>
      </c>
    </row>
    <row r="19" spans="1:14" hidden="1" x14ac:dyDescent="0.35">
      <c r="A19">
        <v>2014</v>
      </c>
      <c r="B19" t="s">
        <v>96</v>
      </c>
      <c r="C19" t="s">
        <v>97</v>
      </c>
      <c r="D19" t="s">
        <v>79</v>
      </c>
      <c r="E19" s="3">
        <v>23554</v>
      </c>
      <c r="F19" s="3">
        <v>384556158</v>
      </c>
      <c r="G19" t="s">
        <v>80</v>
      </c>
      <c r="K19" s="11">
        <v>2024</v>
      </c>
      <c r="L19" s="10">
        <v>74068</v>
      </c>
      <c r="M19" s="10">
        <v>78027493403</v>
      </c>
      <c r="N19" s="12">
        <f t="shared" si="0"/>
        <v>1053457.5444591457</v>
      </c>
    </row>
    <row r="20" spans="1:14" hidden="1" x14ac:dyDescent="0.35">
      <c r="A20">
        <v>2014</v>
      </c>
      <c r="B20" t="s">
        <v>96</v>
      </c>
      <c r="C20" t="s">
        <v>82</v>
      </c>
      <c r="D20" t="s">
        <v>79</v>
      </c>
      <c r="E20" s="3">
        <v>7008</v>
      </c>
      <c r="F20" s="3">
        <v>115127424</v>
      </c>
      <c r="G20" t="s">
        <v>80</v>
      </c>
      <c r="K20" s="11" t="s">
        <v>209</v>
      </c>
      <c r="L20" s="10">
        <v>777742.89999999991</v>
      </c>
      <c r="M20" s="10">
        <v>492301675123</v>
      </c>
    </row>
    <row r="21" spans="1:14" hidden="1" x14ac:dyDescent="0.35">
      <c r="A21">
        <v>2014</v>
      </c>
      <c r="B21" t="s">
        <v>98</v>
      </c>
      <c r="C21" t="s">
        <v>32</v>
      </c>
      <c r="D21" t="s">
        <v>79</v>
      </c>
      <c r="E21" s="3">
        <v>36022</v>
      </c>
      <c r="F21" s="3">
        <v>3147477508</v>
      </c>
      <c r="G21" t="s">
        <v>80</v>
      </c>
    </row>
    <row r="22" spans="1:14" hidden="1" x14ac:dyDescent="0.35">
      <c r="A22">
        <v>2014</v>
      </c>
      <c r="B22" t="s">
        <v>99</v>
      </c>
      <c r="C22" t="s">
        <v>32</v>
      </c>
      <c r="D22" t="s">
        <v>79</v>
      </c>
      <c r="E22" s="3">
        <v>338847</v>
      </c>
      <c r="F22" s="3">
        <v>9608345532</v>
      </c>
      <c r="G22" t="s">
        <v>80</v>
      </c>
    </row>
    <row r="23" spans="1:14" hidden="1" x14ac:dyDescent="0.35">
      <c r="A23">
        <v>2014</v>
      </c>
      <c r="B23" t="s">
        <v>99</v>
      </c>
      <c r="C23" t="s">
        <v>32</v>
      </c>
      <c r="D23" t="s">
        <v>79</v>
      </c>
      <c r="E23" t="s">
        <v>15</v>
      </c>
      <c r="F23" t="s">
        <v>15</v>
      </c>
      <c r="G23" t="s">
        <v>80</v>
      </c>
    </row>
    <row r="24" spans="1:14" hidden="1" x14ac:dyDescent="0.35">
      <c r="A24">
        <v>2014</v>
      </c>
      <c r="B24" t="s">
        <v>99</v>
      </c>
      <c r="C24" t="s">
        <v>32</v>
      </c>
      <c r="D24" t="s">
        <v>79</v>
      </c>
      <c r="E24" t="s">
        <v>15</v>
      </c>
      <c r="F24" t="s">
        <v>15</v>
      </c>
      <c r="G24" t="s">
        <v>80</v>
      </c>
    </row>
    <row r="25" spans="1:14" hidden="1" x14ac:dyDescent="0.35">
      <c r="A25">
        <v>2014</v>
      </c>
      <c r="B25" t="s">
        <v>100</v>
      </c>
      <c r="C25" t="s">
        <v>32</v>
      </c>
      <c r="D25" t="s">
        <v>79</v>
      </c>
      <c r="E25" s="3">
        <v>215325</v>
      </c>
      <c r="F25" s="3">
        <v>6931727295</v>
      </c>
      <c r="G25" t="s">
        <v>80</v>
      </c>
    </row>
    <row r="26" spans="1:14" hidden="1" x14ac:dyDescent="0.35">
      <c r="A26">
        <v>2014</v>
      </c>
      <c r="B26" t="s">
        <v>101</v>
      </c>
      <c r="C26" t="s">
        <v>102</v>
      </c>
      <c r="D26" t="s">
        <v>79</v>
      </c>
      <c r="E26" s="3">
        <v>345000</v>
      </c>
      <c r="F26" s="3">
        <v>6743230000</v>
      </c>
      <c r="G26" t="s">
        <v>80</v>
      </c>
    </row>
    <row r="27" spans="1:14" hidden="1" x14ac:dyDescent="0.35">
      <c r="A27">
        <v>2014</v>
      </c>
      <c r="B27" t="s">
        <v>101</v>
      </c>
      <c r="C27" t="s">
        <v>81</v>
      </c>
      <c r="D27" t="s">
        <v>103</v>
      </c>
      <c r="E27" s="3">
        <v>173710</v>
      </c>
      <c r="F27" s="3">
        <v>6743230000</v>
      </c>
      <c r="G27" t="s">
        <v>80</v>
      </c>
    </row>
    <row r="28" spans="1:14" hidden="1" x14ac:dyDescent="0.35">
      <c r="A28">
        <v>2014</v>
      </c>
      <c r="B28" t="s">
        <v>104</v>
      </c>
      <c r="C28" t="s">
        <v>102</v>
      </c>
      <c r="D28" t="s">
        <v>79</v>
      </c>
      <c r="E28" s="3">
        <v>815000</v>
      </c>
      <c r="F28" s="3">
        <v>10930284810</v>
      </c>
      <c r="G28" t="s">
        <v>80</v>
      </c>
    </row>
    <row r="29" spans="1:14" hidden="1" x14ac:dyDescent="0.35">
      <c r="A29">
        <v>2014</v>
      </c>
      <c r="B29" t="s">
        <v>105</v>
      </c>
      <c r="C29" t="s">
        <v>102</v>
      </c>
      <c r="D29" t="s">
        <v>79</v>
      </c>
      <c r="E29" s="3">
        <v>1283599</v>
      </c>
      <c r="F29" s="3">
        <v>7661941060</v>
      </c>
      <c r="G29" t="s">
        <v>80</v>
      </c>
    </row>
    <row r="30" spans="1:14" hidden="1" x14ac:dyDescent="0.35">
      <c r="A30">
        <v>2014</v>
      </c>
      <c r="B30" t="s">
        <v>106</v>
      </c>
      <c r="C30" t="s">
        <v>81</v>
      </c>
      <c r="D30" t="s">
        <v>103</v>
      </c>
      <c r="E30" s="3">
        <v>732719</v>
      </c>
      <c r="F30" s="3">
        <v>4458513802</v>
      </c>
      <c r="G30" t="s">
        <v>80</v>
      </c>
    </row>
    <row r="31" spans="1:14" hidden="1" x14ac:dyDescent="0.35">
      <c r="A31">
        <v>2015</v>
      </c>
      <c r="B31" t="s">
        <v>77</v>
      </c>
      <c r="C31" t="s">
        <v>82</v>
      </c>
      <c r="D31" t="s">
        <v>79</v>
      </c>
      <c r="E31" s="3">
        <v>2592744</v>
      </c>
      <c r="F31" s="3">
        <v>108775978956</v>
      </c>
      <c r="G31" t="s">
        <v>80</v>
      </c>
    </row>
    <row r="32" spans="1:14" hidden="1" x14ac:dyDescent="0.35">
      <c r="A32">
        <v>2015</v>
      </c>
      <c r="B32" t="s">
        <v>83</v>
      </c>
      <c r="C32" t="s">
        <v>84</v>
      </c>
      <c r="D32" t="s">
        <v>79</v>
      </c>
      <c r="E32" s="8">
        <v>5.6696039599999999</v>
      </c>
      <c r="F32" s="3">
        <v>125343600170</v>
      </c>
      <c r="G32" t="s">
        <v>80</v>
      </c>
    </row>
    <row r="33" spans="1:7" hidden="1" x14ac:dyDescent="0.35">
      <c r="A33">
        <v>2015</v>
      </c>
      <c r="B33" t="s">
        <v>83</v>
      </c>
      <c r="C33" t="s">
        <v>85</v>
      </c>
      <c r="D33" t="s">
        <v>79</v>
      </c>
      <c r="E33" t="s">
        <v>15</v>
      </c>
      <c r="F33" t="s">
        <v>15</v>
      </c>
      <c r="G33" t="s">
        <v>80</v>
      </c>
    </row>
    <row r="34" spans="1:7" hidden="1" x14ac:dyDescent="0.35">
      <c r="A34">
        <v>2015</v>
      </c>
      <c r="B34" t="s">
        <v>86</v>
      </c>
      <c r="C34" t="s">
        <v>81</v>
      </c>
      <c r="D34" t="s">
        <v>79</v>
      </c>
      <c r="E34" s="3">
        <v>2618495</v>
      </c>
      <c r="F34" t="s">
        <v>17</v>
      </c>
      <c r="G34" t="s">
        <v>80</v>
      </c>
    </row>
    <row r="35" spans="1:7" hidden="1" x14ac:dyDescent="0.35">
      <c r="A35">
        <v>2015</v>
      </c>
      <c r="B35" t="s">
        <v>86</v>
      </c>
      <c r="C35" t="s">
        <v>87</v>
      </c>
      <c r="D35" t="s">
        <v>79</v>
      </c>
      <c r="E35" s="3">
        <v>590617</v>
      </c>
      <c r="F35" t="s">
        <v>17</v>
      </c>
      <c r="G35" t="s">
        <v>80</v>
      </c>
    </row>
    <row r="36" spans="1:7" hidden="1" x14ac:dyDescent="0.35">
      <c r="A36">
        <v>2015</v>
      </c>
      <c r="B36" t="s">
        <v>86</v>
      </c>
      <c r="C36" t="s">
        <v>88</v>
      </c>
      <c r="D36" t="s">
        <v>79</v>
      </c>
      <c r="E36" s="3">
        <v>66135</v>
      </c>
      <c r="F36" t="s">
        <v>17</v>
      </c>
      <c r="G36" t="s">
        <v>80</v>
      </c>
    </row>
    <row r="37" spans="1:7" hidden="1" x14ac:dyDescent="0.35">
      <c r="A37">
        <v>2015</v>
      </c>
      <c r="B37" t="s">
        <v>89</v>
      </c>
      <c r="C37" t="s">
        <v>28</v>
      </c>
      <c r="D37" t="s">
        <v>79</v>
      </c>
      <c r="E37" s="3">
        <v>320646</v>
      </c>
      <c r="F37" s="3">
        <v>32064633</v>
      </c>
      <c r="G37" t="s">
        <v>90</v>
      </c>
    </row>
    <row r="38" spans="1:7" hidden="1" x14ac:dyDescent="0.35">
      <c r="A38">
        <v>2015</v>
      </c>
      <c r="B38" t="s">
        <v>89</v>
      </c>
      <c r="C38" t="s">
        <v>28</v>
      </c>
      <c r="D38" t="s">
        <v>79</v>
      </c>
      <c r="E38" s="3">
        <v>107043</v>
      </c>
      <c r="F38" s="3">
        <v>16912780</v>
      </c>
      <c r="G38" t="s">
        <v>90</v>
      </c>
    </row>
    <row r="39" spans="1:7" hidden="1" x14ac:dyDescent="0.35">
      <c r="A39">
        <v>2015</v>
      </c>
      <c r="B39" t="s">
        <v>89</v>
      </c>
      <c r="C39" t="s">
        <v>26</v>
      </c>
      <c r="D39" t="s">
        <v>79</v>
      </c>
      <c r="E39" s="3">
        <v>23516</v>
      </c>
      <c r="F39" s="3">
        <v>25703452</v>
      </c>
      <c r="G39" t="s">
        <v>90</v>
      </c>
    </row>
    <row r="40" spans="1:7" hidden="1" x14ac:dyDescent="0.35">
      <c r="A40">
        <v>2015</v>
      </c>
      <c r="B40" t="s">
        <v>89</v>
      </c>
      <c r="C40" t="s">
        <v>26</v>
      </c>
      <c r="D40" t="s">
        <v>79</v>
      </c>
      <c r="E40" s="3">
        <v>21732</v>
      </c>
      <c r="F40" s="3">
        <v>22166267</v>
      </c>
      <c r="G40" t="s">
        <v>90</v>
      </c>
    </row>
    <row r="41" spans="1:7" hidden="1" x14ac:dyDescent="0.35">
      <c r="A41">
        <v>2015</v>
      </c>
      <c r="B41" t="s">
        <v>89</v>
      </c>
      <c r="C41" t="s">
        <v>91</v>
      </c>
      <c r="D41" t="s">
        <v>79</v>
      </c>
      <c r="E41" s="3">
        <v>2084</v>
      </c>
      <c r="F41" s="3">
        <v>1716817</v>
      </c>
      <c r="G41" t="s">
        <v>90</v>
      </c>
    </row>
    <row r="42" spans="1:7" hidden="1" x14ac:dyDescent="0.35">
      <c r="A42">
        <v>2015</v>
      </c>
      <c r="B42" t="s">
        <v>89</v>
      </c>
      <c r="C42" t="s">
        <v>92</v>
      </c>
      <c r="D42" t="s">
        <v>79</v>
      </c>
      <c r="E42" s="3">
        <v>3227</v>
      </c>
      <c r="F42" s="3">
        <v>1564960</v>
      </c>
      <c r="G42" t="s">
        <v>90</v>
      </c>
    </row>
    <row r="43" spans="1:7" hidden="1" x14ac:dyDescent="0.35">
      <c r="A43">
        <v>2015</v>
      </c>
      <c r="B43" t="s">
        <v>93</v>
      </c>
      <c r="C43" t="s">
        <v>94</v>
      </c>
      <c r="D43" t="s">
        <v>79</v>
      </c>
      <c r="E43" s="3">
        <v>181247</v>
      </c>
      <c r="F43" s="3">
        <v>2705941826</v>
      </c>
      <c r="G43" t="s">
        <v>80</v>
      </c>
    </row>
    <row r="44" spans="1:7" hidden="1" x14ac:dyDescent="0.35">
      <c r="A44">
        <v>2015</v>
      </c>
      <c r="B44" t="s">
        <v>93</v>
      </c>
      <c r="C44" t="s">
        <v>32</v>
      </c>
      <c r="D44" t="s">
        <v>79</v>
      </c>
      <c r="E44" s="3">
        <v>1261</v>
      </c>
      <c r="F44" s="3">
        <v>138607499</v>
      </c>
      <c r="G44" t="s">
        <v>80</v>
      </c>
    </row>
    <row r="45" spans="1:7" hidden="1" x14ac:dyDescent="0.35">
      <c r="A45">
        <v>2015</v>
      </c>
      <c r="B45" t="s">
        <v>95</v>
      </c>
      <c r="C45" t="s">
        <v>32</v>
      </c>
      <c r="D45" t="s">
        <v>79</v>
      </c>
      <c r="E45" s="3">
        <v>1005628</v>
      </c>
      <c r="F45" t="s">
        <v>17</v>
      </c>
      <c r="G45" t="s">
        <v>80</v>
      </c>
    </row>
    <row r="46" spans="1:7" hidden="1" x14ac:dyDescent="0.35">
      <c r="A46">
        <v>2015</v>
      </c>
      <c r="B46" t="s">
        <v>96</v>
      </c>
      <c r="C46" t="s">
        <v>81</v>
      </c>
      <c r="D46" t="s">
        <v>79</v>
      </c>
      <c r="E46" s="3">
        <v>1536830</v>
      </c>
      <c r="F46" s="3">
        <v>3997595441</v>
      </c>
      <c r="G46" t="s">
        <v>80</v>
      </c>
    </row>
    <row r="47" spans="1:7" hidden="1" x14ac:dyDescent="0.35">
      <c r="A47">
        <v>2015</v>
      </c>
      <c r="B47" t="s">
        <v>96</v>
      </c>
      <c r="C47" t="s">
        <v>87</v>
      </c>
      <c r="D47" t="s">
        <v>79</v>
      </c>
      <c r="E47" s="3">
        <v>160794</v>
      </c>
      <c r="F47" s="3">
        <v>310886049</v>
      </c>
      <c r="G47" t="s">
        <v>80</v>
      </c>
    </row>
    <row r="48" spans="1:7" hidden="1" x14ac:dyDescent="0.35">
      <c r="A48">
        <v>2015</v>
      </c>
      <c r="B48" t="s">
        <v>96</v>
      </c>
      <c r="C48" t="s">
        <v>88</v>
      </c>
      <c r="D48" t="s">
        <v>79</v>
      </c>
      <c r="E48" s="3">
        <v>36578</v>
      </c>
      <c r="F48" s="3">
        <v>81977363</v>
      </c>
      <c r="G48" t="s">
        <v>80</v>
      </c>
    </row>
    <row r="49" spans="1:7" hidden="1" x14ac:dyDescent="0.35">
      <c r="A49">
        <v>2015</v>
      </c>
      <c r="B49" t="s">
        <v>96</v>
      </c>
      <c r="C49" t="s">
        <v>82</v>
      </c>
      <c r="D49" t="s">
        <v>79</v>
      </c>
      <c r="E49" s="3">
        <v>939259</v>
      </c>
      <c r="F49" s="3">
        <v>42176448566</v>
      </c>
      <c r="G49" t="s">
        <v>80</v>
      </c>
    </row>
    <row r="50" spans="1:7" hidden="1" x14ac:dyDescent="0.35">
      <c r="A50">
        <v>2015</v>
      </c>
      <c r="B50" t="s">
        <v>98</v>
      </c>
      <c r="C50" t="s">
        <v>32</v>
      </c>
      <c r="D50" t="s">
        <v>79</v>
      </c>
      <c r="E50" s="3">
        <v>416366</v>
      </c>
      <c r="F50" s="3">
        <v>21666437542</v>
      </c>
      <c r="G50" t="s">
        <v>80</v>
      </c>
    </row>
    <row r="51" spans="1:7" hidden="1" x14ac:dyDescent="0.35">
      <c r="A51">
        <v>2015</v>
      </c>
      <c r="B51" t="s">
        <v>99</v>
      </c>
      <c r="C51" t="s">
        <v>32</v>
      </c>
      <c r="D51" t="s">
        <v>79</v>
      </c>
      <c r="E51" s="3">
        <v>413297</v>
      </c>
      <c r="F51" s="3">
        <v>8588721008</v>
      </c>
      <c r="G51" t="s">
        <v>80</v>
      </c>
    </row>
    <row r="52" spans="1:7" hidden="1" x14ac:dyDescent="0.35">
      <c r="A52">
        <v>2015</v>
      </c>
      <c r="B52" t="s">
        <v>100</v>
      </c>
      <c r="C52" t="s">
        <v>32</v>
      </c>
      <c r="D52" t="s">
        <v>79</v>
      </c>
      <c r="E52" t="s">
        <v>15</v>
      </c>
      <c r="F52" t="s">
        <v>15</v>
      </c>
      <c r="G52" t="s">
        <v>80</v>
      </c>
    </row>
    <row r="53" spans="1:7" hidden="1" x14ac:dyDescent="0.35">
      <c r="A53">
        <v>2015</v>
      </c>
      <c r="B53" t="s">
        <v>101</v>
      </c>
      <c r="C53" t="s">
        <v>102</v>
      </c>
      <c r="D53" t="s">
        <v>79</v>
      </c>
      <c r="E53" s="3">
        <v>330000</v>
      </c>
      <c r="F53" t="s">
        <v>15</v>
      </c>
      <c r="G53" t="s">
        <v>80</v>
      </c>
    </row>
    <row r="54" spans="1:7" hidden="1" x14ac:dyDescent="0.35">
      <c r="A54">
        <v>2015</v>
      </c>
      <c r="B54" t="s">
        <v>101</v>
      </c>
      <c r="C54" t="s">
        <v>81</v>
      </c>
      <c r="D54" t="s">
        <v>103</v>
      </c>
      <c r="E54" s="3">
        <v>150000</v>
      </c>
      <c r="F54" t="s">
        <v>15</v>
      </c>
      <c r="G54" t="s">
        <v>80</v>
      </c>
    </row>
    <row r="55" spans="1:7" hidden="1" x14ac:dyDescent="0.35">
      <c r="A55">
        <v>2015</v>
      </c>
      <c r="B55" t="s">
        <v>104</v>
      </c>
      <c r="C55" t="s">
        <v>102</v>
      </c>
      <c r="D55" t="s">
        <v>79</v>
      </c>
      <c r="E55" s="3">
        <v>780000</v>
      </c>
      <c r="F55" t="s">
        <v>15</v>
      </c>
      <c r="G55" t="s">
        <v>80</v>
      </c>
    </row>
    <row r="56" spans="1:7" hidden="1" x14ac:dyDescent="0.35">
      <c r="A56">
        <v>2015</v>
      </c>
      <c r="B56" t="s">
        <v>105</v>
      </c>
      <c r="C56" t="s">
        <v>102</v>
      </c>
      <c r="D56" t="s">
        <v>79</v>
      </c>
      <c r="E56" s="3">
        <v>1425402</v>
      </c>
      <c r="F56" s="3">
        <v>8489794090</v>
      </c>
      <c r="G56" t="s">
        <v>80</v>
      </c>
    </row>
    <row r="57" spans="1:7" hidden="1" x14ac:dyDescent="0.35">
      <c r="A57">
        <v>2015</v>
      </c>
      <c r="B57" t="s">
        <v>106</v>
      </c>
      <c r="C57" t="s">
        <v>81</v>
      </c>
      <c r="D57" t="s">
        <v>103</v>
      </c>
      <c r="E57" s="3">
        <v>686742</v>
      </c>
      <c r="F57" s="3">
        <v>3625194272</v>
      </c>
      <c r="G57" t="s">
        <v>80</v>
      </c>
    </row>
    <row r="58" spans="1:7" hidden="1" x14ac:dyDescent="0.35">
      <c r="A58">
        <v>2016</v>
      </c>
      <c r="B58" t="s">
        <v>77</v>
      </c>
      <c r="C58" t="s">
        <v>82</v>
      </c>
      <c r="D58" t="s">
        <v>79</v>
      </c>
      <c r="E58" s="3">
        <v>2753704</v>
      </c>
      <c r="F58" s="3">
        <v>113299795957</v>
      </c>
      <c r="G58" t="s">
        <v>80</v>
      </c>
    </row>
    <row r="59" spans="1:7" hidden="1" x14ac:dyDescent="0.35">
      <c r="A59">
        <v>2016</v>
      </c>
      <c r="B59" t="s">
        <v>83</v>
      </c>
      <c r="C59" t="s">
        <v>84</v>
      </c>
      <c r="D59" t="s">
        <v>79</v>
      </c>
      <c r="E59" s="8">
        <v>6.7412120399999997</v>
      </c>
      <c r="F59" s="3">
        <v>158275855422</v>
      </c>
      <c r="G59" t="s">
        <v>80</v>
      </c>
    </row>
    <row r="60" spans="1:7" hidden="1" x14ac:dyDescent="0.35">
      <c r="A60">
        <v>2016</v>
      </c>
      <c r="B60" t="s">
        <v>83</v>
      </c>
      <c r="C60" t="s">
        <v>85</v>
      </c>
      <c r="D60" t="s">
        <v>79</v>
      </c>
      <c r="E60" t="s">
        <v>15</v>
      </c>
      <c r="F60" t="s">
        <v>15</v>
      </c>
      <c r="G60" t="s">
        <v>80</v>
      </c>
    </row>
    <row r="61" spans="1:7" hidden="1" x14ac:dyDescent="0.35">
      <c r="A61">
        <v>2016</v>
      </c>
      <c r="B61" t="s">
        <v>86</v>
      </c>
      <c r="C61" t="s">
        <v>81</v>
      </c>
      <c r="D61" t="s">
        <v>79</v>
      </c>
      <c r="E61" s="3">
        <v>2743271</v>
      </c>
      <c r="F61" t="s">
        <v>17</v>
      </c>
      <c r="G61" t="s">
        <v>80</v>
      </c>
    </row>
    <row r="62" spans="1:7" hidden="1" x14ac:dyDescent="0.35">
      <c r="A62">
        <v>2016</v>
      </c>
      <c r="B62" t="s">
        <v>86</v>
      </c>
      <c r="C62" t="s">
        <v>87</v>
      </c>
      <c r="D62" t="s">
        <v>79</v>
      </c>
      <c r="E62" s="3">
        <v>453511</v>
      </c>
      <c r="F62" t="s">
        <v>17</v>
      </c>
      <c r="G62" t="s">
        <v>80</v>
      </c>
    </row>
    <row r="63" spans="1:7" hidden="1" x14ac:dyDescent="0.35">
      <c r="A63">
        <v>2016</v>
      </c>
      <c r="B63" t="s">
        <v>86</v>
      </c>
      <c r="C63" t="s">
        <v>88</v>
      </c>
      <c r="D63" t="s">
        <v>79</v>
      </c>
      <c r="E63" s="3">
        <v>61444</v>
      </c>
      <c r="F63" t="s">
        <v>17</v>
      </c>
      <c r="G63" t="s">
        <v>80</v>
      </c>
    </row>
    <row r="64" spans="1:7" hidden="1" x14ac:dyDescent="0.35">
      <c r="A64">
        <v>2016</v>
      </c>
      <c r="B64" t="s">
        <v>89</v>
      </c>
      <c r="C64" t="s">
        <v>28</v>
      </c>
      <c r="D64" t="s">
        <v>79</v>
      </c>
      <c r="E64" s="3">
        <v>298437</v>
      </c>
      <c r="F64" s="3">
        <v>31335888</v>
      </c>
      <c r="G64" t="s">
        <v>90</v>
      </c>
    </row>
    <row r="65" spans="1:7" hidden="1" x14ac:dyDescent="0.35">
      <c r="A65">
        <v>2016</v>
      </c>
      <c r="B65" t="s">
        <v>89</v>
      </c>
      <c r="C65" t="s">
        <v>28</v>
      </c>
      <c r="D65" t="s">
        <v>79</v>
      </c>
      <c r="E65" s="3">
        <v>117913</v>
      </c>
      <c r="F65" s="3">
        <v>18866005</v>
      </c>
      <c r="G65" t="s">
        <v>90</v>
      </c>
    </row>
    <row r="66" spans="1:7" hidden="1" x14ac:dyDescent="0.35">
      <c r="A66">
        <v>2016</v>
      </c>
      <c r="B66" t="s">
        <v>89</v>
      </c>
      <c r="C66" t="s">
        <v>26</v>
      </c>
      <c r="D66" t="s">
        <v>79</v>
      </c>
      <c r="E66" s="3">
        <v>27404</v>
      </c>
      <c r="F66" s="3">
        <v>27087747</v>
      </c>
      <c r="G66" t="s">
        <v>90</v>
      </c>
    </row>
    <row r="67" spans="1:7" hidden="1" x14ac:dyDescent="0.35">
      <c r="A67">
        <v>2016</v>
      </c>
      <c r="B67" t="s">
        <v>89</v>
      </c>
      <c r="C67" t="s">
        <v>26</v>
      </c>
      <c r="D67" t="s">
        <v>79</v>
      </c>
      <c r="E67" s="3">
        <v>25223</v>
      </c>
      <c r="F67" s="3">
        <v>22397924</v>
      </c>
      <c r="G67" t="s">
        <v>90</v>
      </c>
    </row>
    <row r="68" spans="1:7" hidden="1" x14ac:dyDescent="0.35">
      <c r="A68">
        <v>2016</v>
      </c>
      <c r="B68" t="s">
        <v>89</v>
      </c>
      <c r="C68" t="s">
        <v>26</v>
      </c>
      <c r="D68" t="s">
        <v>79</v>
      </c>
      <c r="E68" s="3">
        <v>9292</v>
      </c>
      <c r="F68" s="3">
        <v>3242768</v>
      </c>
      <c r="G68" t="s">
        <v>90</v>
      </c>
    </row>
    <row r="69" spans="1:7" hidden="1" x14ac:dyDescent="0.35">
      <c r="A69">
        <v>2016</v>
      </c>
      <c r="B69" t="s">
        <v>89</v>
      </c>
      <c r="C69" t="s">
        <v>91</v>
      </c>
      <c r="D69" t="s">
        <v>79</v>
      </c>
      <c r="E69" s="3">
        <v>2892</v>
      </c>
      <c r="F69" s="3">
        <v>2116898</v>
      </c>
      <c r="G69" t="s">
        <v>90</v>
      </c>
    </row>
    <row r="70" spans="1:7" hidden="1" x14ac:dyDescent="0.35">
      <c r="A70">
        <v>2016</v>
      </c>
      <c r="B70" t="s">
        <v>89</v>
      </c>
      <c r="C70" t="s">
        <v>92</v>
      </c>
      <c r="D70" t="s">
        <v>79</v>
      </c>
      <c r="E70" s="3">
        <v>6773</v>
      </c>
      <c r="F70" s="3">
        <v>3311924</v>
      </c>
      <c r="G70" t="s">
        <v>90</v>
      </c>
    </row>
    <row r="71" spans="1:7" hidden="1" x14ac:dyDescent="0.35">
      <c r="A71">
        <v>2016</v>
      </c>
      <c r="B71" t="s">
        <v>93</v>
      </c>
      <c r="C71" t="s">
        <v>94</v>
      </c>
      <c r="D71" t="s">
        <v>79</v>
      </c>
      <c r="E71" s="3">
        <v>163568</v>
      </c>
      <c r="F71" s="3">
        <v>2490283866</v>
      </c>
      <c r="G71" t="s">
        <v>80</v>
      </c>
    </row>
    <row r="72" spans="1:7" hidden="1" x14ac:dyDescent="0.35">
      <c r="A72">
        <v>2016</v>
      </c>
      <c r="B72" t="s">
        <v>93</v>
      </c>
      <c r="C72" t="s">
        <v>32</v>
      </c>
      <c r="D72" t="s">
        <v>79</v>
      </c>
      <c r="E72" s="3">
        <v>1451</v>
      </c>
      <c r="F72" s="3">
        <v>134092467</v>
      </c>
      <c r="G72" t="s">
        <v>80</v>
      </c>
    </row>
    <row r="73" spans="1:7" hidden="1" x14ac:dyDescent="0.35">
      <c r="A73">
        <v>2016</v>
      </c>
      <c r="B73" t="s">
        <v>95</v>
      </c>
      <c r="C73" t="s">
        <v>32</v>
      </c>
      <c r="D73" t="s">
        <v>79</v>
      </c>
      <c r="E73" s="3">
        <v>1607000</v>
      </c>
      <c r="F73" t="s">
        <v>17</v>
      </c>
      <c r="G73" t="s">
        <v>80</v>
      </c>
    </row>
    <row r="74" spans="1:7" hidden="1" x14ac:dyDescent="0.35">
      <c r="A74">
        <v>2016</v>
      </c>
      <c r="B74" t="s">
        <v>96</v>
      </c>
      <c r="C74" t="s">
        <v>81</v>
      </c>
      <c r="D74" t="s">
        <v>79</v>
      </c>
      <c r="E74" s="3">
        <v>1361964</v>
      </c>
      <c r="F74" s="3">
        <v>2775194821</v>
      </c>
      <c r="G74" t="s">
        <v>80</v>
      </c>
    </row>
    <row r="75" spans="1:7" hidden="1" x14ac:dyDescent="0.35">
      <c r="A75">
        <v>2016</v>
      </c>
      <c r="B75" t="s">
        <v>96</v>
      </c>
      <c r="C75" t="s">
        <v>87</v>
      </c>
      <c r="D75" t="s">
        <v>79</v>
      </c>
      <c r="E75" s="3">
        <v>157733</v>
      </c>
      <c r="F75" s="3">
        <v>321403441</v>
      </c>
      <c r="G75" t="s">
        <v>80</v>
      </c>
    </row>
    <row r="76" spans="1:7" hidden="1" x14ac:dyDescent="0.35">
      <c r="A76">
        <v>2016</v>
      </c>
      <c r="B76" t="s">
        <v>96</v>
      </c>
      <c r="C76" t="s">
        <v>88</v>
      </c>
      <c r="D76" t="s">
        <v>79</v>
      </c>
      <c r="E76" s="3">
        <v>38746</v>
      </c>
      <c r="F76" s="3">
        <v>78950470</v>
      </c>
      <c r="G76" t="s">
        <v>80</v>
      </c>
    </row>
    <row r="77" spans="1:7" hidden="1" x14ac:dyDescent="0.35">
      <c r="A77">
        <v>2016</v>
      </c>
      <c r="B77" t="s">
        <v>96</v>
      </c>
      <c r="C77" t="s">
        <v>82</v>
      </c>
      <c r="D77" t="s">
        <v>17</v>
      </c>
      <c r="E77" t="s">
        <v>17</v>
      </c>
      <c r="F77" t="s">
        <v>17</v>
      </c>
      <c r="G77" t="s">
        <v>80</v>
      </c>
    </row>
    <row r="78" spans="1:7" hidden="1" x14ac:dyDescent="0.35">
      <c r="A78">
        <v>2016</v>
      </c>
      <c r="B78" t="s">
        <v>98</v>
      </c>
      <c r="C78" t="s">
        <v>32</v>
      </c>
      <c r="D78" t="s">
        <v>79</v>
      </c>
      <c r="E78" s="3">
        <v>842604</v>
      </c>
      <c r="F78" s="3">
        <v>33001428264</v>
      </c>
      <c r="G78" t="s">
        <v>80</v>
      </c>
    </row>
    <row r="79" spans="1:7" hidden="1" x14ac:dyDescent="0.35">
      <c r="A79">
        <v>2016</v>
      </c>
      <c r="B79" t="s">
        <v>99</v>
      </c>
      <c r="C79" t="s">
        <v>32</v>
      </c>
      <c r="D79" t="s">
        <v>79</v>
      </c>
      <c r="E79" s="3">
        <v>319152</v>
      </c>
      <c r="F79" s="3">
        <v>6621072896</v>
      </c>
      <c r="G79" t="s">
        <v>80</v>
      </c>
    </row>
    <row r="80" spans="1:7" hidden="1" x14ac:dyDescent="0.35">
      <c r="A80">
        <v>2016</v>
      </c>
      <c r="B80" t="s">
        <v>100</v>
      </c>
      <c r="C80" t="s">
        <v>32</v>
      </c>
      <c r="D80" t="s">
        <v>79</v>
      </c>
      <c r="E80" t="s">
        <v>15</v>
      </c>
      <c r="F80" t="s">
        <v>15</v>
      </c>
      <c r="G80" t="s">
        <v>80</v>
      </c>
    </row>
    <row r="81" spans="1:7" hidden="1" x14ac:dyDescent="0.35">
      <c r="A81">
        <v>2016</v>
      </c>
      <c r="B81" t="s">
        <v>101</v>
      </c>
      <c r="C81" t="s">
        <v>102</v>
      </c>
      <c r="D81" t="s">
        <v>103</v>
      </c>
      <c r="E81" s="3">
        <v>198500</v>
      </c>
      <c r="F81" t="s">
        <v>15</v>
      </c>
      <c r="G81" t="s">
        <v>80</v>
      </c>
    </row>
    <row r="82" spans="1:7" hidden="1" x14ac:dyDescent="0.35">
      <c r="A82">
        <v>2016</v>
      </c>
      <c r="B82" t="s">
        <v>101</v>
      </c>
      <c r="C82" t="s">
        <v>81</v>
      </c>
      <c r="D82" t="s">
        <v>103</v>
      </c>
      <c r="E82" s="3">
        <v>135500</v>
      </c>
      <c r="F82" t="s">
        <v>15</v>
      </c>
      <c r="G82" t="s">
        <v>80</v>
      </c>
    </row>
    <row r="83" spans="1:7" hidden="1" x14ac:dyDescent="0.35">
      <c r="A83">
        <v>2016</v>
      </c>
      <c r="B83" t="s">
        <v>104</v>
      </c>
      <c r="C83" t="s">
        <v>102</v>
      </c>
      <c r="D83" t="s">
        <v>103</v>
      </c>
      <c r="E83" s="3">
        <v>694000</v>
      </c>
      <c r="F83" t="s">
        <v>15</v>
      </c>
      <c r="G83" t="s">
        <v>80</v>
      </c>
    </row>
    <row r="84" spans="1:7" hidden="1" x14ac:dyDescent="0.35">
      <c r="A84">
        <v>2016</v>
      </c>
      <c r="B84" t="s">
        <v>105</v>
      </c>
      <c r="C84" t="s">
        <v>102</v>
      </c>
      <c r="D84" t="s">
        <v>79</v>
      </c>
      <c r="E84" s="3">
        <v>1627638</v>
      </c>
      <c r="F84" s="3">
        <v>10200242499</v>
      </c>
      <c r="G84" t="s">
        <v>80</v>
      </c>
    </row>
    <row r="85" spans="1:7" hidden="1" x14ac:dyDescent="0.35">
      <c r="A85">
        <v>2016</v>
      </c>
      <c r="B85" t="s">
        <v>106</v>
      </c>
      <c r="C85" t="s">
        <v>81</v>
      </c>
      <c r="D85" t="s">
        <v>103</v>
      </c>
      <c r="E85" s="3">
        <v>714911</v>
      </c>
      <c r="F85" s="3">
        <v>4308175221</v>
      </c>
      <c r="G85" t="s">
        <v>80</v>
      </c>
    </row>
    <row r="86" spans="1:7" hidden="1" x14ac:dyDescent="0.35">
      <c r="A86">
        <v>2017</v>
      </c>
      <c r="B86" t="s">
        <v>77</v>
      </c>
      <c r="C86" t="s">
        <v>81</v>
      </c>
      <c r="D86" t="s">
        <v>79</v>
      </c>
      <c r="E86" s="3">
        <v>3142444</v>
      </c>
      <c r="F86" s="3">
        <v>6897664580</v>
      </c>
      <c r="G86" t="s">
        <v>80</v>
      </c>
    </row>
    <row r="87" spans="1:7" hidden="1" x14ac:dyDescent="0.35">
      <c r="A87">
        <v>2017</v>
      </c>
      <c r="B87" t="s">
        <v>77</v>
      </c>
      <c r="C87" t="s">
        <v>82</v>
      </c>
      <c r="D87" t="s">
        <v>79</v>
      </c>
      <c r="E87" t="s">
        <v>17</v>
      </c>
      <c r="F87" t="s">
        <v>17</v>
      </c>
      <c r="G87" t="s">
        <v>80</v>
      </c>
    </row>
    <row r="88" spans="1:7" hidden="1" x14ac:dyDescent="0.35">
      <c r="A88">
        <v>2017</v>
      </c>
      <c r="B88" t="s">
        <v>83</v>
      </c>
      <c r="C88" t="s">
        <v>84</v>
      </c>
      <c r="D88" t="s">
        <v>79</v>
      </c>
      <c r="E88" s="8">
        <v>7.2508114099999998</v>
      </c>
      <c r="F88" s="3">
        <v>170115735962</v>
      </c>
      <c r="G88" t="s">
        <v>80</v>
      </c>
    </row>
    <row r="89" spans="1:7" hidden="1" x14ac:dyDescent="0.35">
      <c r="A89">
        <v>2017</v>
      </c>
      <c r="B89" t="s">
        <v>83</v>
      </c>
      <c r="C89" t="s">
        <v>85</v>
      </c>
      <c r="D89" t="s">
        <v>79</v>
      </c>
      <c r="E89" s="8">
        <v>0.66007797999999995</v>
      </c>
      <c r="F89" s="3">
        <v>207254807</v>
      </c>
      <c r="G89" t="s">
        <v>80</v>
      </c>
    </row>
    <row r="90" spans="1:7" hidden="1" x14ac:dyDescent="0.35">
      <c r="A90">
        <v>2017</v>
      </c>
      <c r="B90" t="s">
        <v>86</v>
      </c>
      <c r="C90" t="s">
        <v>81</v>
      </c>
      <c r="D90" t="s">
        <v>79</v>
      </c>
      <c r="E90" s="3">
        <v>2762749</v>
      </c>
      <c r="F90" s="3">
        <v>5801771955</v>
      </c>
      <c r="G90" t="s">
        <v>80</v>
      </c>
    </row>
    <row r="91" spans="1:7" hidden="1" x14ac:dyDescent="0.35">
      <c r="A91">
        <v>2017</v>
      </c>
      <c r="B91" t="s">
        <v>86</v>
      </c>
      <c r="C91" t="s">
        <v>87</v>
      </c>
      <c r="D91" t="s">
        <v>79</v>
      </c>
      <c r="E91" s="3">
        <v>410175</v>
      </c>
      <c r="F91" s="3">
        <v>1353577401</v>
      </c>
      <c r="G91" t="s">
        <v>80</v>
      </c>
    </row>
    <row r="92" spans="1:7" hidden="1" x14ac:dyDescent="0.35">
      <c r="A92">
        <v>2017</v>
      </c>
      <c r="B92" t="s">
        <v>86</v>
      </c>
      <c r="C92" t="s">
        <v>88</v>
      </c>
      <c r="D92" t="s">
        <v>79</v>
      </c>
      <c r="E92" s="3">
        <v>122130</v>
      </c>
      <c r="F92" s="3">
        <v>366390000</v>
      </c>
      <c r="G92" t="s">
        <v>80</v>
      </c>
    </row>
    <row r="93" spans="1:7" hidden="1" x14ac:dyDescent="0.35">
      <c r="A93">
        <v>2017</v>
      </c>
      <c r="B93" t="s">
        <v>86</v>
      </c>
      <c r="C93" t="s">
        <v>82</v>
      </c>
      <c r="D93" t="s">
        <v>79</v>
      </c>
      <c r="E93" t="s">
        <v>17</v>
      </c>
      <c r="F93" t="s">
        <v>17</v>
      </c>
      <c r="G93" t="s">
        <v>80</v>
      </c>
    </row>
    <row r="94" spans="1:7" hidden="1" x14ac:dyDescent="0.35">
      <c r="A94">
        <v>2017</v>
      </c>
      <c r="B94" t="s">
        <v>89</v>
      </c>
      <c r="C94" t="s">
        <v>28</v>
      </c>
      <c r="D94" t="s">
        <v>79</v>
      </c>
      <c r="E94" s="3">
        <v>135022</v>
      </c>
      <c r="F94" s="3">
        <v>11405173318</v>
      </c>
      <c r="G94" t="s">
        <v>80</v>
      </c>
    </row>
    <row r="95" spans="1:7" hidden="1" x14ac:dyDescent="0.35">
      <c r="A95">
        <v>2017</v>
      </c>
      <c r="B95" t="s">
        <v>89</v>
      </c>
      <c r="C95" t="s">
        <v>26</v>
      </c>
      <c r="D95" t="s">
        <v>79</v>
      </c>
      <c r="E95" s="3">
        <v>20186</v>
      </c>
      <c r="F95" s="3">
        <v>3551565212</v>
      </c>
      <c r="G95" t="s">
        <v>80</v>
      </c>
    </row>
    <row r="96" spans="1:7" hidden="1" x14ac:dyDescent="0.35">
      <c r="A96">
        <v>2017</v>
      </c>
      <c r="B96" t="s">
        <v>89</v>
      </c>
      <c r="C96" t="s">
        <v>26</v>
      </c>
      <c r="D96" t="s">
        <v>79</v>
      </c>
      <c r="E96" s="3">
        <v>36856</v>
      </c>
      <c r="F96" s="3">
        <v>22526313488</v>
      </c>
      <c r="G96" t="s">
        <v>80</v>
      </c>
    </row>
    <row r="97" spans="1:7" hidden="1" x14ac:dyDescent="0.35">
      <c r="A97">
        <v>2017</v>
      </c>
      <c r="B97" t="s">
        <v>89</v>
      </c>
      <c r="C97" t="s">
        <v>26</v>
      </c>
      <c r="D97" t="s">
        <v>79</v>
      </c>
      <c r="E97" s="3">
        <v>24706</v>
      </c>
      <c r="F97" s="3">
        <v>14130621406</v>
      </c>
      <c r="G97" t="s">
        <v>80</v>
      </c>
    </row>
    <row r="98" spans="1:7" hidden="1" x14ac:dyDescent="0.35">
      <c r="A98">
        <v>2017</v>
      </c>
      <c r="B98" t="s">
        <v>89</v>
      </c>
      <c r="C98" t="s">
        <v>28</v>
      </c>
      <c r="D98" t="s">
        <v>79</v>
      </c>
      <c r="E98" s="3">
        <v>357416</v>
      </c>
      <c r="F98" s="3">
        <v>34634325232</v>
      </c>
      <c r="G98" t="s">
        <v>80</v>
      </c>
    </row>
    <row r="99" spans="1:7" hidden="1" x14ac:dyDescent="0.35">
      <c r="A99">
        <v>2017</v>
      </c>
      <c r="B99" t="s">
        <v>89</v>
      </c>
      <c r="C99" t="s">
        <v>92</v>
      </c>
      <c r="D99" t="s">
        <v>79</v>
      </c>
      <c r="E99" s="3">
        <v>7245</v>
      </c>
      <c r="F99" s="3">
        <v>1862490102</v>
      </c>
      <c r="G99" t="s">
        <v>80</v>
      </c>
    </row>
    <row r="100" spans="1:7" hidden="1" x14ac:dyDescent="0.35">
      <c r="A100">
        <v>2017</v>
      </c>
      <c r="B100" t="s">
        <v>89</v>
      </c>
      <c r="C100" t="s">
        <v>91</v>
      </c>
      <c r="D100" t="s">
        <v>79</v>
      </c>
      <c r="E100" s="3">
        <v>2729</v>
      </c>
      <c r="F100" s="3">
        <v>1199469183</v>
      </c>
      <c r="G100" t="s">
        <v>80</v>
      </c>
    </row>
    <row r="101" spans="1:7" hidden="1" x14ac:dyDescent="0.35">
      <c r="A101">
        <v>2017</v>
      </c>
      <c r="B101" t="s">
        <v>93</v>
      </c>
      <c r="C101" t="s">
        <v>94</v>
      </c>
      <c r="D101" t="s">
        <v>79</v>
      </c>
      <c r="E101" s="3">
        <v>160351</v>
      </c>
      <c r="F101" s="3">
        <v>4518556253</v>
      </c>
      <c r="G101" t="s">
        <v>80</v>
      </c>
    </row>
    <row r="102" spans="1:7" hidden="1" x14ac:dyDescent="0.35">
      <c r="A102">
        <v>2017</v>
      </c>
      <c r="B102" t="s">
        <v>93</v>
      </c>
      <c r="C102" t="s">
        <v>32</v>
      </c>
      <c r="D102" t="s">
        <v>79</v>
      </c>
      <c r="E102" s="3">
        <v>0</v>
      </c>
      <c r="F102" s="3">
        <v>0</v>
      </c>
      <c r="G102" t="s">
        <v>80</v>
      </c>
    </row>
    <row r="103" spans="1:7" hidden="1" x14ac:dyDescent="0.35">
      <c r="A103">
        <v>2017</v>
      </c>
      <c r="B103" t="s">
        <v>95</v>
      </c>
      <c r="C103" t="s">
        <v>32</v>
      </c>
      <c r="D103" t="s">
        <v>79</v>
      </c>
      <c r="E103" s="3">
        <v>1400000</v>
      </c>
      <c r="F103" s="3">
        <v>49891240000</v>
      </c>
      <c r="G103" t="s">
        <v>80</v>
      </c>
    </row>
    <row r="104" spans="1:7" hidden="1" x14ac:dyDescent="0.35">
      <c r="A104">
        <v>2017</v>
      </c>
      <c r="B104" t="s">
        <v>96</v>
      </c>
      <c r="C104" t="s">
        <v>81</v>
      </c>
      <c r="D104" t="s">
        <v>79</v>
      </c>
      <c r="E104" s="3">
        <v>1500027</v>
      </c>
      <c r="F104" s="3">
        <v>2760020404</v>
      </c>
      <c r="G104" t="s">
        <v>80</v>
      </c>
    </row>
    <row r="105" spans="1:7" hidden="1" x14ac:dyDescent="0.35">
      <c r="A105">
        <v>2017</v>
      </c>
      <c r="B105" t="s">
        <v>96</v>
      </c>
      <c r="C105" t="s">
        <v>87</v>
      </c>
      <c r="D105" t="s">
        <v>79</v>
      </c>
      <c r="E105" s="3">
        <v>123457</v>
      </c>
      <c r="F105" s="3">
        <v>353510835</v>
      </c>
      <c r="G105" t="s">
        <v>80</v>
      </c>
    </row>
    <row r="106" spans="1:7" hidden="1" x14ac:dyDescent="0.35">
      <c r="A106">
        <v>2017</v>
      </c>
      <c r="B106" t="s">
        <v>96</v>
      </c>
      <c r="C106" t="s">
        <v>88</v>
      </c>
      <c r="D106" t="s">
        <v>79</v>
      </c>
      <c r="E106" s="3">
        <v>50483</v>
      </c>
      <c r="F106" s="3">
        <v>133908739</v>
      </c>
      <c r="G106" t="s">
        <v>80</v>
      </c>
    </row>
    <row r="107" spans="1:7" hidden="1" x14ac:dyDescent="0.35">
      <c r="A107">
        <v>2017</v>
      </c>
      <c r="B107" t="s">
        <v>96</v>
      </c>
      <c r="C107" t="s">
        <v>82</v>
      </c>
      <c r="D107" t="s">
        <v>79</v>
      </c>
      <c r="E107" t="s">
        <v>17</v>
      </c>
      <c r="F107" t="s">
        <v>17</v>
      </c>
      <c r="G107" t="s">
        <v>80</v>
      </c>
    </row>
    <row r="108" spans="1:7" hidden="1" x14ac:dyDescent="0.35">
      <c r="A108">
        <v>2017</v>
      </c>
      <c r="B108" t="s">
        <v>98</v>
      </c>
      <c r="C108" t="s">
        <v>32</v>
      </c>
      <c r="D108" t="s">
        <v>79</v>
      </c>
      <c r="E108" s="3">
        <v>1111236</v>
      </c>
      <c r="F108" s="3">
        <v>39600672838</v>
      </c>
      <c r="G108" t="s">
        <v>80</v>
      </c>
    </row>
    <row r="109" spans="1:7" hidden="1" x14ac:dyDescent="0.35">
      <c r="A109">
        <v>2017</v>
      </c>
      <c r="B109" t="s">
        <v>99</v>
      </c>
      <c r="C109" t="s">
        <v>32</v>
      </c>
      <c r="D109" t="s">
        <v>79</v>
      </c>
      <c r="E109" s="3">
        <v>116963</v>
      </c>
      <c r="F109" s="3">
        <v>4168178186</v>
      </c>
      <c r="G109" t="s">
        <v>80</v>
      </c>
    </row>
    <row r="110" spans="1:7" hidden="1" x14ac:dyDescent="0.35">
      <c r="A110">
        <v>2017</v>
      </c>
      <c r="B110" t="s">
        <v>104</v>
      </c>
      <c r="C110" t="s">
        <v>102</v>
      </c>
      <c r="D110" t="s">
        <v>103</v>
      </c>
      <c r="E110" s="3">
        <v>823750</v>
      </c>
      <c r="F110" s="3">
        <v>13180000000</v>
      </c>
      <c r="G110" t="s">
        <v>80</v>
      </c>
    </row>
    <row r="111" spans="1:7" hidden="1" x14ac:dyDescent="0.35">
      <c r="A111">
        <v>2017</v>
      </c>
      <c r="B111" t="s">
        <v>104</v>
      </c>
      <c r="C111" t="s">
        <v>81</v>
      </c>
      <c r="D111" t="s">
        <v>103</v>
      </c>
      <c r="E111" s="3">
        <v>159900</v>
      </c>
      <c r="F111" s="3">
        <v>1279200000</v>
      </c>
      <c r="G111" t="s">
        <v>80</v>
      </c>
    </row>
    <row r="112" spans="1:7" hidden="1" x14ac:dyDescent="0.35">
      <c r="A112">
        <v>2017</v>
      </c>
      <c r="B112" t="s">
        <v>105</v>
      </c>
      <c r="C112" t="s">
        <v>102</v>
      </c>
      <c r="D112" t="s">
        <v>79</v>
      </c>
      <c r="E112" s="3">
        <v>773504</v>
      </c>
      <c r="F112" s="3">
        <v>12376064000</v>
      </c>
      <c r="G112" t="s">
        <v>80</v>
      </c>
    </row>
    <row r="113" spans="1:7" hidden="1" x14ac:dyDescent="0.35">
      <c r="A113">
        <v>2017</v>
      </c>
      <c r="B113" t="s">
        <v>106</v>
      </c>
      <c r="C113" t="s">
        <v>81</v>
      </c>
      <c r="D113" t="s">
        <v>103</v>
      </c>
      <c r="E113" s="3">
        <v>295042</v>
      </c>
      <c r="F113" s="3">
        <v>2360336125</v>
      </c>
      <c r="G113" t="s">
        <v>80</v>
      </c>
    </row>
    <row r="114" spans="1:7" hidden="1" x14ac:dyDescent="0.35">
      <c r="A114">
        <v>2018</v>
      </c>
      <c r="B114" t="s">
        <v>77</v>
      </c>
      <c r="C114" t="s">
        <v>78</v>
      </c>
      <c r="D114" t="s">
        <v>79</v>
      </c>
      <c r="E114" s="3">
        <v>1774882</v>
      </c>
      <c r="F114" s="3">
        <v>3904740400</v>
      </c>
      <c r="G114" t="s">
        <v>80</v>
      </c>
    </row>
    <row r="115" spans="1:7" hidden="1" x14ac:dyDescent="0.35">
      <c r="A115">
        <v>2018</v>
      </c>
      <c r="B115" t="s">
        <v>77</v>
      </c>
      <c r="C115" t="s">
        <v>81</v>
      </c>
      <c r="D115" t="s">
        <v>79</v>
      </c>
      <c r="E115" s="3">
        <v>1233461</v>
      </c>
      <c r="F115" t="s">
        <v>17</v>
      </c>
      <c r="G115" t="s">
        <v>80</v>
      </c>
    </row>
    <row r="116" spans="1:7" hidden="1" x14ac:dyDescent="0.35">
      <c r="A116">
        <v>2018</v>
      </c>
      <c r="B116" t="s">
        <v>77</v>
      </c>
      <c r="C116" t="s">
        <v>82</v>
      </c>
      <c r="D116" t="s">
        <v>79</v>
      </c>
      <c r="E116" t="s">
        <v>17</v>
      </c>
      <c r="F116" t="s">
        <v>17</v>
      </c>
      <c r="G116" t="s">
        <v>80</v>
      </c>
    </row>
    <row r="117" spans="1:7" hidden="1" x14ac:dyDescent="0.35">
      <c r="A117">
        <v>2018</v>
      </c>
      <c r="B117" t="s">
        <v>83</v>
      </c>
      <c r="C117" t="s">
        <v>84</v>
      </c>
      <c r="D117" t="s">
        <v>79</v>
      </c>
      <c r="E117" s="8">
        <v>7.6298228200000002</v>
      </c>
      <c r="F117" s="3">
        <v>169627487970</v>
      </c>
      <c r="G117" t="s">
        <v>80</v>
      </c>
    </row>
    <row r="118" spans="1:7" hidden="1" x14ac:dyDescent="0.35">
      <c r="A118">
        <v>2018</v>
      </c>
      <c r="B118" t="s">
        <v>83</v>
      </c>
      <c r="C118" t="s">
        <v>85</v>
      </c>
      <c r="D118" t="s">
        <v>79</v>
      </c>
      <c r="E118" s="8">
        <v>0.62998536999999999</v>
      </c>
      <c r="F118" s="3">
        <v>175186261</v>
      </c>
      <c r="G118" t="s">
        <v>80</v>
      </c>
    </row>
    <row r="119" spans="1:7" hidden="1" x14ac:dyDescent="0.35">
      <c r="A119">
        <v>2018</v>
      </c>
      <c r="B119" t="s">
        <v>86</v>
      </c>
      <c r="C119" t="s">
        <v>81</v>
      </c>
      <c r="D119" t="s">
        <v>79</v>
      </c>
      <c r="E119" s="3">
        <v>2558360</v>
      </c>
      <c r="F119" s="3">
        <v>5372556000</v>
      </c>
      <c r="G119" t="s">
        <v>80</v>
      </c>
    </row>
    <row r="120" spans="1:7" hidden="1" x14ac:dyDescent="0.35">
      <c r="A120">
        <v>2018</v>
      </c>
      <c r="B120" t="s">
        <v>86</v>
      </c>
      <c r="C120" t="s">
        <v>87</v>
      </c>
      <c r="D120" t="s">
        <v>79</v>
      </c>
      <c r="E120" s="3">
        <v>363579</v>
      </c>
      <c r="F120" s="3">
        <v>1199810700</v>
      </c>
      <c r="G120" t="s">
        <v>80</v>
      </c>
    </row>
    <row r="121" spans="1:7" hidden="1" x14ac:dyDescent="0.35">
      <c r="A121">
        <v>2018</v>
      </c>
      <c r="B121" t="s">
        <v>86</v>
      </c>
      <c r="C121" t="s">
        <v>88</v>
      </c>
      <c r="D121" t="s">
        <v>79</v>
      </c>
      <c r="E121" s="3">
        <v>97426</v>
      </c>
      <c r="F121" s="3">
        <v>292278000</v>
      </c>
      <c r="G121" t="s">
        <v>80</v>
      </c>
    </row>
    <row r="122" spans="1:7" hidden="1" x14ac:dyDescent="0.35">
      <c r="A122">
        <v>2018</v>
      </c>
      <c r="B122" t="s">
        <v>86</v>
      </c>
      <c r="C122" t="s">
        <v>82</v>
      </c>
      <c r="D122" t="s">
        <v>79</v>
      </c>
      <c r="E122" t="s">
        <v>17</v>
      </c>
      <c r="F122" t="s">
        <v>17</v>
      </c>
      <c r="G122" t="s">
        <v>80</v>
      </c>
    </row>
    <row r="123" spans="1:7" hidden="1" x14ac:dyDescent="0.35">
      <c r="A123">
        <v>2018</v>
      </c>
      <c r="B123" t="s">
        <v>89</v>
      </c>
      <c r="C123" t="s">
        <v>26</v>
      </c>
      <c r="D123" t="s">
        <v>79</v>
      </c>
      <c r="E123" s="3">
        <v>93569</v>
      </c>
      <c r="F123" s="3">
        <v>61606680958</v>
      </c>
      <c r="G123" t="s">
        <v>80</v>
      </c>
    </row>
    <row r="124" spans="1:7" hidden="1" x14ac:dyDescent="0.35">
      <c r="A124">
        <v>2018</v>
      </c>
      <c r="B124" t="s">
        <v>89</v>
      </c>
      <c r="C124" t="s">
        <v>30</v>
      </c>
      <c r="D124" t="s">
        <v>79</v>
      </c>
      <c r="E124" s="3">
        <v>516543</v>
      </c>
      <c r="F124" s="3">
        <v>49123018805</v>
      </c>
      <c r="G124" t="s">
        <v>80</v>
      </c>
    </row>
    <row r="125" spans="1:7" hidden="1" x14ac:dyDescent="0.35">
      <c r="A125">
        <v>2018</v>
      </c>
      <c r="B125" t="s">
        <v>93</v>
      </c>
      <c r="C125" t="s">
        <v>94</v>
      </c>
      <c r="D125" t="s">
        <v>79</v>
      </c>
      <c r="E125" s="3">
        <v>176926</v>
      </c>
      <c r="F125" s="3">
        <v>4518556254</v>
      </c>
      <c r="G125" t="s">
        <v>80</v>
      </c>
    </row>
    <row r="126" spans="1:7" hidden="1" x14ac:dyDescent="0.35">
      <c r="A126">
        <v>2018</v>
      </c>
      <c r="B126" t="s">
        <v>95</v>
      </c>
      <c r="C126" t="s">
        <v>32</v>
      </c>
      <c r="D126" t="s">
        <v>79</v>
      </c>
      <c r="E126" s="3">
        <v>1782199</v>
      </c>
      <c r="F126" t="s">
        <v>15</v>
      </c>
      <c r="G126" t="s">
        <v>80</v>
      </c>
    </row>
    <row r="127" spans="1:7" hidden="1" x14ac:dyDescent="0.35">
      <c r="A127">
        <v>2018</v>
      </c>
      <c r="B127" t="s">
        <v>95</v>
      </c>
      <c r="C127" t="s">
        <v>107</v>
      </c>
      <c r="D127" t="s">
        <v>79</v>
      </c>
      <c r="E127" t="s">
        <v>15</v>
      </c>
      <c r="F127" t="s">
        <v>15</v>
      </c>
      <c r="G127" t="s">
        <v>80</v>
      </c>
    </row>
    <row r="128" spans="1:7" hidden="1" x14ac:dyDescent="0.35">
      <c r="A128">
        <v>2018</v>
      </c>
      <c r="B128" t="s">
        <v>95</v>
      </c>
      <c r="C128" t="s">
        <v>34</v>
      </c>
      <c r="D128" t="s">
        <v>79</v>
      </c>
      <c r="E128" t="s">
        <v>15</v>
      </c>
      <c r="F128" t="s">
        <v>15</v>
      </c>
      <c r="G128" t="s">
        <v>80</v>
      </c>
    </row>
    <row r="129" spans="1:7" hidden="1" x14ac:dyDescent="0.35">
      <c r="A129">
        <v>2018</v>
      </c>
      <c r="B129" t="s">
        <v>95</v>
      </c>
      <c r="C129" t="s">
        <v>34</v>
      </c>
      <c r="D129" t="s">
        <v>79</v>
      </c>
      <c r="E129" t="s">
        <v>15</v>
      </c>
      <c r="F129" t="s">
        <v>15</v>
      </c>
      <c r="G129" t="s">
        <v>80</v>
      </c>
    </row>
    <row r="130" spans="1:7" hidden="1" x14ac:dyDescent="0.35">
      <c r="A130">
        <v>2018</v>
      </c>
      <c r="B130" t="s">
        <v>96</v>
      </c>
      <c r="C130" t="s">
        <v>81</v>
      </c>
      <c r="D130" t="s">
        <v>79</v>
      </c>
      <c r="E130" s="3">
        <v>1830122</v>
      </c>
      <c r="F130" s="3">
        <v>3367424480</v>
      </c>
      <c r="G130" t="s">
        <v>80</v>
      </c>
    </row>
    <row r="131" spans="1:7" hidden="1" x14ac:dyDescent="0.35">
      <c r="A131">
        <v>2018</v>
      </c>
      <c r="B131" t="s">
        <v>96</v>
      </c>
      <c r="C131" t="s">
        <v>87</v>
      </c>
      <c r="D131" t="s">
        <v>79</v>
      </c>
      <c r="E131" s="3">
        <v>177599</v>
      </c>
      <c r="F131" s="3">
        <v>600639818</v>
      </c>
      <c r="G131" t="s">
        <v>80</v>
      </c>
    </row>
    <row r="132" spans="1:7" hidden="1" x14ac:dyDescent="0.35">
      <c r="A132">
        <v>2018</v>
      </c>
      <c r="B132" t="s">
        <v>96</v>
      </c>
      <c r="C132" t="s">
        <v>88</v>
      </c>
      <c r="D132" t="s">
        <v>79</v>
      </c>
      <c r="E132" s="3">
        <v>50726</v>
      </c>
      <c r="F132" s="3">
        <v>152178000</v>
      </c>
      <c r="G132" t="s">
        <v>80</v>
      </c>
    </row>
    <row r="133" spans="1:7" hidden="1" x14ac:dyDescent="0.35">
      <c r="A133">
        <v>2018</v>
      </c>
      <c r="B133" t="s">
        <v>96</v>
      </c>
      <c r="C133" t="s">
        <v>97</v>
      </c>
      <c r="D133" t="s">
        <v>79</v>
      </c>
      <c r="E133" t="s">
        <v>17</v>
      </c>
      <c r="F133" t="s">
        <v>17</v>
      </c>
      <c r="G133" t="s">
        <v>80</v>
      </c>
    </row>
    <row r="134" spans="1:7" hidden="1" x14ac:dyDescent="0.35">
      <c r="A134">
        <v>2018</v>
      </c>
      <c r="B134" t="s">
        <v>96</v>
      </c>
      <c r="C134" t="s">
        <v>82</v>
      </c>
      <c r="D134" t="s">
        <v>79</v>
      </c>
      <c r="E134" t="s">
        <v>17</v>
      </c>
      <c r="F134" t="s">
        <v>17</v>
      </c>
      <c r="G134" t="s">
        <v>80</v>
      </c>
    </row>
    <row r="135" spans="1:7" hidden="1" x14ac:dyDescent="0.35">
      <c r="A135">
        <v>2018</v>
      </c>
      <c r="B135" t="s">
        <v>98</v>
      </c>
      <c r="C135" t="s">
        <v>32</v>
      </c>
      <c r="D135" t="s">
        <v>79</v>
      </c>
      <c r="E135" s="3">
        <v>570997</v>
      </c>
      <c r="F135" s="3">
        <v>20606519927</v>
      </c>
      <c r="G135" t="s">
        <v>80</v>
      </c>
    </row>
    <row r="136" spans="1:7" hidden="1" x14ac:dyDescent="0.35">
      <c r="A136">
        <v>2018</v>
      </c>
      <c r="B136" t="s">
        <v>99</v>
      </c>
      <c r="C136" t="s">
        <v>32</v>
      </c>
      <c r="D136" t="s">
        <v>79</v>
      </c>
      <c r="E136" s="3">
        <v>69947</v>
      </c>
      <c r="F136" s="3">
        <v>1900250149</v>
      </c>
      <c r="G136" t="s">
        <v>80</v>
      </c>
    </row>
    <row r="137" spans="1:7" hidden="1" x14ac:dyDescent="0.35">
      <c r="A137">
        <v>2018</v>
      </c>
      <c r="B137" t="s">
        <v>104</v>
      </c>
      <c r="C137" t="s">
        <v>102</v>
      </c>
      <c r="D137" t="s">
        <v>103</v>
      </c>
      <c r="E137" s="3">
        <v>1052284</v>
      </c>
      <c r="F137" s="3">
        <v>8681350012</v>
      </c>
      <c r="G137" t="s">
        <v>80</v>
      </c>
    </row>
    <row r="138" spans="1:7" hidden="1" x14ac:dyDescent="0.35">
      <c r="A138">
        <v>2018</v>
      </c>
      <c r="B138" t="s">
        <v>104</v>
      </c>
      <c r="C138" t="s">
        <v>81</v>
      </c>
      <c r="D138" t="s">
        <v>103</v>
      </c>
      <c r="E138" s="3">
        <v>8737</v>
      </c>
      <c r="F138" s="3">
        <v>78635525</v>
      </c>
      <c r="G138" t="s">
        <v>80</v>
      </c>
    </row>
    <row r="139" spans="1:7" hidden="1" x14ac:dyDescent="0.35">
      <c r="A139">
        <v>2018</v>
      </c>
      <c r="B139" t="s">
        <v>105</v>
      </c>
      <c r="C139" t="s">
        <v>102</v>
      </c>
      <c r="D139" t="s">
        <v>79</v>
      </c>
      <c r="E139" s="3">
        <v>2335864</v>
      </c>
      <c r="F139" s="3">
        <v>17527121248</v>
      </c>
      <c r="G139" t="s">
        <v>80</v>
      </c>
    </row>
    <row r="140" spans="1:7" hidden="1" x14ac:dyDescent="0.35">
      <c r="A140">
        <v>2018</v>
      </c>
      <c r="B140" t="s">
        <v>106</v>
      </c>
      <c r="C140" t="s">
        <v>81</v>
      </c>
      <c r="D140" t="s">
        <v>103</v>
      </c>
      <c r="E140" s="3">
        <v>553494</v>
      </c>
      <c r="F140" s="3">
        <v>3701527086</v>
      </c>
      <c r="G140" t="s">
        <v>80</v>
      </c>
    </row>
    <row r="141" spans="1:7" hidden="1" x14ac:dyDescent="0.35">
      <c r="A141">
        <v>2018</v>
      </c>
      <c r="B141" t="s">
        <v>108</v>
      </c>
      <c r="C141" t="s">
        <v>84</v>
      </c>
      <c r="D141" t="s">
        <v>79</v>
      </c>
      <c r="E141" s="8">
        <v>4.8809342500000001</v>
      </c>
      <c r="F141" s="3">
        <v>100910301956</v>
      </c>
      <c r="G141" t="s">
        <v>80</v>
      </c>
    </row>
    <row r="142" spans="1:7" hidden="1" x14ac:dyDescent="0.35">
      <c r="A142">
        <v>2018</v>
      </c>
      <c r="B142" t="s">
        <v>108</v>
      </c>
      <c r="C142" t="s">
        <v>85</v>
      </c>
      <c r="D142" t="s">
        <v>79</v>
      </c>
      <c r="E142" s="8">
        <v>0.31458741000000001</v>
      </c>
      <c r="F142" s="3">
        <v>79470206</v>
      </c>
      <c r="G142" t="s">
        <v>80</v>
      </c>
    </row>
    <row r="143" spans="1:7" hidden="1" x14ac:dyDescent="0.35">
      <c r="A143">
        <v>2019</v>
      </c>
      <c r="B143" t="s">
        <v>86</v>
      </c>
      <c r="C143" t="s">
        <v>87</v>
      </c>
      <c r="D143" t="s">
        <v>79</v>
      </c>
      <c r="E143" s="3">
        <v>401962</v>
      </c>
      <c r="F143" s="3">
        <v>1326475590</v>
      </c>
      <c r="G143" t="s">
        <v>80</v>
      </c>
    </row>
    <row r="144" spans="1:7" hidden="1" x14ac:dyDescent="0.35">
      <c r="A144">
        <v>2019</v>
      </c>
      <c r="B144" t="s">
        <v>86</v>
      </c>
      <c r="C144" t="s">
        <v>81</v>
      </c>
      <c r="D144" t="s">
        <v>79</v>
      </c>
      <c r="E144" s="3">
        <v>2647939</v>
      </c>
      <c r="F144" s="3">
        <v>5560671270</v>
      </c>
      <c r="G144" t="s">
        <v>80</v>
      </c>
    </row>
    <row r="145" spans="1:7" hidden="1" x14ac:dyDescent="0.35">
      <c r="A145">
        <v>2019</v>
      </c>
      <c r="B145" t="s">
        <v>86</v>
      </c>
      <c r="C145" t="s">
        <v>88</v>
      </c>
      <c r="D145" t="s">
        <v>79</v>
      </c>
      <c r="E145" s="3">
        <v>92774</v>
      </c>
      <c r="F145" s="3">
        <v>278322000</v>
      </c>
      <c r="G145" t="s">
        <v>80</v>
      </c>
    </row>
    <row r="146" spans="1:7" hidden="1" x14ac:dyDescent="0.35">
      <c r="A146">
        <v>2019</v>
      </c>
      <c r="B146" t="s">
        <v>104</v>
      </c>
      <c r="C146" t="s">
        <v>102</v>
      </c>
      <c r="D146" t="s">
        <v>79</v>
      </c>
      <c r="E146" s="3">
        <v>1175385</v>
      </c>
      <c r="F146" s="3">
        <v>9626723484</v>
      </c>
      <c r="G146" t="s">
        <v>80</v>
      </c>
    </row>
    <row r="147" spans="1:7" hidden="1" x14ac:dyDescent="0.35">
      <c r="A147">
        <v>2019</v>
      </c>
      <c r="B147" t="s">
        <v>104</v>
      </c>
      <c r="C147" t="s">
        <v>81</v>
      </c>
      <c r="D147" t="s">
        <v>79</v>
      </c>
      <c r="E147" s="3">
        <v>25110</v>
      </c>
      <c r="F147" s="3">
        <v>225989865</v>
      </c>
      <c r="G147" t="s">
        <v>80</v>
      </c>
    </row>
    <row r="148" spans="1:7" hidden="1" x14ac:dyDescent="0.35">
      <c r="A148">
        <v>2019</v>
      </c>
      <c r="B148" t="s">
        <v>89</v>
      </c>
      <c r="C148" t="s">
        <v>28</v>
      </c>
      <c r="D148" t="s">
        <v>79</v>
      </c>
      <c r="E148" s="3">
        <v>325017</v>
      </c>
      <c r="F148" s="3">
        <v>29805697839</v>
      </c>
      <c r="G148" t="s">
        <v>80</v>
      </c>
    </row>
    <row r="149" spans="1:7" hidden="1" x14ac:dyDescent="0.35">
      <c r="A149">
        <v>2019</v>
      </c>
      <c r="B149" t="s">
        <v>89</v>
      </c>
      <c r="C149" t="s">
        <v>28</v>
      </c>
      <c r="D149" t="s">
        <v>79</v>
      </c>
      <c r="E149" s="3">
        <v>36119</v>
      </c>
      <c r="F149" s="3">
        <v>4178637419</v>
      </c>
      <c r="G149" t="s">
        <v>80</v>
      </c>
    </row>
    <row r="150" spans="1:7" hidden="1" x14ac:dyDescent="0.35">
      <c r="A150">
        <v>2019</v>
      </c>
      <c r="B150" t="s">
        <v>89</v>
      </c>
      <c r="C150" t="s">
        <v>28</v>
      </c>
      <c r="D150" t="s">
        <v>79</v>
      </c>
      <c r="E150" s="3">
        <v>130468</v>
      </c>
      <c r="F150" s="3">
        <v>14928950686</v>
      </c>
      <c r="G150" t="s">
        <v>80</v>
      </c>
    </row>
    <row r="151" spans="1:7" hidden="1" x14ac:dyDescent="0.35">
      <c r="A151">
        <v>2019</v>
      </c>
      <c r="B151" t="s">
        <v>89</v>
      </c>
      <c r="C151" t="s">
        <v>92</v>
      </c>
      <c r="D151" t="s">
        <v>79</v>
      </c>
      <c r="E151" s="3">
        <v>6516</v>
      </c>
      <c r="F151" s="3">
        <v>2584932390</v>
      </c>
      <c r="G151" t="s">
        <v>80</v>
      </c>
    </row>
    <row r="152" spans="1:7" hidden="1" x14ac:dyDescent="0.35">
      <c r="A152">
        <v>2019</v>
      </c>
      <c r="B152" t="s">
        <v>89</v>
      </c>
      <c r="C152" t="s">
        <v>26</v>
      </c>
      <c r="D152" t="s">
        <v>79</v>
      </c>
      <c r="E152" s="3">
        <v>22314</v>
      </c>
      <c r="F152" s="3">
        <v>5038682107</v>
      </c>
      <c r="G152" t="s">
        <v>80</v>
      </c>
    </row>
    <row r="153" spans="1:7" hidden="1" x14ac:dyDescent="0.35">
      <c r="A153">
        <v>2019</v>
      </c>
      <c r="B153" t="s">
        <v>89</v>
      </c>
      <c r="C153" t="s">
        <v>91</v>
      </c>
      <c r="D153" t="s">
        <v>79</v>
      </c>
      <c r="E153" s="3">
        <v>3615</v>
      </c>
      <c r="F153" s="3">
        <v>2315596245</v>
      </c>
      <c r="G153" t="s">
        <v>80</v>
      </c>
    </row>
    <row r="154" spans="1:7" hidden="1" x14ac:dyDescent="0.35">
      <c r="A154">
        <v>2019</v>
      </c>
      <c r="B154" t="s">
        <v>89</v>
      </c>
      <c r="C154" t="s">
        <v>26</v>
      </c>
      <c r="D154" t="s">
        <v>79</v>
      </c>
      <c r="E154" s="3">
        <v>36805</v>
      </c>
      <c r="F154" s="3">
        <v>33962377110</v>
      </c>
      <c r="G154" t="s">
        <v>80</v>
      </c>
    </row>
    <row r="155" spans="1:7" hidden="1" x14ac:dyDescent="0.35">
      <c r="A155">
        <v>2019</v>
      </c>
      <c r="B155" t="s">
        <v>89</v>
      </c>
      <c r="C155" t="s">
        <v>26</v>
      </c>
      <c r="D155" t="s">
        <v>79</v>
      </c>
      <c r="E155" s="3">
        <v>21628</v>
      </c>
      <c r="F155" s="3">
        <v>18753846435</v>
      </c>
      <c r="G155" t="s">
        <v>80</v>
      </c>
    </row>
    <row r="156" spans="1:7" hidden="1" x14ac:dyDescent="0.35">
      <c r="A156">
        <v>2019</v>
      </c>
      <c r="B156" t="s">
        <v>96</v>
      </c>
      <c r="C156" t="s">
        <v>87</v>
      </c>
      <c r="D156" t="s">
        <v>79</v>
      </c>
      <c r="E156" s="3">
        <v>157371</v>
      </c>
      <c r="F156" s="3">
        <v>533828970</v>
      </c>
      <c r="G156" t="s">
        <v>80</v>
      </c>
    </row>
    <row r="157" spans="1:7" hidden="1" x14ac:dyDescent="0.35">
      <c r="A157">
        <v>2019</v>
      </c>
      <c r="B157" t="s">
        <v>96</v>
      </c>
      <c r="C157" t="s">
        <v>81</v>
      </c>
      <c r="D157" t="s">
        <v>79</v>
      </c>
      <c r="E157" s="3">
        <v>1706082</v>
      </c>
      <c r="F157" s="3">
        <v>3070989268</v>
      </c>
      <c r="G157" t="s">
        <v>80</v>
      </c>
    </row>
    <row r="158" spans="1:7" hidden="1" x14ac:dyDescent="0.35">
      <c r="A158">
        <v>2019</v>
      </c>
      <c r="B158" t="s">
        <v>96</v>
      </c>
      <c r="C158" t="s">
        <v>88</v>
      </c>
      <c r="D158" t="s">
        <v>79</v>
      </c>
      <c r="E158" s="3">
        <v>46778</v>
      </c>
      <c r="F158" s="3">
        <v>129575060</v>
      </c>
      <c r="G158" t="s">
        <v>80</v>
      </c>
    </row>
    <row r="159" spans="1:7" hidden="1" x14ac:dyDescent="0.35">
      <c r="A159">
        <v>2019</v>
      </c>
      <c r="B159" t="s">
        <v>105</v>
      </c>
      <c r="C159" t="s">
        <v>102</v>
      </c>
      <c r="D159" t="s">
        <v>79</v>
      </c>
      <c r="E159" s="3">
        <v>2030895</v>
      </c>
      <c r="F159" s="3">
        <v>16739228300</v>
      </c>
      <c r="G159" t="s">
        <v>80</v>
      </c>
    </row>
    <row r="160" spans="1:7" hidden="1" x14ac:dyDescent="0.35">
      <c r="A160">
        <v>2019</v>
      </c>
      <c r="B160" t="s">
        <v>95</v>
      </c>
      <c r="C160" t="s">
        <v>107</v>
      </c>
      <c r="D160" t="s">
        <v>79</v>
      </c>
      <c r="E160" s="3">
        <v>537522</v>
      </c>
      <c r="F160" s="3">
        <v>219211087925</v>
      </c>
      <c r="G160" t="s">
        <v>80</v>
      </c>
    </row>
    <row r="161" spans="1:7" hidden="1" x14ac:dyDescent="0.35">
      <c r="A161">
        <v>2019</v>
      </c>
      <c r="B161" t="s">
        <v>95</v>
      </c>
      <c r="C161" t="s">
        <v>34</v>
      </c>
      <c r="D161" t="s">
        <v>79</v>
      </c>
      <c r="E161" s="3">
        <v>172628</v>
      </c>
      <c r="F161" s="3">
        <v>38068540509</v>
      </c>
      <c r="G161" t="s">
        <v>80</v>
      </c>
    </row>
    <row r="162" spans="1:7" hidden="1" x14ac:dyDescent="0.35">
      <c r="A162">
        <v>2019</v>
      </c>
      <c r="B162" t="s">
        <v>95</v>
      </c>
      <c r="C162" t="s">
        <v>32</v>
      </c>
      <c r="D162" t="s">
        <v>79</v>
      </c>
      <c r="E162" s="3">
        <v>1701000</v>
      </c>
      <c r="F162" s="3">
        <v>52823568433</v>
      </c>
      <c r="G162" t="s">
        <v>80</v>
      </c>
    </row>
    <row r="163" spans="1:7" hidden="1" x14ac:dyDescent="0.35">
      <c r="A163">
        <v>2019</v>
      </c>
      <c r="B163" t="s">
        <v>108</v>
      </c>
      <c r="C163" t="s">
        <v>85</v>
      </c>
      <c r="D163" t="s">
        <v>79</v>
      </c>
      <c r="E163" s="8">
        <v>0.38963324999999999</v>
      </c>
      <c r="F163" s="3">
        <v>119665719</v>
      </c>
      <c r="G163" t="s">
        <v>80</v>
      </c>
    </row>
    <row r="164" spans="1:7" hidden="1" x14ac:dyDescent="0.35">
      <c r="A164">
        <v>2019</v>
      </c>
      <c r="B164" t="s">
        <v>108</v>
      </c>
      <c r="C164" t="s">
        <v>84</v>
      </c>
      <c r="D164" t="s">
        <v>79</v>
      </c>
      <c r="E164" s="8">
        <v>5.6291072299999998</v>
      </c>
      <c r="F164" s="3">
        <v>147874140109</v>
      </c>
      <c r="G164" t="s">
        <v>80</v>
      </c>
    </row>
    <row r="165" spans="1:7" hidden="1" x14ac:dyDescent="0.35">
      <c r="A165">
        <v>2019</v>
      </c>
      <c r="B165" t="s">
        <v>99</v>
      </c>
      <c r="C165" t="s">
        <v>32</v>
      </c>
      <c r="D165" t="s">
        <v>79</v>
      </c>
      <c r="E165" s="3">
        <v>107324</v>
      </c>
      <c r="F165" s="3">
        <v>3157579658</v>
      </c>
      <c r="G165" t="s">
        <v>80</v>
      </c>
    </row>
    <row r="166" spans="1:7" hidden="1" x14ac:dyDescent="0.35">
      <c r="A166">
        <v>2019</v>
      </c>
      <c r="B166" t="s">
        <v>83</v>
      </c>
      <c r="C166" t="s">
        <v>85</v>
      </c>
      <c r="D166" t="s">
        <v>79</v>
      </c>
      <c r="E166" s="8">
        <v>0.54608374000000004</v>
      </c>
      <c r="F166" s="3">
        <v>165428598</v>
      </c>
      <c r="G166" t="s">
        <v>80</v>
      </c>
    </row>
    <row r="167" spans="1:7" hidden="1" x14ac:dyDescent="0.35">
      <c r="A167">
        <v>2019</v>
      </c>
      <c r="B167" t="s">
        <v>83</v>
      </c>
      <c r="C167" t="s">
        <v>84</v>
      </c>
      <c r="D167" t="s">
        <v>79</v>
      </c>
      <c r="E167" s="8">
        <v>7.2892553099999997</v>
      </c>
      <c r="F167" s="3">
        <v>189854215168</v>
      </c>
      <c r="G167" t="s">
        <v>80</v>
      </c>
    </row>
    <row r="168" spans="1:7" hidden="1" x14ac:dyDescent="0.35">
      <c r="A168">
        <v>2019</v>
      </c>
      <c r="B168" t="s">
        <v>77</v>
      </c>
      <c r="C168" t="s">
        <v>81</v>
      </c>
      <c r="D168" t="s">
        <v>79</v>
      </c>
      <c r="E168" s="3">
        <v>745152</v>
      </c>
      <c r="F168" s="3">
        <v>1635608640</v>
      </c>
      <c r="G168" t="s">
        <v>80</v>
      </c>
    </row>
    <row r="169" spans="1:7" hidden="1" x14ac:dyDescent="0.35">
      <c r="A169">
        <v>2019</v>
      </c>
      <c r="B169" t="s">
        <v>77</v>
      </c>
      <c r="C169" t="s">
        <v>109</v>
      </c>
      <c r="D169" t="s">
        <v>79</v>
      </c>
      <c r="E169" s="3">
        <v>1617455</v>
      </c>
      <c r="F169" s="3">
        <v>3550313725</v>
      </c>
      <c r="G169" t="s">
        <v>80</v>
      </c>
    </row>
    <row r="170" spans="1:7" hidden="1" x14ac:dyDescent="0.35">
      <c r="A170">
        <v>2019</v>
      </c>
      <c r="B170" t="s">
        <v>106</v>
      </c>
      <c r="C170" t="s">
        <v>81</v>
      </c>
      <c r="D170" t="s">
        <v>79</v>
      </c>
      <c r="E170" s="3">
        <v>427458</v>
      </c>
      <c r="F170" s="3">
        <v>2605777725</v>
      </c>
      <c r="G170" t="s">
        <v>80</v>
      </c>
    </row>
    <row r="171" spans="1:7" hidden="1" x14ac:dyDescent="0.35">
      <c r="A171">
        <v>2019</v>
      </c>
      <c r="B171" t="s">
        <v>98</v>
      </c>
      <c r="C171" t="s">
        <v>32</v>
      </c>
      <c r="D171" t="s">
        <v>79</v>
      </c>
      <c r="E171" s="3">
        <v>621811</v>
      </c>
      <c r="F171" s="3">
        <v>24452557722</v>
      </c>
      <c r="G171" t="s">
        <v>80</v>
      </c>
    </row>
    <row r="172" spans="1:7" hidden="1" x14ac:dyDescent="0.35">
      <c r="A172">
        <v>2019</v>
      </c>
      <c r="B172" t="s">
        <v>93</v>
      </c>
      <c r="C172" t="s">
        <v>94</v>
      </c>
      <c r="D172" t="s">
        <v>79</v>
      </c>
      <c r="E172" s="3">
        <v>170844</v>
      </c>
      <c r="F172" s="3">
        <v>6548307343</v>
      </c>
      <c r="G172" t="s">
        <v>80</v>
      </c>
    </row>
    <row r="173" spans="1:7" hidden="1" x14ac:dyDescent="0.35">
      <c r="A173">
        <v>2020</v>
      </c>
      <c r="B173" t="s">
        <v>83</v>
      </c>
      <c r="C173" t="s">
        <v>84</v>
      </c>
      <c r="D173" t="s">
        <v>79</v>
      </c>
      <c r="E173" s="8">
        <v>7</v>
      </c>
      <c r="F173" s="3">
        <v>217680000000</v>
      </c>
      <c r="G173" t="s">
        <v>80</v>
      </c>
    </row>
    <row r="174" spans="1:7" hidden="1" x14ac:dyDescent="0.35">
      <c r="A174">
        <v>2020</v>
      </c>
      <c r="B174" t="s">
        <v>108</v>
      </c>
      <c r="C174" t="s">
        <v>84</v>
      </c>
      <c r="D174" t="s">
        <v>79</v>
      </c>
      <c r="E174" s="8">
        <v>5.8</v>
      </c>
      <c r="F174" s="3">
        <v>179340000000</v>
      </c>
      <c r="G174" t="s">
        <v>80</v>
      </c>
    </row>
    <row r="175" spans="1:7" hidden="1" x14ac:dyDescent="0.35">
      <c r="A175">
        <v>2020</v>
      </c>
      <c r="B175" t="s">
        <v>89</v>
      </c>
      <c r="C175" t="s">
        <v>28</v>
      </c>
      <c r="D175" t="s">
        <v>79</v>
      </c>
      <c r="E175" s="4">
        <v>345531.2</v>
      </c>
      <c r="F175" s="3">
        <v>36870000000</v>
      </c>
      <c r="G175" t="s">
        <v>80</v>
      </c>
    </row>
    <row r="176" spans="1:7" hidden="1" x14ac:dyDescent="0.35">
      <c r="A176">
        <v>2020</v>
      </c>
      <c r="B176" t="s">
        <v>89</v>
      </c>
      <c r="C176" t="s">
        <v>28</v>
      </c>
      <c r="D176" t="s">
        <v>79</v>
      </c>
      <c r="E176" s="4">
        <v>26700.3</v>
      </c>
      <c r="F176" s="3">
        <v>3510000000</v>
      </c>
      <c r="G176" t="s">
        <v>80</v>
      </c>
    </row>
    <row r="177" spans="1:7" hidden="1" x14ac:dyDescent="0.35">
      <c r="A177">
        <v>2020</v>
      </c>
      <c r="B177" t="s">
        <v>89</v>
      </c>
      <c r="C177" t="s">
        <v>28</v>
      </c>
      <c r="D177" t="s">
        <v>79</v>
      </c>
      <c r="E177" s="4">
        <v>139767.6</v>
      </c>
      <c r="F177" s="3">
        <v>17700000000</v>
      </c>
      <c r="G177" t="s">
        <v>80</v>
      </c>
    </row>
    <row r="178" spans="1:7" hidden="1" x14ac:dyDescent="0.35">
      <c r="A178">
        <v>2020</v>
      </c>
      <c r="B178" t="s">
        <v>89</v>
      </c>
      <c r="C178" t="s">
        <v>26</v>
      </c>
      <c r="D178" t="s">
        <v>79</v>
      </c>
      <c r="E178" s="4">
        <v>34923.699999999997</v>
      </c>
      <c r="F178" s="3">
        <v>27820000000</v>
      </c>
      <c r="G178" t="s">
        <v>80</v>
      </c>
    </row>
    <row r="179" spans="1:7" hidden="1" x14ac:dyDescent="0.35">
      <c r="A179">
        <v>2020</v>
      </c>
      <c r="B179" t="s">
        <v>89</v>
      </c>
      <c r="C179" t="s">
        <v>26</v>
      </c>
      <c r="D179" t="s">
        <v>79</v>
      </c>
      <c r="E179" s="4">
        <v>26917.200000000001</v>
      </c>
      <c r="F179" s="3">
        <v>20330000000</v>
      </c>
      <c r="G179" t="s">
        <v>80</v>
      </c>
    </row>
    <row r="180" spans="1:7" hidden="1" x14ac:dyDescent="0.35">
      <c r="A180">
        <v>2020</v>
      </c>
      <c r="B180" t="s">
        <v>89</v>
      </c>
      <c r="C180" t="s">
        <v>26</v>
      </c>
      <c r="D180" t="s">
        <v>79</v>
      </c>
      <c r="E180" s="4">
        <v>21416.2</v>
      </c>
      <c r="F180" s="3">
        <v>3780000000</v>
      </c>
      <c r="G180" t="s">
        <v>80</v>
      </c>
    </row>
    <row r="181" spans="1:7" hidden="1" x14ac:dyDescent="0.35">
      <c r="A181">
        <v>2020</v>
      </c>
      <c r="B181" t="s">
        <v>89</v>
      </c>
      <c r="C181" t="s">
        <v>91</v>
      </c>
      <c r="D181" t="s">
        <v>79</v>
      </c>
      <c r="E181" s="3">
        <v>3980</v>
      </c>
      <c r="F181" s="3">
        <v>2790000000</v>
      </c>
      <c r="G181" t="s">
        <v>80</v>
      </c>
    </row>
    <row r="182" spans="1:7" hidden="1" x14ac:dyDescent="0.35">
      <c r="A182">
        <v>2020</v>
      </c>
      <c r="B182" t="s">
        <v>89</v>
      </c>
      <c r="C182" t="s">
        <v>92</v>
      </c>
      <c r="D182" t="s">
        <v>79</v>
      </c>
      <c r="E182" s="3">
        <v>5640</v>
      </c>
      <c r="F182" s="3">
        <v>2380000000</v>
      </c>
      <c r="G182" t="s">
        <v>80</v>
      </c>
    </row>
    <row r="183" spans="1:7" hidden="1" x14ac:dyDescent="0.35">
      <c r="A183">
        <v>2020</v>
      </c>
      <c r="B183" t="s">
        <v>95</v>
      </c>
      <c r="C183" t="s">
        <v>32</v>
      </c>
      <c r="D183" t="s">
        <v>79</v>
      </c>
      <c r="E183" s="3">
        <v>1649000</v>
      </c>
      <c r="F183" s="3">
        <v>56150000000</v>
      </c>
      <c r="G183" t="s">
        <v>80</v>
      </c>
    </row>
    <row r="184" spans="1:7" hidden="1" x14ac:dyDescent="0.35">
      <c r="A184">
        <v>2020</v>
      </c>
      <c r="B184" t="s">
        <v>99</v>
      </c>
      <c r="C184" t="s">
        <v>32</v>
      </c>
      <c r="D184" t="s">
        <v>79</v>
      </c>
      <c r="E184" s="4">
        <v>58310.2</v>
      </c>
      <c r="F184" s="3">
        <v>36870000000</v>
      </c>
      <c r="G184" t="s">
        <v>80</v>
      </c>
    </row>
    <row r="185" spans="1:7" hidden="1" x14ac:dyDescent="0.35">
      <c r="A185">
        <v>2020</v>
      </c>
      <c r="B185" t="s">
        <v>98</v>
      </c>
      <c r="C185" t="s">
        <v>32</v>
      </c>
      <c r="D185" t="s">
        <v>79</v>
      </c>
      <c r="E185" s="3">
        <v>431124</v>
      </c>
      <c r="F185" s="3">
        <v>14680000000</v>
      </c>
      <c r="G185" t="s">
        <v>80</v>
      </c>
    </row>
    <row r="186" spans="1:7" hidden="1" x14ac:dyDescent="0.35">
      <c r="A186">
        <v>2020</v>
      </c>
      <c r="B186" t="s">
        <v>93</v>
      </c>
      <c r="C186" t="s">
        <v>94</v>
      </c>
      <c r="D186" t="s">
        <v>79</v>
      </c>
      <c r="E186" s="4">
        <v>186615.1</v>
      </c>
      <c r="F186" s="3">
        <v>8300000000</v>
      </c>
      <c r="G186" t="s">
        <v>80</v>
      </c>
    </row>
    <row r="187" spans="1:7" hidden="1" x14ac:dyDescent="0.35">
      <c r="A187">
        <v>2020</v>
      </c>
      <c r="B187" t="s">
        <v>86</v>
      </c>
      <c r="C187" t="s">
        <v>81</v>
      </c>
      <c r="D187" t="s">
        <v>79</v>
      </c>
      <c r="E187" s="3">
        <v>2404017</v>
      </c>
      <c r="F187" s="3">
        <v>5050000000</v>
      </c>
      <c r="G187" t="s">
        <v>80</v>
      </c>
    </row>
    <row r="188" spans="1:7" hidden="1" x14ac:dyDescent="0.35">
      <c r="A188">
        <v>2020</v>
      </c>
      <c r="B188" t="s">
        <v>86</v>
      </c>
      <c r="C188" t="s">
        <v>87</v>
      </c>
      <c r="D188" t="s">
        <v>79</v>
      </c>
      <c r="E188" s="3">
        <v>367462</v>
      </c>
      <c r="F188" s="3">
        <v>1210000000</v>
      </c>
      <c r="G188" t="s">
        <v>80</v>
      </c>
    </row>
    <row r="189" spans="1:7" hidden="1" x14ac:dyDescent="0.35">
      <c r="A189">
        <v>2020</v>
      </c>
      <c r="B189" t="s">
        <v>77</v>
      </c>
      <c r="C189" t="s">
        <v>81</v>
      </c>
      <c r="D189" t="s">
        <v>79</v>
      </c>
      <c r="E189" s="3">
        <v>950428</v>
      </c>
      <c r="F189" s="3">
        <v>2090000000</v>
      </c>
      <c r="G189" t="s">
        <v>80</v>
      </c>
    </row>
    <row r="190" spans="1:7" hidden="1" x14ac:dyDescent="0.35">
      <c r="A190">
        <v>2020</v>
      </c>
      <c r="B190" t="s">
        <v>77</v>
      </c>
      <c r="C190" t="s">
        <v>109</v>
      </c>
      <c r="D190" t="s">
        <v>79</v>
      </c>
      <c r="E190" s="3">
        <v>1845762</v>
      </c>
      <c r="F190" s="3">
        <v>4050000000</v>
      </c>
      <c r="G190" t="s">
        <v>80</v>
      </c>
    </row>
    <row r="191" spans="1:7" hidden="1" x14ac:dyDescent="0.35">
      <c r="A191">
        <v>2020</v>
      </c>
      <c r="B191" t="s">
        <v>77</v>
      </c>
      <c r="C191" t="s">
        <v>88</v>
      </c>
      <c r="D191" t="s">
        <v>103</v>
      </c>
      <c r="E191" s="4">
        <v>138896.20000000001</v>
      </c>
      <c r="F191" s="3">
        <v>70000000</v>
      </c>
      <c r="G191" t="s">
        <v>80</v>
      </c>
    </row>
    <row r="192" spans="1:7" hidden="1" x14ac:dyDescent="0.35">
      <c r="A192">
        <v>2020</v>
      </c>
      <c r="B192" t="s">
        <v>96</v>
      </c>
      <c r="C192" t="s">
        <v>81</v>
      </c>
      <c r="D192" t="s">
        <v>79</v>
      </c>
      <c r="E192" s="3">
        <v>2014833</v>
      </c>
      <c r="F192" s="3">
        <v>4230000000</v>
      </c>
      <c r="G192" t="s">
        <v>80</v>
      </c>
    </row>
    <row r="193" spans="1:7" hidden="1" x14ac:dyDescent="0.35">
      <c r="A193">
        <v>2020</v>
      </c>
      <c r="B193" t="s">
        <v>96</v>
      </c>
      <c r="C193" t="s">
        <v>88</v>
      </c>
      <c r="D193" t="s">
        <v>79</v>
      </c>
      <c r="E193" s="3">
        <v>61844</v>
      </c>
      <c r="F193" t="s">
        <v>15</v>
      </c>
      <c r="G193" t="s">
        <v>80</v>
      </c>
    </row>
    <row r="194" spans="1:7" hidden="1" x14ac:dyDescent="0.35">
      <c r="A194">
        <v>2020</v>
      </c>
      <c r="B194" t="s">
        <v>96</v>
      </c>
      <c r="C194" t="s">
        <v>87</v>
      </c>
      <c r="D194" t="s">
        <v>79</v>
      </c>
      <c r="E194" s="3">
        <v>206560</v>
      </c>
      <c r="F194" s="3">
        <v>680000000</v>
      </c>
      <c r="G194" t="s">
        <v>80</v>
      </c>
    </row>
    <row r="195" spans="1:7" hidden="1" x14ac:dyDescent="0.35">
      <c r="A195">
        <v>2020</v>
      </c>
      <c r="B195" t="s">
        <v>104</v>
      </c>
      <c r="C195" t="s">
        <v>102</v>
      </c>
      <c r="D195" t="s">
        <v>103</v>
      </c>
      <c r="E195" s="4">
        <v>2396525.4</v>
      </c>
      <c r="F195" t="s">
        <v>15</v>
      </c>
      <c r="G195" t="s">
        <v>80</v>
      </c>
    </row>
    <row r="196" spans="1:7" hidden="1" x14ac:dyDescent="0.35">
      <c r="A196">
        <v>2020</v>
      </c>
      <c r="B196" t="s">
        <v>105</v>
      </c>
      <c r="C196" t="s">
        <v>102</v>
      </c>
      <c r="D196" t="s">
        <v>103</v>
      </c>
      <c r="E196" s="4">
        <v>680947.8</v>
      </c>
      <c r="F196" t="s">
        <v>15</v>
      </c>
      <c r="G196" t="s">
        <v>80</v>
      </c>
    </row>
    <row r="197" spans="1:7" hidden="1" x14ac:dyDescent="0.35">
      <c r="A197">
        <v>2020</v>
      </c>
      <c r="B197" t="s">
        <v>106</v>
      </c>
      <c r="C197" t="s">
        <v>81</v>
      </c>
      <c r="D197" t="s">
        <v>103</v>
      </c>
      <c r="E197" s="4">
        <v>6741.9</v>
      </c>
      <c r="F197" t="s">
        <v>15</v>
      </c>
      <c r="G197" t="s">
        <v>80</v>
      </c>
    </row>
    <row r="198" spans="1:7" hidden="1" x14ac:dyDescent="0.35">
      <c r="A198">
        <v>2021</v>
      </c>
      <c r="B198" t="s">
        <v>83</v>
      </c>
      <c r="C198" t="s">
        <v>84</v>
      </c>
      <c r="D198" t="s">
        <v>79</v>
      </c>
      <c r="E198" s="8">
        <v>12.2</v>
      </c>
      <c r="F198" s="3">
        <v>390697165834</v>
      </c>
      <c r="G198" t="s">
        <v>80</v>
      </c>
    </row>
    <row r="199" spans="1:7" hidden="1" x14ac:dyDescent="0.35">
      <c r="A199">
        <v>2021</v>
      </c>
      <c r="B199" t="s">
        <v>83</v>
      </c>
      <c r="C199" t="s">
        <v>85</v>
      </c>
      <c r="D199" t="s">
        <v>79</v>
      </c>
      <c r="E199" s="8">
        <v>1</v>
      </c>
      <c r="F199" s="3">
        <v>453360287</v>
      </c>
      <c r="G199" t="s">
        <v>80</v>
      </c>
    </row>
    <row r="200" spans="1:7" hidden="1" x14ac:dyDescent="0.35">
      <c r="A200">
        <v>2021</v>
      </c>
      <c r="B200" t="s">
        <v>108</v>
      </c>
      <c r="C200" t="s">
        <v>84</v>
      </c>
      <c r="D200" t="s">
        <v>79</v>
      </c>
      <c r="E200" s="8">
        <v>4</v>
      </c>
      <c r="F200" t="s">
        <v>15</v>
      </c>
      <c r="G200" t="s">
        <v>80</v>
      </c>
    </row>
    <row r="201" spans="1:7" hidden="1" x14ac:dyDescent="0.35">
      <c r="A201">
        <v>2021</v>
      </c>
      <c r="B201" t="s">
        <v>108</v>
      </c>
      <c r="C201" t="s">
        <v>85</v>
      </c>
      <c r="D201" t="s">
        <v>79</v>
      </c>
      <c r="E201" s="8">
        <v>0.3</v>
      </c>
      <c r="F201" s="3">
        <v>130156827</v>
      </c>
      <c r="G201" t="s">
        <v>80</v>
      </c>
    </row>
    <row r="202" spans="1:7" hidden="1" x14ac:dyDescent="0.35">
      <c r="A202">
        <v>2021</v>
      </c>
      <c r="B202" t="s">
        <v>89</v>
      </c>
      <c r="C202" t="s">
        <v>28</v>
      </c>
      <c r="D202" t="s">
        <v>79</v>
      </c>
      <c r="E202" s="4">
        <v>377506.6</v>
      </c>
      <c r="F202" s="3">
        <v>54216941469</v>
      </c>
      <c r="G202" t="s">
        <v>80</v>
      </c>
    </row>
    <row r="203" spans="1:7" hidden="1" x14ac:dyDescent="0.35">
      <c r="A203">
        <v>2021</v>
      </c>
      <c r="B203" t="s">
        <v>89</v>
      </c>
      <c r="C203" t="s">
        <v>28</v>
      </c>
      <c r="D203" t="s">
        <v>79</v>
      </c>
      <c r="E203" s="3">
        <v>19510</v>
      </c>
      <c r="F203" s="3">
        <v>3690588362</v>
      </c>
      <c r="G203" t="s">
        <v>80</v>
      </c>
    </row>
    <row r="204" spans="1:7" hidden="1" x14ac:dyDescent="0.35">
      <c r="A204">
        <v>2021</v>
      </c>
      <c r="B204" t="s">
        <v>89</v>
      </c>
      <c r="C204" t="s">
        <v>28</v>
      </c>
      <c r="D204" t="s">
        <v>79</v>
      </c>
      <c r="E204" s="4">
        <v>146044.1</v>
      </c>
      <c r="F204" s="3">
        <v>20728624548</v>
      </c>
      <c r="G204" t="s">
        <v>80</v>
      </c>
    </row>
    <row r="205" spans="1:7" hidden="1" x14ac:dyDescent="0.35">
      <c r="A205">
        <v>2021</v>
      </c>
      <c r="B205" t="s">
        <v>89</v>
      </c>
      <c r="C205" t="s">
        <v>26</v>
      </c>
      <c r="D205" t="s">
        <v>79</v>
      </c>
      <c r="E205" s="4">
        <v>37873.1</v>
      </c>
      <c r="F205" s="3">
        <v>33867923004</v>
      </c>
      <c r="G205" t="s">
        <v>80</v>
      </c>
    </row>
    <row r="206" spans="1:7" hidden="1" x14ac:dyDescent="0.35">
      <c r="A206">
        <v>2021</v>
      </c>
      <c r="B206" t="s">
        <v>89</v>
      </c>
      <c r="C206" t="s">
        <v>26</v>
      </c>
      <c r="D206" t="s">
        <v>79</v>
      </c>
      <c r="E206" s="4">
        <v>25856.1</v>
      </c>
      <c r="F206" s="3">
        <v>21177898265</v>
      </c>
      <c r="G206" t="s">
        <v>80</v>
      </c>
    </row>
    <row r="207" spans="1:7" hidden="1" x14ac:dyDescent="0.35">
      <c r="A207">
        <v>2021</v>
      </c>
      <c r="B207" t="s">
        <v>89</v>
      </c>
      <c r="C207" t="s">
        <v>26</v>
      </c>
      <c r="D207" t="s">
        <v>79</v>
      </c>
      <c r="E207" s="4">
        <v>27030.6</v>
      </c>
      <c r="F207" s="3">
        <v>6696786033</v>
      </c>
      <c r="G207" t="s">
        <v>80</v>
      </c>
    </row>
    <row r="208" spans="1:7" hidden="1" x14ac:dyDescent="0.35">
      <c r="A208">
        <v>2021</v>
      </c>
      <c r="B208" t="s">
        <v>89</v>
      </c>
      <c r="C208" t="s">
        <v>91</v>
      </c>
      <c r="D208" t="s">
        <v>79</v>
      </c>
      <c r="E208" s="3">
        <v>4430</v>
      </c>
      <c r="F208" s="3">
        <v>3629677988</v>
      </c>
      <c r="G208" t="s">
        <v>80</v>
      </c>
    </row>
    <row r="209" spans="1:7" hidden="1" x14ac:dyDescent="0.35">
      <c r="A209">
        <v>2021</v>
      </c>
      <c r="B209" t="s">
        <v>89</v>
      </c>
      <c r="C209" t="s">
        <v>92</v>
      </c>
      <c r="D209" t="s">
        <v>79</v>
      </c>
      <c r="E209" s="4">
        <v>6964.6</v>
      </c>
      <c r="F209" s="3">
        <v>3595901024</v>
      </c>
      <c r="G209" t="s">
        <v>80</v>
      </c>
    </row>
    <row r="210" spans="1:7" hidden="1" x14ac:dyDescent="0.35">
      <c r="A210">
        <v>2021</v>
      </c>
      <c r="B210" t="s">
        <v>95</v>
      </c>
      <c r="C210" t="s">
        <v>32</v>
      </c>
      <c r="D210" t="s">
        <v>79</v>
      </c>
      <c r="E210" s="3">
        <v>1770000</v>
      </c>
      <c r="F210" s="3">
        <v>49694156000</v>
      </c>
      <c r="G210" t="s">
        <v>80</v>
      </c>
    </row>
    <row r="211" spans="1:7" hidden="1" x14ac:dyDescent="0.35">
      <c r="A211">
        <v>2021</v>
      </c>
      <c r="B211" t="s">
        <v>95</v>
      </c>
      <c r="C211" t="s">
        <v>107</v>
      </c>
      <c r="D211" t="s">
        <v>79</v>
      </c>
      <c r="E211" s="3">
        <v>497905</v>
      </c>
      <c r="F211" s="3">
        <v>292022380000</v>
      </c>
      <c r="G211" t="s">
        <v>80</v>
      </c>
    </row>
    <row r="212" spans="1:7" hidden="1" x14ac:dyDescent="0.35">
      <c r="A212">
        <v>2021</v>
      </c>
      <c r="B212" t="s">
        <v>99</v>
      </c>
      <c r="C212" t="s">
        <v>32</v>
      </c>
      <c r="D212" t="s">
        <v>79</v>
      </c>
      <c r="E212" s="3">
        <v>100948</v>
      </c>
      <c r="F212" s="3">
        <v>3259048347</v>
      </c>
      <c r="G212" t="s">
        <v>80</v>
      </c>
    </row>
    <row r="213" spans="1:7" hidden="1" x14ac:dyDescent="0.35">
      <c r="A213">
        <v>2021</v>
      </c>
      <c r="B213" t="s">
        <v>98</v>
      </c>
      <c r="C213" t="s">
        <v>32</v>
      </c>
      <c r="D213" t="s">
        <v>79</v>
      </c>
      <c r="E213" s="3">
        <v>531521</v>
      </c>
      <c r="F213" s="3">
        <v>23769685980</v>
      </c>
      <c r="G213" t="s">
        <v>80</v>
      </c>
    </row>
    <row r="214" spans="1:7" hidden="1" x14ac:dyDescent="0.35">
      <c r="A214">
        <v>2021</v>
      </c>
      <c r="B214" t="s">
        <v>93</v>
      </c>
      <c r="C214" t="s">
        <v>94</v>
      </c>
      <c r="D214" t="s">
        <v>79</v>
      </c>
      <c r="E214" s="4">
        <v>170850.9</v>
      </c>
      <c r="F214" s="3">
        <v>7551095651</v>
      </c>
      <c r="G214" t="s">
        <v>80</v>
      </c>
    </row>
    <row r="215" spans="1:7" hidden="1" x14ac:dyDescent="0.35">
      <c r="A215">
        <v>2021</v>
      </c>
      <c r="B215" t="s">
        <v>86</v>
      </c>
      <c r="C215" t="s">
        <v>81</v>
      </c>
      <c r="D215" t="s">
        <v>79</v>
      </c>
      <c r="E215" s="3">
        <v>2500228</v>
      </c>
      <c r="F215" s="3">
        <v>5250478800</v>
      </c>
      <c r="G215" t="s">
        <v>80</v>
      </c>
    </row>
    <row r="216" spans="1:7" hidden="1" x14ac:dyDescent="0.35">
      <c r="A216">
        <v>2021</v>
      </c>
      <c r="B216" t="s">
        <v>86</v>
      </c>
      <c r="C216" t="s">
        <v>87</v>
      </c>
      <c r="D216" t="s">
        <v>79</v>
      </c>
      <c r="E216" s="3">
        <v>376950</v>
      </c>
      <c r="F216" s="3">
        <v>1243935000</v>
      </c>
      <c r="G216" t="s">
        <v>80</v>
      </c>
    </row>
    <row r="217" spans="1:7" hidden="1" x14ac:dyDescent="0.35">
      <c r="A217">
        <v>2021</v>
      </c>
      <c r="B217" t="s">
        <v>86</v>
      </c>
      <c r="C217" t="s">
        <v>88</v>
      </c>
      <c r="D217" t="s">
        <v>79</v>
      </c>
      <c r="E217" s="3">
        <v>89037</v>
      </c>
      <c r="F217" s="3">
        <v>267111000</v>
      </c>
      <c r="G217" t="s">
        <v>80</v>
      </c>
    </row>
    <row r="218" spans="1:7" hidden="1" x14ac:dyDescent="0.35">
      <c r="A218">
        <v>2021</v>
      </c>
      <c r="B218" t="s">
        <v>77</v>
      </c>
      <c r="C218" t="s">
        <v>81</v>
      </c>
      <c r="D218" t="s">
        <v>79</v>
      </c>
      <c r="E218" s="3">
        <v>977848</v>
      </c>
      <c r="F218" s="3">
        <v>2146376360</v>
      </c>
      <c r="G218" t="s">
        <v>80</v>
      </c>
    </row>
    <row r="219" spans="1:7" hidden="1" x14ac:dyDescent="0.35">
      <c r="A219">
        <v>2021</v>
      </c>
      <c r="B219" t="s">
        <v>77</v>
      </c>
      <c r="C219" t="s">
        <v>109</v>
      </c>
      <c r="D219" t="s">
        <v>79</v>
      </c>
      <c r="E219" s="3">
        <v>1965915</v>
      </c>
      <c r="F219" s="3">
        <v>4315183425</v>
      </c>
      <c r="G219" t="s">
        <v>80</v>
      </c>
    </row>
    <row r="220" spans="1:7" hidden="1" x14ac:dyDescent="0.35">
      <c r="A220">
        <v>2021</v>
      </c>
      <c r="B220" t="s">
        <v>96</v>
      </c>
      <c r="C220" t="s">
        <v>81</v>
      </c>
      <c r="D220" t="s">
        <v>79</v>
      </c>
      <c r="E220" s="3">
        <v>1977329</v>
      </c>
      <c r="F220" s="3">
        <v>2597828257</v>
      </c>
      <c r="G220" t="s">
        <v>80</v>
      </c>
    </row>
    <row r="221" spans="1:7" hidden="1" x14ac:dyDescent="0.35">
      <c r="A221">
        <v>2021</v>
      </c>
      <c r="B221" t="s">
        <v>96</v>
      </c>
      <c r="C221" t="s">
        <v>87</v>
      </c>
      <c r="D221" t="s">
        <v>79</v>
      </c>
      <c r="E221" s="3">
        <v>230157</v>
      </c>
      <c r="F221" s="3">
        <v>603701811</v>
      </c>
      <c r="G221" t="s">
        <v>80</v>
      </c>
    </row>
    <row r="222" spans="1:7" hidden="1" x14ac:dyDescent="0.35">
      <c r="A222">
        <v>2021</v>
      </c>
      <c r="B222" t="s">
        <v>104</v>
      </c>
      <c r="C222" t="s">
        <v>81</v>
      </c>
      <c r="D222" t="s">
        <v>79</v>
      </c>
      <c r="E222" s="3">
        <v>1</v>
      </c>
      <c r="F222" t="s">
        <v>15</v>
      </c>
      <c r="G222" t="s">
        <v>80</v>
      </c>
    </row>
    <row r="223" spans="1:7" hidden="1" x14ac:dyDescent="0.35">
      <c r="A223">
        <v>2021</v>
      </c>
      <c r="B223" t="s">
        <v>104</v>
      </c>
      <c r="C223" t="s">
        <v>102</v>
      </c>
      <c r="D223" t="s">
        <v>79</v>
      </c>
      <c r="E223" s="3">
        <v>1</v>
      </c>
      <c r="F223" t="s">
        <v>15</v>
      </c>
      <c r="G223" t="s">
        <v>80</v>
      </c>
    </row>
    <row r="224" spans="1:7" hidden="1" x14ac:dyDescent="0.35">
      <c r="A224">
        <v>2021</v>
      </c>
      <c r="B224" t="s">
        <v>105</v>
      </c>
      <c r="C224" t="s">
        <v>81</v>
      </c>
      <c r="D224" t="s">
        <v>79</v>
      </c>
      <c r="E224" s="3">
        <v>418535</v>
      </c>
      <c r="F224" s="3">
        <v>1431904000</v>
      </c>
      <c r="G224" t="s">
        <v>80</v>
      </c>
    </row>
    <row r="225" spans="1:7" hidden="1" x14ac:dyDescent="0.35">
      <c r="A225">
        <v>2021</v>
      </c>
      <c r="B225" t="s">
        <v>105</v>
      </c>
      <c r="C225" t="s">
        <v>102</v>
      </c>
      <c r="D225" t="s">
        <v>79</v>
      </c>
      <c r="E225" s="3">
        <v>1807998</v>
      </c>
      <c r="F225" s="3">
        <v>13897822000</v>
      </c>
      <c r="G225" t="s">
        <v>80</v>
      </c>
    </row>
    <row r="226" spans="1:7" hidden="1" x14ac:dyDescent="0.35">
      <c r="A226">
        <v>2021</v>
      </c>
      <c r="B226" t="s">
        <v>100</v>
      </c>
      <c r="C226" t="s">
        <v>110</v>
      </c>
      <c r="D226" t="s">
        <v>79</v>
      </c>
      <c r="E226" s="3">
        <v>1495</v>
      </c>
      <c r="F226" s="3">
        <v>157671670</v>
      </c>
      <c r="G226" t="s">
        <v>80</v>
      </c>
    </row>
    <row r="227" spans="1:7" hidden="1" x14ac:dyDescent="0.35">
      <c r="A227">
        <v>2021</v>
      </c>
      <c r="B227" t="s">
        <v>111</v>
      </c>
      <c r="C227" t="s">
        <v>112</v>
      </c>
      <c r="D227" t="s">
        <v>79</v>
      </c>
      <c r="E227" s="3">
        <v>9396</v>
      </c>
      <c r="F227" s="3">
        <v>518248093</v>
      </c>
      <c r="G227" t="s">
        <v>80</v>
      </c>
    </row>
    <row r="228" spans="1:7" hidden="1" x14ac:dyDescent="0.35">
      <c r="A228">
        <v>2022</v>
      </c>
      <c r="B228" t="s">
        <v>83</v>
      </c>
      <c r="C228" t="s">
        <v>84</v>
      </c>
      <c r="D228" t="s">
        <v>79</v>
      </c>
      <c r="E228" s="8">
        <v>11</v>
      </c>
      <c r="F228" s="3">
        <v>393709507828</v>
      </c>
      <c r="G228" t="s">
        <v>80</v>
      </c>
    </row>
    <row r="229" spans="1:7" hidden="1" x14ac:dyDescent="0.35">
      <c r="A229">
        <v>2022</v>
      </c>
      <c r="B229" t="s">
        <v>108</v>
      </c>
      <c r="C229" t="s">
        <v>84</v>
      </c>
      <c r="D229" t="s">
        <v>79</v>
      </c>
      <c r="E229" s="8">
        <v>4.0255000000000001</v>
      </c>
      <c r="F229" s="3">
        <v>145989168041</v>
      </c>
      <c r="G229" t="s">
        <v>80</v>
      </c>
    </row>
    <row r="230" spans="1:7" hidden="1" x14ac:dyDescent="0.35">
      <c r="A230">
        <v>2022</v>
      </c>
      <c r="B230" t="s">
        <v>113</v>
      </c>
      <c r="C230" t="s">
        <v>84</v>
      </c>
      <c r="D230" t="s">
        <v>79</v>
      </c>
      <c r="E230" s="8">
        <v>4.8500000000000001E-2</v>
      </c>
      <c r="F230" t="s">
        <v>15</v>
      </c>
      <c r="G230" t="s">
        <v>80</v>
      </c>
    </row>
    <row r="231" spans="1:7" hidden="1" x14ac:dyDescent="0.35">
      <c r="A231">
        <v>2022</v>
      </c>
      <c r="B231" t="s">
        <v>77</v>
      </c>
      <c r="C231" t="s">
        <v>82</v>
      </c>
      <c r="D231" t="s">
        <v>79</v>
      </c>
      <c r="E231" s="3">
        <v>3373277</v>
      </c>
      <c r="F231" s="3">
        <v>160037236423</v>
      </c>
      <c r="G231" t="s">
        <v>80</v>
      </c>
    </row>
    <row r="232" spans="1:7" hidden="1" x14ac:dyDescent="0.35">
      <c r="A232">
        <v>2022</v>
      </c>
      <c r="B232" t="s">
        <v>96</v>
      </c>
      <c r="C232" t="s">
        <v>82</v>
      </c>
      <c r="D232" t="s">
        <v>79</v>
      </c>
      <c r="E232" s="3">
        <v>646121</v>
      </c>
      <c r="F232" s="3">
        <v>19372003072</v>
      </c>
      <c r="G232" t="s">
        <v>80</v>
      </c>
    </row>
    <row r="233" spans="1:7" hidden="1" x14ac:dyDescent="0.35">
      <c r="A233">
        <v>2022</v>
      </c>
      <c r="B233" t="s">
        <v>77</v>
      </c>
      <c r="C233" t="s">
        <v>97</v>
      </c>
      <c r="D233" t="s">
        <v>79</v>
      </c>
      <c r="E233" s="3">
        <v>1881642</v>
      </c>
      <c r="F233" s="3">
        <v>69606686944</v>
      </c>
      <c r="G233" t="s">
        <v>80</v>
      </c>
    </row>
    <row r="234" spans="1:7" hidden="1" x14ac:dyDescent="0.35">
      <c r="A234">
        <v>2022</v>
      </c>
      <c r="B234" t="s">
        <v>96</v>
      </c>
      <c r="C234" t="s">
        <v>97</v>
      </c>
      <c r="D234" t="s">
        <v>79</v>
      </c>
      <c r="E234" s="3">
        <v>467250</v>
      </c>
      <c r="F234" s="3">
        <v>13433089599</v>
      </c>
      <c r="G234" t="s">
        <v>80</v>
      </c>
    </row>
    <row r="235" spans="1:7" hidden="1" x14ac:dyDescent="0.35">
      <c r="A235">
        <v>2022</v>
      </c>
      <c r="B235" t="s">
        <v>89</v>
      </c>
      <c r="C235" t="s">
        <v>28</v>
      </c>
      <c r="D235" t="s">
        <v>79</v>
      </c>
      <c r="E235" s="3">
        <v>328742</v>
      </c>
      <c r="F235" s="3">
        <v>66987102119</v>
      </c>
      <c r="G235" t="s">
        <v>80</v>
      </c>
    </row>
    <row r="236" spans="1:7" hidden="1" x14ac:dyDescent="0.35">
      <c r="A236">
        <v>2022</v>
      </c>
      <c r="B236" t="s">
        <v>95</v>
      </c>
      <c r="C236" t="s">
        <v>32</v>
      </c>
      <c r="D236" t="s">
        <v>79</v>
      </c>
      <c r="E236" s="3">
        <v>1771000</v>
      </c>
      <c r="F236" s="3">
        <v>56392615820</v>
      </c>
      <c r="G236" t="s">
        <v>80</v>
      </c>
    </row>
    <row r="237" spans="1:7" hidden="1" x14ac:dyDescent="0.35">
      <c r="A237">
        <v>2022</v>
      </c>
      <c r="B237" t="s">
        <v>93</v>
      </c>
      <c r="C237" t="s">
        <v>32</v>
      </c>
      <c r="D237" t="s">
        <v>79</v>
      </c>
      <c r="E237" s="3">
        <v>144956</v>
      </c>
      <c r="F237" s="3">
        <v>3564774127</v>
      </c>
      <c r="G237" t="s">
        <v>80</v>
      </c>
    </row>
    <row r="238" spans="1:7" hidden="1" x14ac:dyDescent="0.35">
      <c r="A238">
        <v>2022</v>
      </c>
      <c r="B238" t="s">
        <v>114</v>
      </c>
      <c r="C238" t="s">
        <v>32</v>
      </c>
      <c r="D238" t="s">
        <v>15</v>
      </c>
      <c r="E238" s="3">
        <v>71442</v>
      </c>
      <c r="F238" t="s">
        <v>15</v>
      </c>
      <c r="G238" t="s">
        <v>80</v>
      </c>
    </row>
    <row r="239" spans="1:7" hidden="1" x14ac:dyDescent="0.35">
      <c r="A239">
        <v>2022</v>
      </c>
      <c r="B239" t="s">
        <v>98</v>
      </c>
      <c r="C239" t="s">
        <v>32</v>
      </c>
      <c r="D239" t="s">
        <v>79</v>
      </c>
      <c r="E239" s="3">
        <v>549556</v>
      </c>
      <c r="F239" s="3">
        <v>56442979011</v>
      </c>
      <c r="G239" t="s">
        <v>80</v>
      </c>
    </row>
    <row r="240" spans="1:7" hidden="1" x14ac:dyDescent="0.35">
      <c r="A240">
        <v>2022</v>
      </c>
      <c r="B240" t="s">
        <v>89</v>
      </c>
      <c r="C240" t="s">
        <v>26</v>
      </c>
      <c r="D240" t="s">
        <v>79</v>
      </c>
      <c r="E240" s="3">
        <v>34583</v>
      </c>
      <c r="F240" s="3">
        <v>46680083232</v>
      </c>
      <c r="G240" t="s">
        <v>80</v>
      </c>
    </row>
    <row r="241" spans="1:7" hidden="1" x14ac:dyDescent="0.35">
      <c r="A241">
        <v>2022</v>
      </c>
      <c r="B241" t="s">
        <v>104</v>
      </c>
      <c r="C241" t="s">
        <v>102</v>
      </c>
      <c r="D241" t="s">
        <v>79</v>
      </c>
      <c r="E241" s="3">
        <v>2205996</v>
      </c>
      <c r="F241" s="3">
        <v>18482949000</v>
      </c>
      <c r="G241" t="s">
        <v>80</v>
      </c>
    </row>
    <row r="242" spans="1:7" hidden="1" x14ac:dyDescent="0.35">
      <c r="A242">
        <v>2022</v>
      </c>
      <c r="B242" t="s">
        <v>105</v>
      </c>
      <c r="C242" t="s">
        <v>102</v>
      </c>
      <c r="D242" t="s">
        <v>79</v>
      </c>
      <c r="E242" s="3">
        <v>1847386</v>
      </c>
      <c r="F242" s="3">
        <v>14229037033</v>
      </c>
      <c r="G242" t="s">
        <v>80</v>
      </c>
    </row>
    <row r="243" spans="1:7" hidden="1" x14ac:dyDescent="0.35">
      <c r="A243">
        <v>2022</v>
      </c>
      <c r="B243" t="s">
        <v>89</v>
      </c>
      <c r="C243" t="s">
        <v>26</v>
      </c>
      <c r="D243" t="s">
        <v>79</v>
      </c>
      <c r="E243" s="3">
        <v>22498</v>
      </c>
      <c r="F243" s="3">
        <v>29136495247</v>
      </c>
      <c r="G243" t="s">
        <v>80</v>
      </c>
    </row>
    <row r="244" spans="1:7" hidden="1" x14ac:dyDescent="0.35">
      <c r="A244">
        <v>2022</v>
      </c>
      <c r="B244" t="s">
        <v>89</v>
      </c>
      <c r="C244" t="s">
        <v>28</v>
      </c>
      <c r="D244" t="s">
        <v>79</v>
      </c>
      <c r="E244" s="3">
        <v>133804</v>
      </c>
      <c r="F244" s="3">
        <v>28951526564</v>
      </c>
      <c r="G244" t="s">
        <v>80</v>
      </c>
    </row>
    <row r="245" spans="1:7" hidden="1" x14ac:dyDescent="0.35">
      <c r="A245">
        <v>2022</v>
      </c>
      <c r="B245" t="s">
        <v>104</v>
      </c>
      <c r="C245" t="s">
        <v>81</v>
      </c>
      <c r="D245" t="s">
        <v>103</v>
      </c>
      <c r="E245" s="3">
        <v>1599934</v>
      </c>
      <c r="F245" s="3">
        <v>7999670000</v>
      </c>
      <c r="G245" t="s">
        <v>80</v>
      </c>
    </row>
    <row r="246" spans="1:7" hidden="1" x14ac:dyDescent="0.35">
      <c r="A246">
        <v>2022</v>
      </c>
      <c r="B246" t="s">
        <v>77</v>
      </c>
      <c r="C246" t="s">
        <v>81</v>
      </c>
      <c r="D246" t="s">
        <v>79</v>
      </c>
      <c r="E246" s="3">
        <v>762283</v>
      </c>
      <c r="F246" s="3">
        <v>1673211185</v>
      </c>
      <c r="G246" t="s">
        <v>80</v>
      </c>
    </row>
    <row r="247" spans="1:7" hidden="1" x14ac:dyDescent="0.35">
      <c r="A247">
        <v>2022</v>
      </c>
      <c r="B247" t="s">
        <v>105</v>
      </c>
      <c r="C247" t="s">
        <v>81</v>
      </c>
      <c r="D247" t="s">
        <v>79</v>
      </c>
      <c r="E247" s="3">
        <v>436732</v>
      </c>
      <c r="F247" s="3">
        <v>1574493518</v>
      </c>
      <c r="G247" t="s">
        <v>80</v>
      </c>
    </row>
    <row r="248" spans="1:7" hidden="1" x14ac:dyDescent="0.35">
      <c r="A248">
        <v>2022</v>
      </c>
      <c r="B248" t="s">
        <v>77</v>
      </c>
      <c r="C248" t="s">
        <v>81</v>
      </c>
      <c r="D248" t="s">
        <v>79</v>
      </c>
      <c r="E248" s="3">
        <v>140987</v>
      </c>
      <c r="F248" s="3">
        <v>309466465</v>
      </c>
      <c r="G248" t="s">
        <v>80</v>
      </c>
    </row>
    <row r="249" spans="1:7" hidden="1" x14ac:dyDescent="0.35">
      <c r="A249">
        <v>2022</v>
      </c>
      <c r="B249" t="s">
        <v>86</v>
      </c>
      <c r="C249" t="s">
        <v>81</v>
      </c>
      <c r="D249" t="s">
        <v>79</v>
      </c>
      <c r="E249" s="3">
        <v>2902226</v>
      </c>
      <c r="F249" t="s">
        <v>15</v>
      </c>
      <c r="G249" t="s">
        <v>80</v>
      </c>
    </row>
    <row r="250" spans="1:7" hidden="1" x14ac:dyDescent="0.35">
      <c r="A250">
        <v>2022</v>
      </c>
      <c r="B250" t="s">
        <v>89</v>
      </c>
      <c r="C250" t="s">
        <v>28</v>
      </c>
      <c r="D250" t="s">
        <v>79</v>
      </c>
      <c r="E250" s="3">
        <v>35551</v>
      </c>
      <c r="F250" s="3">
        <v>7543497575</v>
      </c>
      <c r="G250" t="s">
        <v>80</v>
      </c>
    </row>
    <row r="251" spans="1:7" hidden="1" x14ac:dyDescent="0.35">
      <c r="A251">
        <v>2022</v>
      </c>
      <c r="B251" t="s">
        <v>89</v>
      </c>
      <c r="C251" t="s">
        <v>26</v>
      </c>
      <c r="D251" t="s">
        <v>79</v>
      </c>
      <c r="E251" s="3">
        <v>26981</v>
      </c>
      <c r="F251" s="3">
        <v>7039966533</v>
      </c>
      <c r="G251" t="s">
        <v>80</v>
      </c>
    </row>
    <row r="252" spans="1:7" hidden="1" x14ac:dyDescent="0.35">
      <c r="A252">
        <v>2022</v>
      </c>
      <c r="B252" t="s">
        <v>99</v>
      </c>
      <c r="C252" t="s">
        <v>32</v>
      </c>
      <c r="D252" t="s">
        <v>79</v>
      </c>
      <c r="E252" s="3">
        <v>69006</v>
      </c>
      <c r="F252" s="3">
        <v>6091675324</v>
      </c>
      <c r="G252" t="s">
        <v>80</v>
      </c>
    </row>
    <row r="253" spans="1:7" hidden="1" x14ac:dyDescent="0.35">
      <c r="A253">
        <v>2022</v>
      </c>
      <c r="B253" t="s">
        <v>89</v>
      </c>
      <c r="C253" t="s">
        <v>92</v>
      </c>
      <c r="D253" t="s">
        <v>79</v>
      </c>
      <c r="E253" s="3">
        <v>6284</v>
      </c>
      <c r="F253" s="3">
        <v>5343597553</v>
      </c>
      <c r="G253" t="s">
        <v>80</v>
      </c>
    </row>
    <row r="254" spans="1:7" hidden="1" x14ac:dyDescent="0.35">
      <c r="A254">
        <v>2022</v>
      </c>
      <c r="B254" t="s">
        <v>89</v>
      </c>
      <c r="C254" t="s">
        <v>91</v>
      </c>
      <c r="D254" t="s">
        <v>79</v>
      </c>
      <c r="E254" s="3">
        <v>4203</v>
      </c>
      <c r="F254" s="3">
        <v>5251482196</v>
      </c>
      <c r="G254" t="s">
        <v>80</v>
      </c>
    </row>
    <row r="255" spans="1:7" hidden="1" x14ac:dyDescent="0.35">
      <c r="A255">
        <v>2022</v>
      </c>
      <c r="B255" t="s">
        <v>77</v>
      </c>
      <c r="C255" t="s">
        <v>78</v>
      </c>
      <c r="D255" t="s">
        <v>79</v>
      </c>
      <c r="E255" s="3">
        <v>1990935</v>
      </c>
      <c r="F255" s="3">
        <v>4370102325</v>
      </c>
      <c r="G255" t="s">
        <v>80</v>
      </c>
    </row>
    <row r="256" spans="1:7" hidden="1" x14ac:dyDescent="0.35">
      <c r="A256">
        <v>2022</v>
      </c>
      <c r="B256" t="s">
        <v>83</v>
      </c>
      <c r="C256" t="s">
        <v>85</v>
      </c>
      <c r="D256" t="s">
        <v>79</v>
      </c>
      <c r="E256" s="8">
        <v>1</v>
      </c>
      <c r="F256" s="3">
        <v>382666065</v>
      </c>
      <c r="G256" t="s">
        <v>80</v>
      </c>
    </row>
    <row r="257" spans="1:7" hidden="1" x14ac:dyDescent="0.35">
      <c r="A257">
        <v>2022</v>
      </c>
      <c r="B257" t="s">
        <v>108</v>
      </c>
      <c r="C257" t="s">
        <v>85</v>
      </c>
      <c r="D257" t="s">
        <v>79</v>
      </c>
      <c r="E257" s="8">
        <v>0.32540000000000002</v>
      </c>
      <c r="F257" s="3">
        <v>142020334</v>
      </c>
      <c r="G257" t="s">
        <v>80</v>
      </c>
    </row>
    <row r="258" spans="1:7" hidden="1" x14ac:dyDescent="0.35">
      <c r="A258">
        <v>2022</v>
      </c>
      <c r="B258" t="s">
        <v>77</v>
      </c>
      <c r="C258" t="s">
        <v>88</v>
      </c>
      <c r="D258" t="s">
        <v>79</v>
      </c>
      <c r="E258" s="3">
        <v>101441</v>
      </c>
      <c r="F258" s="3">
        <v>395011254</v>
      </c>
      <c r="G258" t="s">
        <v>80</v>
      </c>
    </row>
    <row r="259" spans="1:7" hidden="1" x14ac:dyDescent="0.35">
      <c r="A259">
        <v>2022</v>
      </c>
      <c r="B259" t="s">
        <v>86</v>
      </c>
      <c r="C259" t="s">
        <v>88</v>
      </c>
      <c r="D259" t="s">
        <v>79</v>
      </c>
      <c r="E259" s="3">
        <v>82473</v>
      </c>
      <c r="F259" t="s">
        <v>15</v>
      </c>
      <c r="G259" t="s">
        <v>80</v>
      </c>
    </row>
    <row r="260" spans="1:7" hidden="1" x14ac:dyDescent="0.35">
      <c r="A260">
        <v>2022</v>
      </c>
      <c r="B260" t="s">
        <v>86</v>
      </c>
      <c r="C260" t="s">
        <v>87</v>
      </c>
      <c r="D260" t="s">
        <v>79</v>
      </c>
      <c r="E260" s="3">
        <v>400578</v>
      </c>
      <c r="F260" t="s">
        <v>15</v>
      </c>
      <c r="G260" t="s">
        <v>80</v>
      </c>
    </row>
    <row r="261" spans="1:7" hidden="1" x14ac:dyDescent="0.35">
      <c r="A261">
        <v>2022</v>
      </c>
      <c r="B261" t="s">
        <v>111</v>
      </c>
      <c r="C261" t="s">
        <v>112</v>
      </c>
      <c r="D261" t="s">
        <v>79</v>
      </c>
      <c r="E261" s="3">
        <v>31092</v>
      </c>
      <c r="F261" t="s">
        <v>15</v>
      </c>
      <c r="G261" t="s">
        <v>80</v>
      </c>
    </row>
    <row r="262" spans="1:7" hidden="1" x14ac:dyDescent="0.35">
      <c r="A262">
        <v>2023</v>
      </c>
      <c r="B262" t="s">
        <v>83</v>
      </c>
      <c r="C262" t="s">
        <v>84</v>
      </c>
      <c r="D262" t="s">
        <v>79</v>
      </c>
      <c r="E262" s="8">
        <v>9.1344690699999997</v>
      </c>
      <c r="F262" s="3">
        <v>345263735282</v>
      </c>
      <c r="G262" t="s">
        <v>80</v>
      </c>
    </row>
    <row r="263" spans="1:7" hidden="1" x14ac:dyDescent="0.35">
      <c r="A263">
        <v>2023</v>
      </c>
      <c r="B263" t="s">
        <v>83</v>
      </c>
      <c r="C263" t="s">
        <v>85</v>
      </c>
      <c r="D263" t="s">
        <v>79</v>
      </c>
      <c r="E263" s="8">
        <v>0.70399608999999996</v>
      </c>
      <c r="F263" s="3">
        <v>316892931</v>
      </c>
      <c r="G263" t="s">
        <v>80</v>
      </c>
    </row>
    <row r="264" spans="1:7" hidden="1" x14ac:dyDescent="0.35">
      <c r="A264">
        <v>2023</v>
      </c>
      <c r="B264" t="s">
        <v>77</v>
      </c>
      <c r="C264" t="s">
        <v>82</v>
      </c>
      <c r="D264" t="s">
        <v>79</v>
      </c>
      <c r="E264" s="3">
        <v>3234740</v>
      </c>
      <c r="F264" s="3">
        <v>165903277672</v>
      </c>
      <c r="G264" t="s">
        <v>80</v>
      </c>
    </row>
    <row r="265" spans="1:7" hidden="1" x14ac:dyDescent="0.35">
      <c r="A265">
        <v>2023</v>
      </c>
      <c r="B265" t="s">
        <v>77</v>
      </c>
      <c r="C265" t="s">
        <v>97</v>
      </c>
      <c r="D265" t="s">
        <v>79</v>
      </c>
      <c r="E265" s="3">
        <v>1728988</v>
      </c>
      <c r="F265" s="3">
        <v>64837062375</v>
      </c>
      <c r="G265" t="s">
        <v>80</v>
      </c>
    </row>
    <row r="266" spans="1:7" hidden="1" x14ac:dyDescent="0.35">
      <c r="A266">
        <v>2023</v>
      </c>
      <c r="B266" t="s">
        <v>77</v>
      </c>
      <c r="C266" t="s">
        <v>78</v>
      </c>
      <c r="D266" t="s">
        <v>79</v>
      </c>
      <c r="E266" s="3">
        <v>2044047</v>
      </c>
      <c r="F266" t="s">
        <v>15</v>
      </c>
      <c r="G266" t="s">
        <v>80</v>
      </c>
    </row>
    <row r="267" spans="1:7" hidden="1" x14ac:dyDescent="0.35">
      <c r="A267">
        <v>2023</v>
      </c>
      <c r="B267" t="s">
        <v>77</v>
      </c>
      <c r="C267" t="s">
        <v>81</v>
      </c>
      <c r="D267" t="s">
        <v>79</v>
      </c>
      <c r="E267" s="3">
        <v>854286</v>
      </c>
      <c r="F267" t="s">
        <v>15</v>
      </c>
      <c r="G267" t="s">
        <v>80</v>
      </c>
    </row>
    <row r="268" spans="1:7" hidden="1" x14ac:dyDescent="0.35">
      <c r="A268">
        <v>2023</v>
      </c>
      <c r="B268" t="s">
        <v>77</v>
      </c>
      <c r="C268" t="s">
        <v>81</v>
      </c>
      <c r="D268" t="s">
        <v>79</v>
      </c>
      <c r="E268" s="3">
        <v>91543</v>
      </c>
      <c r="F268" t="s">
        <v>15</v>
      </c>
      <c r="G268" t="s">
        <v>80</v>
      </c>
    </row>
    <row r="269" spans="1:7" hidden="1" x14ac:dyDescent="0.35">
      <c r="A269">
        <v>2023</v>
      </c>
      <c r="B269" t="s">
        <v>77</v>
      </c>
      <c r="C269" t="s">
        <v>88</v>
      </c>
      <c r="D269" t="s">
        <v>79</v>
      </c>
      <c r="E269" s="3">
        <v>96654</v>
      </c>
      <c r="F269" t="s">
        <v>15</v>
      </c>
      <c r="G269" t="s">
        <v>80</v>
      </c>
    </row>
    <row r="270" spans="1:7" hidden="1" x14ac:dyDescent="0.35">
      <c r="A270">
        <v>2023</v>
      </c>
      <c r="B270" t="s">
        <v>108</v>
      </c>
      <c r="C270" t="s">
        <v>84</v>
      </c>
      <c r="D270" t="s">
        <v>79</v>
      </c>
      <c r="E270" s="8">
        <v>3.7276272800000001</v>
      </c>
      <c r="F270" s="3">
        <v>139146872008</v>
      </c>
      <c r="G270" t="s">
        <v>80</v>
      </c>
    </row>
    <row r="271" spans="1:7" hidden="1" x14ac:dyDescent="0.35">
      <c r="A271">
        <v>2023</v>
      </c>
      <c r="B271" t="s">
        <v>108</v>
      </c>
      <c r="C271" t="s">
        <v>85</v>
      </c>
      <c r="D271" t="s">
        <v>79</v>
      </c>
      <c r="E271" s="8">
        <v>0.27840722000000001</v>
      </c>
      <c r="F271" s="3">
        <v>123303770</v>
      </c>
      <c r="G271" t="s">
        <v>80</v>
      </c>
    </row>
    <row r="272" spans="1:7" hidden="1" x14ac:dyDescent="0.35">
      <c r="A272">
        <v>2023</v>
      </c>
      <c r="B272" t="s">
        <v>89</v>
      </c>
      <c r="C272" t="s">
        <v>28</v>
      </c>
      <c r="D272" t="s">
        <v>79</v>
      </c>
      <c r="E272" s="3">
        <v>292630</v>
      </c>
      <c r="F272" s="3">
        <v>53714417797</v>
      </c>
      <c r="G272" t="s">
        <v>80</v>
      </c>
    </row>
    <row r="273" spans="1:7" hidden="1" x14ac:dyDescent="0.35">
      <c r="A273">
        <v>2023</v>
      </c>
      <c r="B273" t="s">
        <v>89</v>
      </c>
      <c r="C273" t="s">
        <v>26</v>
      </c>
      <c r="D273" t="s">
        <v>79</v>
      </c>
      <c r="E273" s="3">
        <v>28956</v>
      </c>
      <c r="F273" s="3">
        <v>33763827964</v>
      </c>
      <c r="G273" t="s">
        <v>80</v>
      </c>
    </row>
    <row r="274" spans="1:7" hidden="1" x14ac:dyDescent="0.35">
      <c r="A274">
        <v>2023</v>
      </c>
      <c r="B274" t="s">
        <v>89</v>
      </c>
      <c r="C274" t="s">
        <v>26</v>
      </c>
      <c r="D274" t="s">
        <v>79</v>
      </c>
      <c r="E274" s="3">
        <v>19442</v>
      </c>
      <c r="F274" s="3">
        <v>20962173188</v>
      </c>
      <c r="G274" t="s">
        <v>80</v>
      </c>
    </row>
    <row r="275" spans="1:7" hidden="1" x14ac:dyDescent="0.35">
      <c r="A275">
        <v>2023</v>
      </c>
      <c r="B275" t="s">
        <v>89</v>
      </c>
      <c r="C275" t="s">
        <v>28</v>
      </c>
      <c r="D275" t="s">
        <v>79</v>
      </c>
      <c r="E275" s="3">
        <v>110527</v>
      </c>
      <c r="F275" s="3">
        <v>19540342890</v>
      </c>
      <c r="G275" t="s">
        <v>80</v>
      </c>
    </row>
    <row r="276" spans="1:7" hidden="1" x14ac:dyDescent="0.35">
      <c r="A276">
        <v>2023</v>
      </c>
      <c r="B276" t="s">
        <v>89</v>
      </c>
      <c r="C276" t="s">
        <v>92</v>
      </c>
      <c r="D276" t="s">
        <v>79</v>
      </c>
      <c r="E276" s="3">
        <v>4942</v>
      </c>
      <c r="F276" s="3">
        <v>3938007343</v>
      </c>
      <c r="G276" t="s">
        <v>80</v>
      </c>
    </row>
    <row r="277" spans="1:7" hidden="1" x14ac:dyDescent="0.35">
      <c r="A277">
        <v>2023</v>
      </c>
      <c r="B277" t="s">
        <v>89</v>
      </c>
      <c r="C277" t="s">
        <v>91</v>
      </c>
      <c r="D277" t="s">
        <v>79</v>
      </c>
      <c r="E277" s="3">
        <v>3081</v>
      </c>
      <c r="F277" s="3">
        <v>3635466802</v>
      </c>
      <c r="G277" t="s">
        <v>80</v>
      </c>
    </row>
    <row r="278" spans="1:7" hidden="1" x14ac:dyDescent="0.35">
      <c r="A278">
        <v>2023</v>
      </c>
      <c r="B278" t="s">
        <v>89</v>
      </c>
      <c r="C278" t="s">
        <v>26</v>
      </c>
      <c r="D278" t="s">
        <v>79</v>
      </c>
      <c r="E278" s="3">
        <v>24927</v>
      </c>
      <c r="F278" s="3">
        <v>3341849743</v>
      </c>
      <c r="G278" t="s">
        <v>80</v>
      </c>
    </row>
    <row r="279" spans="1:7" hidden="1" x14ac:dyDescent="0.35">
      <c r="A279">
        <v>2023</v>
      </c>
      <c r="B279" t="s">
        <v>89</v>
      </c>
      <c r="C279" t="s">
        <v>28</v>
      </c>
      <c r="D279" t="s">
        <v>79</v>
      </c>
      <c r="E279" s="3">
        <v>18238</v>
      </c>
      <c r="F279" s="3">
        <v>2635391015</v>
      </c>
      <c r="G279" t="s">
        <v>80</v>
      </c>
    </row>
    <row r="280" spans="1:7" hidden="1" x14ac:dyDescent="0.35">
      <c r="A280">
        <v>2023</v>
      </c>
      <c r="B280" t="s">
        <v>96</v>
      </c>
      <c r="C280" t="s">
        <v>82</v>
      </c>
      <c r="D280" t="s">
        <v>79</v>
      </c>
      <c r="E280" s="3">
        <v>1606678</v>
      </c>
      <c r="F280" s="3">
        <v>74144976344</v>
      </c>
      <c r="G280" t="s">
        <v>80</v>
      </c>
    </row>
    <row r="281" spans="1:7" hidden="1" x14ac:dyDescent="0.35">
      <c r="A281">
        <v>2023</v>
      </c>
      <c r="B281" t="s">
        <v>96</v>
      </c>
      <c r="C281" t="s">
        <v>97</v>
      </c>
      <c r="D281" t="s">
        <v>79</v>
      </c>
      <c r="E281" s="3">
        <v>1098712</v>
      </c>
      <c r="F281" s="3">
        <v>45394384992</v>
      </c>
      <c r="G281" t="s">
        <v>80</v>
      </c>
    </row>
    <row r="282" spans="1:7" hidden="1" x14ac:dyDescent="0.35">
      <c r="A282">
        <v>2023</v>
      </c>
      <c r="B282" t="s">
        <v>95</v>
      </c>
      <c r="C282" t="s">
        <v>32</v>
      </c>
      <c r="D282" t="s">
        <v>79</v>
      </c>
      <c r="E282" s="3">
        <v>1882000</v>
      </c>
      <c r="F282" s="3">
        <v>67007052695</v>
      </c>
      <c r="G282" t="s">
        <v>80</v>
      </c>
    </row>
    <row r="283" spans="1:7" hidden="1" x14ac:dyDescent="0.35">
      <c r="A283">
        <v>2023</v>
      </c>
      <c r="B283" t="s">
        <v>98</v>
      </c>
      <c r="C283" t="s">
        <v>32</v>
      </c>
      <c r="D283" t="s">
        <v>79</v>
      </c>
      <c r="E283" s="3">
        <v>594170</v>
      </c>
      <c r="F283" s="3">
        <v>33596052437</v>
      </c>
      <c r="G283" t="s">
        <v>80</v>
      </c>
    </row>
    <row r="284" spans="1:7" hidden="1" x14ac:dyDescent="0.35">
      <c r="A284">
        <v>2023</v>
      </c>
      <c r="B284" t="s">
        <v>99</v>
      </c>
      <c r="C284" t="s">
        <v>32</v>
      </c>
      <c r="D284" t="s">
        <v>79</v>
      </c>
      <c r="E284" s="3">
        <v>119589</v>
      </c>
      <c r="F284" s="3">
        <v>9939014397</v>
      </c>
      <c r="G284" t="s">
        <v>80</v>
      </c>
    </row>
    <row r="285" spans="1:7" hidden="1" x14ac:dyDescent="0.35">
      <c r="A285">
        <v>2023</v>
      </c>
      <c r="B285" t="s">
        <v>93</v>
      </c>
      <c r="C285" t="s">
        <v>94</v>
      </c>
      <c r="D285" t="s">
        <v>79</v>
      </c>
      <c r="E285" s="3">
        <v>167000</v>
      </c>
      <c r="F285" s="3">
        <v>2479013182</v>
      </c>
      <c r="G285" t="s">
        <v>80</v>
      </c>
    </row>
    <row r="286" spans="1:7" hidden="1" x14ac:dyDescent="0.35">
      <c r="A286">
        <v>2023</v>
      </c>
      <c r="B286" t="s">
        <v>93</v>
      </c>
      <c r="C286" t="s">
        <v>94</v>
      </c>
      <c r="D286" t="s">
        <v>79</v>
      </c>
      <c r="E286" s="3">
        <v>7613</v>
      </c>
      <c r="F286" s="3">
        <v>433598048</v>
      </c>
      <c r="G286" t="s">
        <v>80</v>
      </c>
    </row>
    <row r="287" spans="1:7" hidden="1" x14ac:dyDescent="0.35">
      <c r="A287">
        <v>2023</v>
      </c>
      <c r="B287" t="s">
        <v>93</v>
      </c>
      <c r="C287" t="s">
        <v>32</v>
      </c>
      <c r="D287" t="s">
        <v>79</v>
      </c>
      <c r="E287" s="3">
        <v>429</v>
      </c>
      <c r="F287" s="3">
        <v>29050872</v>
      </c>
      <c r="G287" t="s">
        <v>80</v>
      </c>
    </row>
    <row r="288" spans="1:7" hidden="1" x14ac:dyDescent="0.35">
      <c r="A288">
        <v>2023</v>
      </c>
      <c r="B288" t="s">
        <v>114</v>
      </c>
      <c r="C288" t="s">
        <v>32</v>
      </c>
      <c r="D288" t="s">
        <v>15</v>
      </c>
      <c r="E288" s="3">
        <v>252625</v>
      </c>
      <c r="F288" t="s">
        <v>15</v>
      </c>
      <c r="G288" t="s">
        <v>80</v>
      </c>
    </row>
    <row r="289" spans="1:12" hidden="1" x14ac:dyDescent="0.35">
      <c r="A289">
        <v>2023</v>
      </c>
      <c r="B289" t="s">
        <v>86</v>
      </c>
      <c r="C289" t="s">
        <v>81</v>
      </c>
      <c r="D289" t="s">
        <v>79</v>
      </c>
      <c r="E289" s="3">
        <v>4242786</v>
      </c>
      <c r="F289" t="s">
        <v>15</v>
      </c>
      <c r="G289" t="s">
        <v>80</v>
      </c>
    </row>
    <row r="290" spans="1:12" hidden="1" x14ac:dyDescent="0.35">
      <c r="A290">
        <v>2023</v>
      </c>
      <c r="B290" t="s">
        <v>86</v>
      </c>
      <c r="C290" t="s">
        <v>87</v>
      </c>
      <c r="D290" t="s">
        <v>79</v>
      </c>
      <c r="E290" s="3">
        <v>597766</v>
      </c>
      <c r="F290" t="s">
        <v>15</v>
      </c>
      <c r="G290" t="s">
        <v>80</v>
      </c>
    </row>
    <row r="291" spans="1:12" hidden="1" x14ac:dyDescent="0.35">
      <c r="A291">
        <v>2023</v>
      </c>
      <c r="B291" t="s">
        <v>86</v>
      </c>
      <c r="C291" t="s">
        <v>88</v>
      </c>
      <c r="D291" t="s">
        <v>79</v>
      </c>
      <c r="E291" s="3">
        <v>129108</v>
      </c>
      <c r="F291" t="s">
        <v>15</v>
      </c>
      <c r="G291" t="s">
        <v>80</v>
      </c>
    </row>
    <row r="292" spans="1:12" hidden="1" x14ac:dyDescent="0.35">
      <c r="A292">
        <v>2023</v>
      </c>
      <c r="B292" t="s">
        <v>104</v>
      </c>
      <c r="C292" t="s">
        <v>102</v>
      </c>
      <c r="D292" t="s">
        <v>79</v>
      </c>
      <c r="E292" s="3">
        <v>2160802</v>
      </c>
      <c r="F292" t="s">
        <v>15</v>
      </c>
      <c r="G292" t="s">
        <v>80</v>
      </c>
    </row>
    <row r="293" spans="1:12" hidden="1" x14ac:dyDescent="0.35">
      <c r="A293">
        <v>2023</v>
      </c>
      <c r="B293" t="s">
        <v>104</v>
      </c>
      <c r="C293" t="s">
        <v>81</v>
      </c>
      <c r="D293" t="s">
        <v>103</v>
      </c>
      <c r="E293" s="3">
        <v>40445</v>
      </c>
      <c r="F293" t="s">
        <v>15</v>
      </c>
      <c r="G293" t="s">
        <v>80</v>
      </c>
    </row>
    <row r="294" spans="1:12" hidden="1" x14ac:dyDescent="0.35">
      <c r="A294">
        <v>2023</v>
      </c>
      <c r="B294" t="s">
        <v>105</v>
      </c>
      <c r="C294" t="s">
        <v>102</v>
      </c>
      <c r="D294" t="s">
        <v>79</v>
      </c>
      <c r="E294" s="3">
        <v>559578</v>
      </c>
      <c r="F294" t="s">
        <v>15</v>
      </c>
      <c r="G294" t="s">
        <v>80</v>
      </c>
    </row>
    <row r="295" spans="1:12" hidden="1" x14ac:dyDescent="0.35">
      <c r="A295">
        <v>2023</v>
      </c>
      <c r="B295" t="s">
        <v>105</v>
      </c>
      <c r="C295" t="s">
        <v>81</v>
      </c>
      <c r="D295" t="s">
        <v>79</v>
      </c>
      <c r="E295" s="3">
        <v>559578</v>
      </c>
      <c r="F295" t="s">
        <v>15</v>
      </c>
      <c r="G295" t="s">
        <v>80</v>
      </c>
    </row>
    <row r="296" spans="1:12" hidden="1" x14ac:dyDescent="0.35">
      <c r="A296">
        <v>2023</v>
      </c>
      <c r="B296" t="s">
        <v>115</v>
      </c>
      <c r="C296" t="s">
        <v>102</v>
      </c>
      <c r="D296" t="s">
        <v>79</v>
      </c>
      <c r="E296" s="3">
        <v>303961</v>
      </c>
      <c r="F296" t="s">
        <v>15</v>
      </c>
      <c r="G296" t="s">
        <v>80</v>
      </c>
    </row>
    <row r="297" spans="1:12" hidden="1" x14ac:dyDescent="0.35">
      <c r="A297">
        <v>2023</v>
      </c>
      <c r="B297" t="s">
        <v>116</v>
      </c>
      <c r="C297" t="s">
        <v>110</v>
      </c>
      <c r="D297" t="s">
        <v>79</v>
      </c>
      <c r="E297" s="3">
        <v>5079</v>
      </c>
      <c r="F297" t="s">
        <v>15</v>
      </c>
      <c r="G297" t="s">
        <v>80</v>
      </c>
    </row>
    <row r="298" spans="1:12" hidden="1" x14ac:dyDescent="0.35">
      <c r="A298">
        <v>2023</v>
      </c>
      <c r="B298" t="s">
        <v>117</v>
      </c>
      <c r="C298" t="s">
        <v>118</v>
      </c>
      <c r="D298" t="s">
        <v>79</v>
      </c>
      <c r="E298" s="3">
        <v>6602</v>
      </c>
      <c r="F298" t="s">
        <v>15</v>
      </c>
      <c r="G298" t="s">
        <v>80</v>
      </c>
    </row>
    <row r="299" spans="1:12" hidden="1" x14ac:dyDescent="0.35">
      <c r="A299">
        <v>2023</v>
      </c>
      <c r="B299" t="s">
        <v>117</v>
      </c>
      <c r="C299" t="s">
        <v>94</v>
      </c>
      <c r="D299" t="s">
        <v>79</v>
      </c>
      <c r="E299" s="3">
        <v>11436</v>
      </c>
      <c r="F299" t="s">
        <v>15</v>
      </c>
      <c r="G299" t="s">
        <v>80</v>
      </c>
    </row>
    <row r="300" spans="1:12" x14ac:dyDescent="0.35">
      <c r="A300">
        <v>2023</v>
      </c>
      <c r="B300" t="s">
        <v>119</v>
      </c>
      <c r="C300" t="s">
        <v>84</v>
      </c>
      <c r="D300" t="s">
        <v>79</v>
      </c>
      <c r="E300" s="8">
        <v>5.5883000000000002E-2</v>
      </c>
      <c r="F300" t="s">
        <v>15</v>
      </c>
      <c r="G300" t="s">
        <v>80</v>
      </c>
      <c r="L300" s="12">
        <f>K300*0.05</f>
        <v>0</v>
      </c>
    </row>
    <row r="301" spans="1:12" x14ac:dyDescent="0.35">
      <c r="A301">
        <v>2023</v>
      </c>
      <c r="B301" t="s">
        <v>119</v>
      </c>
      <c r="C301" t="s">
        <v>85</v>
      </c>
      <c r="D301" t="s">
        <v>79</v>
      </c>
      <c r="E301" s="8">
        <v>2.9989999999999999E-3</v>
      </c>
      <c r="F301" t="s">
        <v>15</v>
      </c>
      <c r="G301" t="s">
        <v>80</v>
      </c>
      <c r="L301" s="12">
        <f t="shared" ref="L301:L338" si="1">K301*0.05</f>
        <v>0</v>
      </c>
    </row>
    <row r="302" spans="1:12" hidden="1" x14ac:dyDescent="0.35">
      <c r="A302">
        <v>2024</v>
      </c>
      <c r="B302" t="s">
        <v>95</v>
      </c>
      <c r="C302" t="s">
        <v>107</v>
      </c>
      <c r="D302" t="s">
        <v>79</v>
      </c>
      <c r="E302" s="3">
        <v>523009</v>
      </c>
      <c r="F302" s="3">
        <v>203916105544</v>
      </c>
      <c r="G302" t="s">
        <v>80</v>
      </c>
      <c r="K302">
        <f>38000000000*Tableau1[[#This Row],[Volume produit]]</f>
        <v>1.9874342E+16</v>
      </c>
      <c r="L302" s="12">
        <f t="shared" si="1"/>
        <v>993717100000000</v>
      </c>
    </row>
    <row r="303" spans="1:12" hidden="1" x14ac:dyDescent="0.35">
      <c r="A303">
        <v>2024</v>
      </c>
      <c r="B303" t="s">
        <v>95</v>
      </c>
      <c r="C303" t="s">
        <v>32</v>
      </c>
      <c r="D303" t="s">
        <v>79</v>
      </c>
      <c r="E303" s="3">
        <v>1800000</v>
      </c>
      <c r="F303" s="3">
        <v>84083231964</v>
      </c>
      <c r="G303" t="s">
        <v>80</v>
      </c>
      <c r="K303">
        <f>38000000000*Tableau1[[#This Row],[Volume produit]]</f>
        <v>6.84E+16</v>
      </c>
      <c r="L303" s="12">
        <f t="shared" si="1"/>
        <v>3420000000000000</v>
      </c>
    </row>
    <row r="304" spans="1:12" hidden="1" x14ac:dyDescent="0.35">
      <c r="A304">
        <v>2024</v>
      </c>
      <c r="B304" t="s">
        <v>95</v>
      </c>
      <c r="C304" t="s">
        <v>34</v>
      </c>
      <c r="D304" t="s">
        <v>79</v>
      </c>
      <c r="E304" s="3">
        <v>178554</v>
      </c>
      <c r="F304" s="3">
        <v>50933305135</v>
      </c>
      <c r="G304" t="s">
        <v>80</v>
      </c>
      <c r="K304">
        <f>38000000000*Tableau1[[#This Row],[Volume produit]]</f>
        <v>6785052000000000</v>
      </c>
      <c r="L304" s="12">
        <f t="shared" si="1"/>
        <v>339252600000000</v>
      </c>
    </row>
    <row r="305" spans="1:12" hidden="1" x14ac:dyDescent="0.35">
      <c r="A305">
        <v>2024</v>
      </c>
      <c r="B305" t="s">
        <v>83</v>
      </c>
      <c r="C305" t="s">
        <v>84</v>
      </c>
      <c r="D305" t="s">
        <v>79</v>
      </c>
      <c r="E305" s="8">
        <v>7.1262730899999998</v>
      </c>
      <c r="F305" s="3">
        <v>336554241516</v>
      </c>
      <c r="G305" t="s">
        <v>80</v>
      </c>
      <c r="K305">
        <f>38000000000*Tableau1[[#This Row],[Volume produit]]</f>
        <v>270798377420</v>
      </c>
      <c r="L305" s="12">
        <f t="shared" si="1"/>
        <v>13539918871</v>
      </c>
    </row>
    <row r="306" spans="1:12" hidden="1" x14ac:dyDescent="0.35">
      <c r="A306">
        <v>2024</v>
      </c>
      <c r="B306" t="s">
        <v>83</v>
      </c>
      <c r="C306" t="s">
        <v>85</v>
      </c>
      <c r="D306" t="s">
        <v>79</v>
      </c>
      <c r="E306" s="8">
        <v>0.57389025000000005</v>
      </c>
      <c r="F306" s="3">
        <v>311205277</v>
      </c>
      <c r="G306" t="s">
        <v>80</v>
      </c>
      <c r="K306">
        <f>38000000000*Tableau1[[#This Row],[Volume produit]]</f>
        <v>21807829500</v>
      </c>
      <c r="L306" s="12">
        <f t="shared" si="1"/>
        <v>1090391475</v>
      </c>
    </row>
    <row r="307" spans="1:12" hidden="1" x14ac:dyDescent="0.35">
      <c r="A307">
        <v>2024</v>
      </c>
      <c r="B307" t="s">
        <v>77</v>
      </c>
      <c r="C307" t="s">
        <v>82</v>
      </c>
      <c r="D307" t="s">
        <v>79</v>
      </c>
      <c r="E307" s="3">
        <v>3214627</v>
      </c>
      <c r="F307" s="3">
        <v>161254390061</v>
      </c>
      <c r="G307" t="s">
        <v>80</v>
      </c>
      <c r="K307">
        <f>38000000000*Tableau1[[#This Row],[Volume produit]]</f>
        <v>1.22155826E+17</v>
      </c>
      <c r="L307" s="12">
        <f t="shared" si="1"/>
        <v>6107791300000000</v>
      </c>
    </row>
    <row r="308" spans="1:12" hidden="1" x14ac:dyDescent="0.35">
      <c r="A308">
        <v>2024</v>
      </c>
      <c r="B308" t="s">
        <v>77</v>
      </c>
      <c r="C308" t="s">
        <v>97</v>
      </c>
      <c r="D308" t="s">
        <v>79</v>
      </c>
      <c r="E308" s="3">
        <v>1789561</v>
      </c>
      <c r="F308" s="3">
        <v>67108528871</v>
      </c>
      <c r="G308" t="s">
        <v>80</v>
      </c>
      <c r="K308">
        <f>38000000000*Tableau1[[#This Row],[Volume produit]]</f>
        <v>6.8003318E+16</v>
      </c>
      <c r="L308" s="12">
        <f t="shared" si="1"/>
        <v>3400165900000000</v>
      </c>
    </row>
    <row r="309" spans="1:12" hidden="1" x14ac:dyDescent="0.35">
      <c r="A309">
        <v>2024</v>
      </c>
      <c r="B309" t="s">
        <v>77</v>
      </c>
      <c r="C309" t="s">
        <v>78</v>
      </c>
      <c r="D309" t="s">
        <v>79</v>
      </c>
      <c r="E309" s="3">
        <v>1900013</v>
      </c>
      <c r="F309" s="3">
        <v>4170528535</v>
      </c>
      <c r="G309" t="s">
        <v>80</v>
      </c>
      <c r="K309">
        <f>38000000000*Tableau1[[#This Row],[Volume produit]]</f>
        <v>7.2200494E+16</v>
      </c>
      <c r="L309" s="12">
        <f t="shared" si="1"/>
        <v>3610024700000000</v>
      </c>
    </row>
    <row r="310" spans="1:12" hidden="1" x14ac:dyDescent="0.35">
      <c r="A310">
        <v>2024</v>
      </c>
      <c r="B310" t="s">
        <v>77</v>
      </c>
      <c r="C310" t="s">
        <v>81</v>
      </c>
      <c r="D310" t="s">
        <v>79</v>
      </c>
      <c r="E310" s="3">
        <v>892199</v>
      </c>
      <c r="F310" s="3">
        <v>1958376805</v>
      </c>
      <c r="G310" t="s">
        <v>80</v>
      </c>
      <c r="K310">
        <f>38000000000*Tableau1[[#This Row],[Volume produit]]</f>
        <v>3.3903562E+16</v>
      </c>
      <c r="L310" s="12">
        <f t="shared" si="1"/>
        <v>1695178100000000</v>
      </c>
    </row>
    <row r="311" spans="1:12" hidden="1" x14ac:dyDescent="0.35">
      <c r="A311">
        <v>2024</v>
      </c>
      <c r="B311" t="s">
        <v>77</v>
      </c>
      <c r="C311" t="s">
        <v>81</v>
      </c>
      <c r="D311" t="s">
        <v>79</v>
      </c>
      <c r="E311" s="3">
        <v>131432</v>
      </c>
      <c r="F311" s="3">
        <v>288493240</v>
      </c>
      <c r="G311" t="s">
        <v>80</v>
      </c>
      <c r="K311">
        <f>38000000000*Tableau1[[#This Row],[Volume produit]]</f>
        <v>4994416000000000</v>
      </c>
      <c r="L311" s="12">
        <f t="shared" si="1"/>
        <v>249720800000000</v>
      </c>
    </row>
    <row r="312" spans="1:12" hidden="1" x14ac:dyDescent="0.35">
      <c r="A312">
        <v>2024</v>
      </c>
      <c r="B312" t="s">
        <v>77</v>
      </c>
      <c r="C312" t="s">
        <v>88</v>
      </c>
      <c r="D312" t="s">
        <v>79</v>
      </c>
      <c r="E312" s="3">
        <v>146684</v>
      </c>
      <c r="F312" s="3">
        <v>571187496</v>
      </c>
      <c r="G312" t="s">
        <v>80</v>
      </c>
      <c r="K312">
        <f>38000000000*Tableau1[[#This Row],[Volume produit]]</f>
        <v>5573992000000000</v>
      </c>
      <c r="L312" s="12">
        <f t="shared" si="1"/>
        <v>278699600000000</v>
      </c>
    </row>
    <row r="313" spans="1:12" hidden="1" x14ac:dyDescent="0.35">
      <c r="A313">
        <v>2024</v>
      </c>
      <c r="B313" t="s">
        <v>96</v>
      </c>
      <c r="C313" t="s">
        <v>82</v>
      </c>
      <c r="D313" t="s">
        <v>79</v>
      </c>
      <c r="E313" s="3">
        <v>1492805</v>
      </c>
      <c r="F313" s="3">
        <v>61676731380</v>
      </c>
      <c r="G313" t="s">
        <v>80</v>
      </c>
      <c r="K313">
        <f>38000000000*Tableau1[[#This Row],[Volume produit]]</f>
        <v>5.672659E+16</v>
      </c>
      <c r="L313" s="12">
        <f t="shared" si="1"/>
        <v>2836329500000000</v>
      </c>
    </row>
    <row r="314" spans="1:12" hidden="1" x14ac:dyDescent="0.35">
      <c r="A314">
        <v>2024</v>
      </c>
      <c r="B314" t="s">
        <v>96</v>
      </c>
      <c r="C314" t="s">
        <v>97</v>
      </c>
      <c r="D314" t="s">
        <v>79</v>
      </c>
      <c r="E314" s="3">
        <v>1157227</v>
      </c>
      <c r="F314" s="3">
        <v>53403711596</v>
      </c>
      <c r="G314" t="s">
        <v>80</v>
      </c>
      <c r="K314">
        <f>38000000000*Tableau1[[#This Row],[Volume produit]]</f>
        <v>4.3974626E+16</v>
      </c>
      <c r="L314" s="12">
        <f t="shared" si="1"/>
        <v>2198731300000000</v>
      </c>
    </row>
    <row r="315" spans="1:12" hidden="1" x14ac:dyDescent="0.35">
      <c r="A315">
        <v>2024</v>
      </c>
      <c r="B315" t="s">
        <v>89</v>
      </c>
      <c r="C315" t="s">
        <v>28</v>
      </c>
      <c r="D315" t="s">
        <v>79</v>
      </c>
      <c r="E315" s="3">
        <v>388925</v>
      </c>
      <c r="F315" s="3">
        <v>57287214720</v>
      </c>
      <c r="G315" t="s">
        <v>80</v>
      </c>
      <c r="K315">
        <f>38000000000*Tableau1[[#This Row],[Volume produit]]</f>
        <v>1.477915E+16</v>
      </c>
      <c r="L315" s="12">
        <f t="shared" si="1"/>
        <v>738957500000000</v>
      </c>
    </row>
    <row r="316" spans="1:12" hidden="1" x14ac:dyDescent="0.35">
      <c r="A316">
        <v>2024</v>
      </c>
      <c r="B316" t="s">
        <v>89</v>
      </c>
      <c r="C316" t="s">
        <v>26</v>
      </c>
      <c r="D316" t="s">
        <v>79</v>
      </c>
      <c r="E316" s="3">
        <v>39119</v>
      </c>
      <c r="F316" s="3">
        <v>43395398837</v>
      </c>
      <c r="G316" t="s">
        <v>80</v>
      </c>
      <c r="K316">
        <f>38000000000*Tableau1[[#This Row],[Volume produit]]</f>
        <v>1486522000000000</v>
      </c>
      <c r="L316" s="12">
        <f t="shared" si="1"/>
        <v>74326100000000</v>
      </c>
    </row>
    <row r="317" spans="1:12" hidden="1" x14ac:dyDescent="0.35">
      <c r="A317">
        <v>2024</v>
      </c>
      <c r="B317" t="s">
        <v>89</v>
      </c>
      <c r="C317" t="s">
        <v>26</v>
      </c>
      <c r="D317" t="s">
        <v>79</v>
      </c>
      <c r="E317" s="3">
        <v>28497</v>
      </c>
      <c r="F317" s="3">
        <v>29824063339</v>
      </c>
      <c r="G317" t="s">
        <v>80</v>
      </c>
      <c r="K317">
        <f>38000000000*Tableau1[[#This Row],[Volume produit]]</f>
        <v>1082886000000000</v>
      </c>
      <c r="L317" s="12">
        <f t="shared" si="1"/>
        <v>54144300000000</v>
      </c>
    </row>
    <row r="318" spans="1:12" hidden="1" x14ac:dyDescent="0.35">
      <c r="A318">
        <v>2024</v>
      </c>
      <c r="B318" t="s">
        <v>89</v>
      </c>
      <c r="C318" t="s">
        <v>28</v>
      </c>
      <c r="D318" t="s">
        <v>79</v>
      </c>
      <c r="E318" s="3">
        <v>154180</v>
      </c>
      <c r="F318" s="3">
        <v>26599636153</v>
      </c>
      <c r="G318" t="s">
        <v>80</v>
      </c>
      <c r="K318">
        <f>38000000000*Tableau1[[#This Row],[Volume produit]]</f>
        <v>5858840000000000</v>
      </c>
      <c r="L318" s="12">
        <f t="shared" si="1"/>
        <v>292942000000000</v>
      </c>
    </row>
    <row r="319" spans="1:12" hidden="1" x14ac:dyDescent="0.35">
      <c r="A319">
        <v>2024</v>
      </c>
      <c r="B319" t="s">
        <v>89</v>
      </c>
      <c r="C319" t="s">
        <v>92</v>
      </c>
      <c r="D319" t="s">
        <v>79</v>
      </c>
      <c r="E319" s="3">
        <v>35430</v>
      </c>
      <c r="F319" s="3">
        <v>4858220469</v>
      </c>
      <c r="G319" t="s">
        <v>80</v>
      </c>
      <c r="K319">
        <f>38000000000*Tableau1[[#This Row],[Volume produit]]</f>
        <v>1346340000000000</v>
      </c>
      <c r="L319" s="12">
        <f t="shared" si="1"/>
        <v>67317000000000</v>
      </c>
    </row>
    <row r="320" spans="1:12" hidden="1" x14ac:dyDescent="0.35">
      <c r="A320">
        <v>2024</v>
      </c>
      <c r="B320" t="s">
        <v>89</v>
      </c>
      <c r="C320" t="s">
        <v>26</v>
      </c>
      <c r="D320" t="s">
        <v>79</v>
      </c>
      <c r="E320" s="3">
        <v>6452</v>
      </c>
      <c r="F320" s="3">
        <v>4808031227</v>
      </c>
      <c r="G320" t="s">
        <v>80</v>
      </c>
      <c r="K320">
        <f>38000000000*Tableau1[[#This Row],[Volume produit]]</f>
        <v>245176000000000</v>
      </c>
      <c r="L320" s="12">
        <f t="shared" si="1"/>
        <v>12258800000000</v>
      </c>
    </row>
    <row r="321" spans="1:12" hidden="1" x14ac:dyDescent="0.35">
      <c r="A321">
        <v>2024</v>
      </c>
      <c r="B321" t="s">
        <v>89</v>
      </c>
      <c r="C321" t="s">
        <v>91</v>
      </c>
      <c r="D321" t="s">
        <v>79</v>
      </c>
      <c r="E321" s="3">
        <v>3789</v>
      </c>
      <c r="F321" s="3">
        <v>4107632243</v>
      </c>
      <c r="G321" t="s">
        <v>80</v>
      </c>
      <c r="K321">
        <f>38000000000*Tableau1[[#This Row],[Volume produit]]</f>
        <v>143982000000000</v>
      </c>
      <c r="L321" s="12">
        <f t="shared" si="1"/>
        <v>7199100000000</v>
      </c>
    </row>
    <row r="322" spans="1:12" hidden="1" x14ac:dyDescent="0.35">
      <c r="A322">
        <v>2024</v>
      </c>
      <c r="B322" t="s">
        <v>89</v>
      </c>
      <c r="C322" t="s">
        <v>28</v>
      </c>
      <c r="D322" t="s">
        <v>79</v>
      </c>
      <c r="E322" s="3">
        <v>27041</v>
      </c>
      <c r="F322" s="3">
        <v>3732992629</v>
      </c>
      <c r="G322" t="s">
        <v>80</v>
      </c>
      <c r="K322">
        <f>38000000000*Tableau1[[#This Row],[Volume produit]]</f>
        <v>1027558000000000</v>
      </c>
      <c r="L322" s="12">
        <f t="shared" si="1"/>
        <v>51377900000000</v>
      </c>
    </row>
    <row r="323" spans="1:12" hidden="1" x14ac:dyDescent="0.35">
      <c r="A323">
        <v>2024</v>
      </c>
      <c r="B323" t="s">
        <v>108</v>
      </c>
      <c r="C323" t="s">
        <v>84</v>
      </c>
      <c r="D323" t="s">
        <v>79</v>
      </c>
      <c r="E323" s="8">
        <v>3.8551204299999999</v>
      </c>
      <c r="F323" s="3">
        <v>83475795667</v>
      </c>
      <c r="G323" t="s">
        <v>80</v>
      </c>
      <c r="K323">
        <f>38000000000*Tableau1[[#This Row],[Volume produit]]</f>
        <v>146494576340</v>
      </c>
      <c r="L323" s="12">
        <f t="shared" si="1"/>
        <v>7324728817</v>
      </c>
    </row>
    <row r="324" spans="1:12" hidden="1" x14ac:dyDescent="0.35">
      <c r="A324">
        <v>2024</v>
      </c>
      <c r="B324" t="s">
        <v>98</v>
      </c>
      <c r="C324" t="s">
        <v>32</v>
      </c>
      <c r="D324" t="s">
        <v>79</v>
      </c>
      <c r="E324" s="3">
        <v>205160</v>
      </c>
      <c r="F324" s="3">
        <v>17975741206</v>
      </c>
      <c r="G324" t="s">
        <v>80</v>
      </c>
      <c r="K324">
        <f>38000000000*Tableau1[[#This Row],[Volume produit]]</f>
        <v>7796080000000000</v>
      </c>
      <c r="L324" s="12">
        <f t="shared" si="1"/>
        <v>389804000000000</v>
      </c>
    </row>
    <row r="325" spans="1:12" hidden="1" x14ac:dyDescent="0.35">
      <c r="A325">
        <v>2024</v>
      </c>
      <c r="B325" t="s">
        <v>99</v>
      </c>
      <c r="C325" t="s">
        <v>32</v>
      </c>
      <c r="D325" t="s">
        <v>79</v>
      </c>
      <c r="E325" s="3">
        <v>163076</v>
      </c>
      <c r="F325" s="3">
        <v>12974642242</v>
      </c>
      <c r="G325" t="s">
        <v>80</v>
      </c>
      <c r="K325">
        <f>38000000000*Tableau1[[#This Row],[Volume produit]]</f>
        <v>6196888000000000</v>
      </c>
      <c r="L325" s="12">
        <f t="shared" si="1"/>
        <v>309844400000000</v>
      </c>
    </row>
    <row r="326" spans="1:12" hidden="1" x14ac:dyDescent="0.35">
      <c r="A326">
        <v>2024</v>
      </c>
      <c r="B326" t="s">
        <v>93</v>
      </c>
      <c r="C326" t="s">
        <v>94</v>
      </c>
      <c r="D326" t="s">
        <v>79</v>
      </c>
      <c r="E326" s="3">
        <v>173895</v>
      </c>
      <c r="F326" s="3">
        <v>2670827443</v>
      </c>
      <c r="G326" t="s">
        <v>80</v>
      </c>
      <c r="K326">
        <f>38000000000*Tableau1[[#This Row],[Volume produit]]</f>
        <v>6608010000000000</v>
      </c>
      <c r="L326" s="12">
        <f t="shared" si="1"/>
        <v>330400500000000</v>
      </c>
    </row>
    <row r="327" spans="1:12" hidden="1" x14ac:dyDescent="0.35">
      <c r="A327">
        <v>2024</v>
      </c>
      <c r="B327" t="s">
        <v>93</v>
      </c>
      <c r="C327" t="s">
        <v>32</v>
      </c>
      <c r="D327" t="s">
        <v>79</v>
      </c>
      <c r="E327" s="3">
        <v>36</v>
      </c>
      <c r="F327" s="3">
        <v>2787737</v>
      </c>
      <c r="G327" t="s">
        <v>80</v>
      </c>
      <c r="K327">
        <f>38000000000*Tableau1[[#This Row],[Volume produit]]</f>
        <v>1368000000000</v>
      </c>
      <c r="L327" s="12">
        <f t="shared" si="1"/>
        <v>68400000000</v>
      </c>
    </row>
    <row r="328" spans="1:12" hidden="1" x14ac:dyDescent="0.35">
      <c r="A328">
        <v>2024</v>
      </c>
      <c r="B328" t="s">
        <v>114</v>
      </c>
      <c r="C328" t="s">
        <v>32</v>
      </c>
      <c r="D328" t="s">
        <v>15</v>
      </c>
      <c r="E328" s="3">
        <v>138298</v>
      </c>
      <c r="F328" t="s">
        <v>15</v>
      </c>
      <c r="G328" t="s">
        <v>80</v>
      </c>
      <c r="K328">
        <f>38000000000*Tableau1[[#This Row],[Volume produit]]</f>
        <v>5255324000000000</v>
      </c>
      <c r="L328" s="12">
        <f t="shared" si="1"/>
        <v>262766200000000</v>
      </c>
    </row>
    <row r="329" spans="1:12" hidden="1" x14ac:dyDescent="0.35">
      <c r="A329">
        <v>2024</v>
      </c>
      <c r="B329" t="s">
        <v>86</v>
      </c>
      <c r="C329" t="s">
        <v>81</v>
      </c>
      <c r="D329" t="s">
        <v>79</v>
      </c>
      <c r="E329" s="3">
        <v>5041384</v>
      </c>
      <c r="F329" t="s">
        <v>15</v>
      </c>
      <c r="G329" t="s">
        <v>80</v>
      </c>
      <c r="K329">
        <f>38000000000*Tableau1[[#This Row],[Volume produit]]</f>
        <v>1.91572592E+17</v>
      </c>
      <c r="L329" s="12">
        <f t="shared" si="1"/>
        <v>9578629600000000</v>
      </c>
    </row>
    <row r="330" spans="1:12" hidden="1" x14ac:dyDescent="0.35">
      <c r="A330">
        <v>2024</v>
      </c>
      <c r="B330" t="s">
        <v>86</v>
      </c>
      <c r="C330" t="s">
        <v>87</v>
      </c>
      <c r="D330" t="s">
        <v>79</v>
      </c>
      <c r="E330" s="3">
        <v>700909</v>
      </c>
      <c r="F330" t="s">
        <v>15</v>
      </c>
      <c r="G330" t="s">
        <v>80</v>
      </c>
      <c r="K330">
        <f>38000000000*Tableau1[[#This Row],[Volume produit]]</f>
        <v>2.6634542E+16</v>
      </c>
      <c r="L330" s="12">
        <f t="shared" si="1"/>
        <v>1331727100000000</v>
      </c>
    </row>
    <row r="331" spans="1:12" hidden="1" x14ac:dyDescent="0.35">
      <c r="A331">
        <v>2024</v>
      </c>
      <c r="B331" t="s">
        <v>86</v>
      </c>
      <c r="C331" t="s">
        <v>88</v>
      </c>
      <c r="D331" t="s">
        <v>79</v>
      </c>
      <c r="E331" s="3">
        <v>124142</v>
      </c>
      <c r="F331" t="s">
        <v>15</v>
      </c>
      <c r="G331" t="s">
        <v>80</v>
      </c>
      <c r="K331">
        <f>38000000000*Tableau1[[#This Row],[Volume produit]]</f>
        <v>4717396000000000</v>
      </c>
      <c r="L331" s="12">
        <f t="shared" si="1"/>
        <v>235869800000000</v>
      </c>
    </row>
    <row r="332" spans="1:12" hidden="1" x14ac:dyDescent="0.35">
      <c r="A332">
        <v>2024</v>
      </c>
      <c r="B332" t="s">
        <v>104</v>
      </c>
      <c r="C332" t="s">
        <v>102</v>
      </c>
      <c r="D332" t="s">
        <v>79</v>
      </c>
      <c r="E332" s="3">
        <v>2025023</v>
      </c>
      <c r="F332" t="s">
        <v>15</v>
      </c>
      <c r="G332" t="s">
        <v>80</v>
      </c>
      <c r="K332">
        <f>38000000000*Tableau1[[#This Row],[Volume produit]]</f>
        <v>7.6950874E+16</v>
      </c>
      <c r="L332" s="12">
        <f t="shared" si="1"/>
        <v>3847543700000000</v>
      </c>
    </row>
    <row r="333" spans="1:12" hidden="1" x14ac:dyDescent="0.35">
      <c r="A333">
        <v>2024</v>
      </c>
      <c r="B333" t="s">
        <v>104</v>
      </c>
      <c r="C333" t="s">
        <v>81</v>
      </c>
      <c r="D333" t="s">
        <v>103</v>
      </c>
      <c r="E333" s="3">
        <v>102243</v>
      </c>
      <c r="F333" t="s">
        <v>15</v>
      </c>
      <c r="G333" t="s">
        <v>80</v>
      </c>
      <c r="K333">
        <f>38000000000*Tableau1[[#This Row],[Volume produit]]</f>
        <v>3885234000000000</v>
      </c>
      <c r="L333" s="12">
        <f t="shared" si="1"/>
        <v>194261700000000</v>
      </c>
    </row>
    <row r="334" spans="1:12" hidden="1" x14ac:dyDescent="0.35">
      <c r="A334">
        <v>2024</v>
      </c>
      <c r="B334" t="s">
        <v>105</v>
      </c>
      <c r="C334" t="s">
        <v>102</v>
      </c>
      <c r="D334" t="s">
        <v>79</v>
      </c>
      <c r="E334" s="3">
        <v>2304591</v>
      </c>
      <c r="F334" t="s">
        <v>15</v>
      </c>
      <c r="G334" t="s">
        <v>80</v>
      </c>
      <c r="K334">
        <f>38000000000*Tableau1[[#This Row],[Volume produit]]</f>
        <v>8.7574458E+16</v>
      </c>
      <c r="L334" s="12">
        <f t="shared" si="1"/>
        <v>4378722900000000</v>
      </c>
    </row>
    <row r="335" spans="1:12" hidden="1" x14ac:dyDescent="0.35">
      <c r="A335">
        <v>2024</v>
      </c>
      <c r="B335" t="s">
        <v>105</v>
      </c>
      <c r="C335" t="s">
        <v>81</v>
      </c>
      <c r="D335" t="s">
        <v>79</v>
      </c>
      <c r="E335" s="3">
        <v>449877</v>
      </c>
      <c r="F335" t="s">
        <v>15</v>
      </c>
      <c r="G335" t="s">
        <v>80</v>
      </c>
      <c r="K335">
        <f>38000000000*Tableau1[[#This Row],[Volume produit]]</f>
        <v>1.7095326E+16</v>
      </c>
      <c r="L335" s="12">
        <f t="shared" si="1"/>
        <v>854766300000000</v>
      </c>
    </row>
    <row r="336" spans="1:12" hidden="1" x14ac:dyDescent="0.35">
      <c r="A336">
        <v>2024</v>
      </c>
      <c r="B336" t="s">
        <v>115</v>
      </c>
      <c r="C336" t="s">
        <v>102</v>
      </c>
      <c r="D336" t="s">
        <v>79</v>
      </c>
      <c r="E336" s="3">
        <v>284800</v>
      </c>
      <c r="F336" t="s">
        <v>15</v>
      </c>
      <c r="G336" t="s">
        <v>80</v>
      </c>
      <c r="K336">
        <f>38000000000*Tableau1[[#This Row],[Volume produit]]</f>
        <v>1.08224E+16</v>
      </c>
      <c r="L336" s="12">
        <f t="shared" si="1"/>
        <v>541120000000000</v>
      </c>
    </row>
    <row r="337" spans="1:12" x14ac:dyDescent="0.35">
      <c r="A337">
        <v>2024</v>
      </c>
      <c r="B337" t="s">
        <v>119</v>
      </c>
      <c r="C337" t="s">
        <v>120</v>
      </c>
      <c r="D337" t="s">
        <v>79</v>
      </c>
      <c r="E337" s="8">
        <v>5.1535999999999998E-2</v>
      </c>
      <c r="F337" t="s">
        <v>15</v>
      </c>
      <c r="G337" t="s">
        <v>80</v>
      </c>
      <c r="L337" s="12">
        <f t="shared" si="1"/>
        <v>0</v>
      </c>
    </row>
    <row r="338" spans="1:12" x14ac:dyDescent="0.35">
      <c r="A338">
        <v>2024</v>
      </c>
      <c r="B338" t="s">
        <v>119</v>
      </c>
      <c r="C338" t="s">
        <v>121</v>
      </c>
      <c r="D338" t="s">
        <v>79</v>
      </c>
      <c r="E338" s="3">
        <v>91182</v>
      </c>
      <c r="F338" t="s">
        <v>15</v>
      </c>
      <c r="G338" t="s">
        <v>80</v>
      </c>
      <c r="L338" s="12">
        <f t="shared" si="1"/>
        <v>0</v>
      </c>
    </row>
  </sheetData>
  <pageMargins left="0.7" right="0.7" top="0.75" bottom="0.75" header="0.3" footer="0.3"/>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830"/>
  <sheetViews>
    <sheetView topLeftCell="A375" zoomScale="76" workbookViewId="0">
      <selection activeCell="F401" sqref="F401"/>
    </sheetView>
  </sheetViews>
  <sheetFormatPr baseColWidth="10" defaultRowHeight="14.5" x14ac:dyDescent="0.35"/>
  <cols>
    <col min="2" max="2" width="8.81640625" customWidth="1"/>
    <col min="3" max="3" width="16.26953125" customWidth="1"/>
    <col min="4" max="4" width="7.453125" customWidth="1"/>
    <col min="5" max="5" width="16.1796875" customWidth="1"/>
    <col min="6" max="6" width="21.453125" customWidth="1"/>
    <col min="7" max="7" width="28.54296875" bestFit="1" customWidth="1"/>
    <col min="12" max="12" width="23.90625" bestFit="1" customWidth="1"/>
  </cols>
  <sheetData>
    <row r="1" spans="1:7" x14ac:dyDescent="0.35">
      <c r="A1" t="s">
        <v>70</v>
      </c>
      <c r="B1" t="s">
        <v>71</v>
      </c>
      <c r="C1" t="s">
        <v>72</v>
      </c>
      <c r="D1" t="s">
        <v>73</v>
      </c>
      <c r="E1" t="s">
        <v>122</v>
      </c>
      <c r="F1" t="s">
        <v>123</v>
      </c>
      <c r="G1" t="s">
        <v>124</v>
      </c>
    </row>
    <row r="2" spans="1:7" x14ac:dyDescent="0.35">
      <c r="A2">
        <v>2014</v>
      </c>
      <c r="B2" t="s">
        <v>77</v>
      </c>
      <c r="C2" t="s">
        <v>82</v>
      </c>
      <c r="D2" t="s">
        <v>79</v>
      </c>
      <c r="E2" s="3">
        <v>760</v>
      </c>
      <c r="F2" s="3">
        <v>24776000</v>
      </c>
      <c r="G2" t="s">
        <v>125</v>
      </c>
    </row>
    <row r="3" spans="1:7" x14ac:dyDescent="0.35">
      <c r="A3">
        <v>2014</v>
      </c>
      <c r="B3" t="s">
        <v>77</v>
      </c>
      <c r="C3" t="s">
        <v>82</v>
      </c>
      <c r="D3" t="s">
        <v>79</v>
      </c>
      <c r="E3" s="3">
        <v>48809</v>
      </c>
      <c r="F3" s="3">
        <v>2181553365</v>
      </c>
      <c r="G3" t="s">
        <v>126</v>
      </c>
    </row>
    <row r="4" spans="1:7" x14ac:dyDescent="0.35">
      <c r="A4">
        <v>2014</v>
      </c>
      <c r="B4" t="s">
        <v>77</v>
      </c>
      <c r="C4" t="s">
        <v>82</v>
      </c>
      <c r="D4" t="s">
        <v>79</v>
      </c>
      <c r="E4" s="3">
        <v>133463</v>
      </c>
      <c r="F4" s="3">
        <v>4696811357</v>
      </c>
      <c r="G4" t="s">
        <v>127</v>
      </c>
    </row>
    <row r="5" spans="1:7" x14ac:dyDescent="0.35">
      <c r="A5">
        <v>2014</v>
      </c>
      <c r="B5" t="s">
        <v>77</v>
      </c>
      <c r="C5" t="s">
        <v>82</v>
      </c>
      <c r="D5" t="s">
        <v>79</v>
      </c>
      <c r="E5" s="3">
        <v>27730</v>
      </c>
      <c r="F5" s="3">
        <v>1094219972</v>
      </c>
      <c r="G5" t="s">
        <v>128</v>
      </c>
    </row>
    <row r="6" spans="1:7" x14ac:dyDescent="0.35">
      <c r="A6">
        <v>2014</v>
      </c>
      <c r="B6" t="s">
        <v>77</v>
      </c>
      <c r="C6" t="s">
        <v>82</v>
      </c>
      <c r="D6" t="s">
        <v>79</v>
      </c>
      <c r="E6" s="3">
        <v>5757</v>
      </c>
      <c r="F6" s="3">
        <v>232039110</v>
      </c>
      <c r="G6" t="s">
        <v>129</v>
      </c>
    </row>
    <row r="7" spans="1:7" x14ac:dyDescent="0.35">
      <c r="A7">
        <v>2014</v>
      </c>
      <c r="B7" t="s">
        <v>77</v>
      </c>
      <c r="C7" t="s">
        <v>82</v>
      </c>
      <c r="D7" t="s">
        <v>79</v>
      </c>
      <c r="E7" s="3">
        <v>675213</v>
      </c>
      <c r="F7" s="3">
        <v>25258577685</v>
      </c>
      <c r="G7" t="s">
        <v>130</v>
      </c>
    </row>
    <row r="8" spans="1:7" x14ac:dyDescent="0.35">
      <c r="A8">
        <v>2014</v>
      </c>
      <c r="B8" t="s">
        <v>77</v>
      </c>
      <c r="C8" t="s">
        <v>82</v>
      </c>
      <c r="D8" t="s">
        <v>79</v>
      </c>
      <c r="E8" s="3">
        <v>18550</v>
      </c>
      <c r="F8" s="3">
        <v>729472298</v>
      </c>
      <c r="G8" t="s">
        <v>131</v>
      </c>
    </row>
    <row r="9" spans="1:7" x14ac:dyDescent="0.35">
      <c r="A9">
        <v>2014</v>
      </c>
      <c r="B9" t="s">
        <v>77</v>
      </c>
      <c r="C9" t="s">
        <v>82</v>
      </c>
      <c r="D9" t="s">
        <v>79</v>
      </c>
      <c r="E9" s="3">
        <v>20550</v>
      </c>
      <c r="F9" s="3">
        <v>1087802900</v>
      </c>
      <c r="G9" t="s">
        <v>132</v>
      </c>
    </row>
    <row r="10" spans="1:7" x14ac:dyDescent="0.35">
      <c r="A10">
        <v>2014</v>
      </c>
      <c r="B10" t="s">
        <v>83</v>
      </c>
      <c r="C10" t="s">
        <v>84</v>
      </c>
      <c r="D10" t="s">
        <v>79</v>
      </c>
      <c r="E10" s="8">
        <v>6.4177669899999996</v>
      </c>
      <c r="F10" s="3">
        <v>129315030912</v>
      </c>
      <c r="G10" t="s">
        <v>133</v>
      </c>
    </row>
    <row r="11" spans="1:7" x14ac:dyDescent="0.35">
      <c r="A11">
        <v>2014</v>
      </c>
      <c r="B11" t="s">
        <v>83</v>
      </c>
      <c r="C11" t="s">
        <v>85</v>
      </c>
      <c r="D11" t="s">
        <v>79</v>
      </c>
      <c r="E11" s="8">
        <v>1.15732927</v>
      </c>
      <c r="F11" s="3">
        <v>355030358</v>
      </c>
      <c r="G11" t="s">
        <v>133</v>
      </c>
    </row>
    <row r="12" spans="1:7" x14ac:dyDescent="0.35">
      <c r="A12">
        <v>2014</v>
      </c>
      <c r="B12" t="s">
        <v>86</v>
      </c>
      <c r="C12" t="s">
        <v>82</v>
      </c>
      <c r="D12" t="s">
        <v>79</v>
      </c>
      <c r="E12" s="3">
        <v>723608</v>
      </c>
      <c r="F12" s="3">
        <v>29517422300</v>
      </c>
      <c r="G12" t="s">
        <v>134</v>
      </c>
    </row>
    <row r="13" spans="1:7" x14ac:dyDescent="0.35">
      <c r="A13">
        <v>2014</v>
      </c>
      <c r="B13" t="s">
        <v>86</v>
      </c>
      <c r="C13" t="s">
        <v>82</v>
      </c>
      <c r="D13" t="s">
        <v>79</v>
      </c>
      <c r="E13" s="3">
        <v>187955</v>
      </c>
      <c r="F13" s="3">
        <v>7546716275</v>
      </c>
      <c r="G13" t="s">
        <v>135</v>
      </c>
    </row>
    <row r="14" spans="1:7" x14ac:dyDescent="0.35">
      <c r="A14">
        <v>2014</v>
      </c>
      <c r="B14" t="s">
        <v>86</v>
      </c>
      <c r="C14" t="s">
        <v>97</v>
      </c>
      <c r="D14" t="s">
        <v>79</v>
      </c>
      <c r="E14" s="3">
        <v>284103</v>
      </c>
      <c r="F14" s="3">
        <v>7433125300</v>
      </c>
      <c r="G14" t="s">
        <v>134</v>
      </c>
    </row>
    <row r="15" spans="1:7" x14ac:dyDescent="0.35">
      <c r="A15">
        <v>2014</v>
      </c>
      <c r="B15" t="s">
        <v>86</v>
      </c>
      <c r="C15" t="s">
        <v>136</v>
      </c>
      <c r="D15" t="s">
        <v>79</v>
      </c>
      <c r="E15" s="3">
        <v>5000</v>
      </c>
      <c r="F15" s="3">
        <v>150000000</v>
      </c>
      <c r="G15" t="s">
        <v>134</v>
      </c>
    </row>
    <row r="16" spans="1:7" x14ac:dyDescent="0.35">
      <c r="A16">
        <v>2014</v>
      </c>
      <c r="B16" t="s">
        <v>86</v>
      </c>
      <c r="C16" t="s">
        <v>82</v>
      </c>
      <c r="D16" t="s">
        <v>79</v>
      </c>
      <c r="E16" s="3">
        <v>1125122</v>
      </c>
      <c r="F16" s="3">
        <v>52009447265</v>
      </c>
      <c r="G16" t="s">
        <v>137</v>
      </c>
    </row>
    <row r="17" spans="1:7" x14ac:dyDescent="0.35">
      <c r="A17">
        <v>2014</v>
      </c>
      <c r="B17" t="s">
        <v>89</v>
      </c>
      <c r="C17" t="s">
        <v>28</v>
      </c>
      <c r="D17" t="s">
        <v>79</v>
      </c>
      <c r="E17" s="3">
        <v>22731</v>
      </c>
      <c r="F17" s="3">
        <v>1706220853</v>
      </c>
      <c r="G17" t="s">
        <v>138</v>
      </c>
    </row>
    <row r="18" spans="1:7" x14ac:dyDescent="0.35">
      <c r="A18">
        <v>2014</v>
      </c>
      <c r="B18" t="s">
        <v>89</v>
      </c>
      <c r="C18" t="s">
        <v>28</v>
      </c>
      <c r="D18" t="s">
        <v>79</v>
      </c>
      <c r="E18" s="3">
        <v>26780</v>
      </c>
      <c r="F18" s="3">
        <v>1612094738</v>
      </c>
      <c r="G18" t="s">
        <v>139</v>
      </c>
    </row>
    <row r="19" spans="1:7" x14ac:dyDescent="0.35">
      <c r="A19">
        <v>2014</v>
      </c>
      <c r="B19" t="s">
        <v>89</v>
      </c>
      <c r="C19" t="s">
        <v>28</v>
      </c>
      <c r="D19" t="s">
        <v>79</v>
      </c>
      <c r="E19" s="3">
        <v>10103</v>
      </c>
      <c r="F19" s="3">
        <v>588316570</v>
      </c>
      <c r="G19" t="s">
        <v>140</v>
      </c>
    </row>
    <row r="20" spans="1:7" x14ac:dyDescent="0.35">
      <c r="A20">
        <v>2014</v>
      </c>
      <c r="B20" t="s">
        <v>89</v>
      </c>
      <c r="C20" t="s">
        <v>28</v>
      </c>
      <c r="D20" t="s">
        <v>79</v>
      </c>
      <c r="E20" s="3">
        <v>5343</v>
      </c>
      <c r="F20" s="3">
        <v>491507653</v>
      </c>
      <c r="G20" t="s">
        <v>141</v>
      </c>
    </row>
    <row r="21" spans="1:7" x14ac:dyDescent="0.35">
      <c r="A21">
        <v>2014</v>
      </c>
      <c r="B21" t="s">
        <v>89</v>
      </c>
      <c r="C21" t="s">
        <v>28</v>
      </c>
      <c r="D21" t="s">
        <v>79</v>
      </c>
      <c r="E21" s="3">
        <v>9967</v>
      </c>
      <c r="F21" s="3">
        <v>791450503</v>
      </c>
      <c r="G21" t="s">
        <v>140</v>
      </c>
    </row>
    <row r="22" spans="1:7" x14ac:dyDescent="0.35">
      <c r="A22">
        <v>2014</v>
      </c>
      <c r="B22" t="s">
        <v>89</v>
      </c>
      <c r="C22" t="s">
        <v>26</v>
      </c>
      <c r="D22" t="s">
        <v>79</v>
      </c>
      <c r="E22" s="3">
        <v>41</v>
      </c>
      <c r="F22" s="3">
        <v>23753062</v>
      </c>
      <c r="G22" t="s">
        <v>142</v>
      </c>
    </row>
    <row r="23" spans="1:7" x14ac:dyDescent="0.35">
      <c r="A23">
        <v>2014</v>
      </c>
      <c r="B23" t="s">
        <v>89</v>
      </c>
      <c r="C23" t="s">
        <v>26</v>
      </c>
      <c r="D23" t="s">
        <v>79</v>
      </c>
      <c r="E23" s="3">
        <v>20</v>
      </c>
      <c r="F23" s="3">
        <v>11874346</v>
      </c>
      <c r="G23" t="s">
        <v>143</v>
      </c>
    </row>
    <row r="24" spans="1:7" x14ac:dyDescent="0.35">
      <c r="A24">
        <v>2014</v>
      </c>
      <c r="B24" t="s">
        <v>89</v>
      </c>
      <c r="C24" t="s">
        <v>26</v>
      </c>
      <c r="D24" t="s">
        <v>79</v>
      </c>
      <c r="E24" s="3">
        <v>101</v>
      </c>
      <c r="F24" s="3">
        <v>56947988</v>
      </c>
      <c r="G24" t="s">
        <v>144</v>
      </c>
    </row>
    <row r="25" spans="1:7" x14ac:dyDescent="0.35">
      <c r="A25">
        <v>2014</v>
      </c>
      <c r="B25" t="s">
        <v>89</v>
      </c>
      <c r="C25" t="s">
        <v>26</v>
      </c>
      <c r="D25" t="s">
        <v>79</v>
      </c>
      <c r="E25" s="3">
        <v>20</v>
      </c>
      <c r="F25" s="3">
        <v>13403460</v>
      </c>
      <c r="G25" t="s">
        <v>145</v>
      </c>
    </row>
    <row r="26" spans="1:7" x14ac:dyDescent="0.35">
      <c r="A26">
        <v>2014</v>
      </c>
      <c r="B26" t="s">
        <v>89</v>
      </c>
      <c r="C26" t="s">
        <v>26</v>
      </c>
      <c r="D26" t="s">
        <v>79</v>
      </c>
      <c r="E26" s="3">
        <v>61</v>
      </c>
      <c r="F26" s="3">
        <v>33019768</v>
      </c>
      <c r="G26" t="s">
        <v>146</v>
      </c>
    </row>
    <row r="27" spans="1:7" x14ac:dyDescent="0.35">
      <c r="A27">
        <v>2014</v>
      </c>
      <c r="B27" t="s">
        <v>89</v>
      </c>
      <c r="C27" t="s">
        <v>26</v>
      </c>
      <c r="D27" t="s">
        <v>79</v>
      </c>
      <c r="E27" s="3">
        <v>987</v>
      </c>
      <c r="F27" s="3">
        <v>527417315</v>
      </c>
      <c r="G27" t="s">
        <v>143</v>
      </c>
    </row>
    <row r="28" spans="1:7" x14ac:dyDescent="0.35">
      <c r="A28">
        <v>2014</v>
      </c>
      <c r="B28" t="s">
        <v>89</v>
      </c>
      <c r="C28" t="s">
        <v>26</v>
      </c>
      <c r="D28" t="s">
        <v>79</v>
      </c>
      <c r="E28" s="3">
        <v>940</v>
      </c>
      <c r="F28" s="3">
        <v>481852520</v>
      </c>
      <c r="G28" t="s">
        <v>138</v>
      </c>
    </row>
    <row r="29" spans="1:7" x14ac:dyDescent="0.35">
      <c r="A29">
        <v>2014</v>
      </c>
      <c r="B29" t="s">
        <v>89</v>
      </c>
      <c r="C29" t="s">
        <v>26</v>
      </c>
      <c r="D29" t="s">
        <v>79</v>
      </c>
      <c r="E29" s="3">
        <v>61</v>
      </c>
      <c r="F29" s="3">
        <v>34330030</v>
      </c>
      <c r="G29" t="s">
        <v>147</v>
      </c>
    </row>
    <row r="30" spans="1:7" x14ac:dyDescent="0.35">
      <c r="A30">
        <v>2014</v>
      </c>
      <c r="B30" t="s">
        <v>89</v>
      </c>
      <c r="C30" t="s">
        <v>26</v>
      </c>
      <c r="D30" t="s">
        <v>79</v>
      </c>
      <c r="E30" s="3">
        <v>83</v>
      </c>
      <c r="F30" s="3">
        <v>43426309</v>
      </c>
      <c r="G30" t="s">
        <v>142</v>
      </c>
    </row>
    <row r="31" spans="1:7" x14ac:dyDescent="0.35">
      <c r="A31">
        <v>2014</v>
      </c>
      <c r="B31" t="s">
        <v>89</v>
      </c>
      <c r="C31" t="s">
        <v>26</v>
      </c>
      <c r="D31" t="s">
        <v>79</v>
      </c>
      <c r="E31" s="3">
        <v>1264</v>
      </c>
      <c r="F31" s="3">
        <v>642252953</v>
      </c>
      <c r="G31" t="s">
        <v>146</v>
      </c>
    </row>
    <row r="32" spans="1:7" x14ac:dyDescent="0.35">
      <c r="A32">
        <v>2014</v>
      </c>
      <c r="B32" t="s">
        <v>89</v>
      </c>
      <c r="C32" t="s">
        <v>26</v>
      </c>
      <c r="D32" t="s">
        <v>79</v>
      </c>
      <c r="E32" s="3">
        <v>832</v>
      </c>
      <c r="F32" s="3">
        <v>442829671</v>
      </c>
      <c r="G32" t="s">
        <v>148</v>
      </c>
    </row>
    <row r="33" spans="1:7" x14ac:dyDescent="0.35">
      <c r="A33">
        <v>2014</v>
      </c>
      <c r="B33" t="s">
        <v>89</v>
      </c>
      <c r="C33" t="s">
        <v>26</v>
      </c>
      <c r="D33" t="s">
        <v>79</v>
      </c>
      <c r="E33" s="3">
        <v>1287</v>
      </c>
      <c r="F33" s="3">
        <v>668628456</v>
      </c>
      <c r="G33" t="s">
        <v>144</v>
      </c>
    </row>
    <row r="34" spans="1:7" x14ac:dyDescent="0.35">
      <c r="A34">
        <v>2014</v>
      </c>
      <c r="B34" t="s">
        <v>89</v>
      </c>
      <c r="C34" t="s">
        <v>26</v>
      </c>
      <c r="D34" t="s">
        <v>79</v>
      </c>
      <c r="E34" s="3">
        <v>20</v>
      </c>
      <c r="F34" s="3">
        <v>11600734</v>
      </c>
      <c r="G34" t="s">
        <v>139</v>
      </c>
    </row>
    <row r="35" spans="1:7" x14ac:dyDescent="0.35">
      <c r="A35">
        <v>2014</v>
      </c>
      <c r="B35" t="s">
        <v>89</v>
      </c>
      <c r="C35" t="s">
        <v>26</v>
      </c>
      <c r="D35" t="s">
        <v>79</v>
      </c>
      <c r="E35" s="3">
        <v>1391</v>
      </c>
      <c r="F35" s="3">
        <v>702353050</v>
      </c>
      <c r="G35" t="s">
        <v>149</v>
      </c>
    </row>
    <row r="36" spans="1:7" x14ac:dyDescent="0.35">
      <c r="A36">
        <v>2014</v>
      </c>
      <c r="B36" t="s">
        <v>89</v>
      </c>
      <c r="C36" t="s">
        <v>26</v>
      </c>
      <c r="D36" t="s">
        <v>79</v>
      </c>
      <c r="E36" s="3">
        <v>20</v>
      </c>
      <c r="F36" s="3">
        <v>10261880</v>
      </c>
      <c r="G36" t="s">
        <v>150</v>
      </c>
    </row>
    <row r="37" spans="1:7" x14ac:dyDescent="0.35">
      <c r="A37">
        <v>2014</v>
      </c>
      <c r="B37" t="s">
        <v>89</v>
      </c>
      <c r="C37" t="s">
        <v>26</v>
      </c>
      <c r="D37" t="s">
        <v>79</v>
      </c>
      <c r="E37" s="3">
        <v>40</v>
      </c>
      <c r="F37" s="3">
        <v>23302935</v>
      </c>
      <c r="G37" t="s">
        <v>140</v>
      </c>
    </row>
    <row r="38" spans="1:7" x14ac:dyDescent="0.35">
      <c r="A38">
        <v>2014</v>
      </c>
      <c r="B38" t="s">
        <v>89</v>
      </c>
      <c r="C38" t="s">
        <v>91</v>
      </c>
      <c r="D38" t="s">
        <v>79</v>
      </c>
      <c r="E38" s="3">
        <v>162</v>
      </c>
      <c r="F38" s="3">
        <v>71852009</v>
      </c>
      <c r="G38" t="s">
        <v>144</v>
      </c>
    </row>
    <row r="39" spans="1:7" x14ac:dyDescent="0.35">
      <c r="A39">
        <v>2014</v>
      </c>
      <c r="B39" t="s">
        <v>93</v>
      </c>
      <c r="C39" t="s">
        <v>94</v>
      </c>
      <c r="D39" t="s">
        <v>79</v>
      </c>
      <c r="E39" s="3">
        <v>38995</v>
      </c>
      <c r="F39" s="3">
        <v>1006248166</v>
      </c>
      <c r="G39" t="s">
        <v>151</v>
      </c>
    </row>
    <row r="40" spans="1:7" x14ac:dyDescent="0.35">
      <c r="A40">
        <v>2014</v>
      </c>
      <c r="B40" t="s">
        <v>93</v>
      </c>
      <c r="C40" t="s">
        <v>94</v>
      </c>
      <c r="D40" t="s">
        <v>79</v>
      </c>
      <c r="E40" s="3">
        <v>40</v>
      </c>
      <c r="F40" s="3">
        <v>1305777</v>
      </c>
      <c r="G40" t="s">
        <v>149</v>
      </c>
    </row>
    <row r="41" spans="1:7" x14ac:dyDescent="0.35">
      <c r="A41">
        <v>2014</v>
      </c>
      <c r="B41" t="s">
        <v>93</v>
      </c>
      <c r="C41" t="s">
        <v>94</v>
      </c>
      <c r="D41" t="s">
        <v>79</v>
      </c>
      <c r="E41" s="3">
        <v>6025</v>
      </c>
      <c r="F41" s="3">
        <v>155166230</v>
      </c>
      <c r="G41" t="s">
        <v>152</v>
      </c>
    </row>
    <row r="42" spans="1:7" x14ac:dyDescent="0.35">
      <c r="A42">
        <v>2014</v>
      </c>
      <c r="B42" t="s">
        <v>93</v>
      </c>
      <c r="C42" t="s">
        <v>94</v>
      </c>
      <c r="D42" t="s">
        <v>79</v>
      </c>
      <c r="E42" s="3">
        <v>25468</v>
      </c>
      <c r="F42" s="3">
        <v>656208488</v>
      </c>
      <c r="G42" t="s">
        <v>153</v>
      </c>
    </row>
    <row r="43" spans="1:7" x14ac:dyDescent="0.35">
      <c r="A43">
        <v>2014</v>
      </c>
      <c r="B43" t="s">
        <v>93</v>
      </c>
      <c r="C43" t="s">
        <v>94</v>
      </c>
      <c r="D43" t="s">
        <v>79</v>
      </c>
      <c r="E43" s="3">
        <v>29118</v>
      </c>
      <c r="F43" s="3">
        <v>829721191</v>
      </c>
      <c r="G43" t="s">
        <v>154</v>
      </c>
    </row>
    <row r="44" spans="1:7" x14ac:dyDescent="0.35">
      <c r="A44">
        <v>2014</v>
      </c>
      <c r="B44" t="s">
        <v>93</v>
      </c>
      <c r="C44" t="s">
        <v>32</v>
      </c>
      <c r="D44" t="s">
        <v>79</v>
      </c>
      <c r="E44" s="3">
        <v>68597</v>
      </c>
      <c r="F44" s="3">
        <v>1997011693</v>
      </c>
      <c r="G44" t="s">
        <v>147</v>
      </c>
    </row>
    <row r="45" spans="1:7" x14ac:dyDescent="0.35">
      <c r="A45">
        <v>2014</v>
      </c>
      <c r="B45" t="s">
        <v>93</v>
      </c>
      <c r="C45" t="s">
        <v>32</v>
      </c>
      <c r="D45" t="s">
        <v>79</v>
      </c>
      <c r="E45" s="3">
        <v>18548</v>
      </c>
      <c r="F45" s="3">
        <v>563330883</v>
      </c>
      <c r="G45" t="s">
        <v>144</v>
      </c>
    </row>
    <row r="46" spans="1:7" x14ac:dyDescent="0.35">
      <c r="A46">
        <v>2014</v>
      </c>
      <c r="B46" t="s">
        <v>93</v>
      </c>
      <c r="C46" t="s">
        <v>32</v>
      </c>
      <c r="D46" t="s">
        <v>79</v>
      </c>
      <c r="E46" s="3">
        <v>892</v>
      </c>
      <c r="F46" s="3">
        <v>52598228</v>
      </c>
      <c r="G46" t="s">
        <v>137</v>
      </c>
    </row>
    <row r="47" spans="1:7" x14ac:dyDescent="0.35">
      <c r="A47">
        <v>2014</v>
      </c>
      <c r="B47" t="s">
        <v>93</v>
      </c>
      <c r="C47" t="s">
        <v>32</v>
      </c>
      <c r="D47" t="s">
        <v>79</v>
      </c>
      <c r="E47" s="3">
        <v>6800</v>
      </c>
      <c r="F47" s="3">
        <v>320621286</v>
      </c>
      <c r="G47" t="s">
        <v>151</v>
      </c>
    </row>
    <row r="48" spans="1:7" x14ac:dyDescent="0.35">
      <c r="A48">
        <v>2014</v>
      </c>
      <c r="B48" t="s">
        <v>93</v>
      </c>
      <c r="C48" t="s">
        <v>32</v>
      </c>
      <c r="D48" t="s">
        <v>79</v>
      </c>
      <c r="E48" s="3">
        <v>200</v>
      </c>
      <c r="F48" s="3">
        <v>34897000</v>
      </c>
      <c r="G48" t="s">
        <v>155</v>
      </c>
    </row>
    <row r="49" spans="1:7" x14ac:dyDescent="0.35">
      <c r="A49">
        <v>2014</v>
      </c>
      <c r="B49" t="s">
        <v>93</v>
      </c>
      <c r="C49" t="s">
        <v>32</v>
      </c>
      <c r="D49" t="s">
        <v>79</v>
      </c>
      <c r="E49" s="3">
        <v>675</v>
      </c>
      <c r="F49" s="3">
        <v>61745850</v>
      </c>
      <c r="G49" t="s">
        <v>156</v>
      </c>
    </row>
    <row r="50" spans="1:7" x14ac:dyDescent="0.35">
      <c r="A50">
        <v>2014</v>
      </c>
      <c r="B50" t="s">
        <v>93</v>
      </c>
      <c r="C50" t="s">
        <v>32</v>
      </c>
      <c r="D50" t="s">
        <v>79</v>
      </c>
      <c r="E50" s="3">
        <v>175</v>
      </c>
      <c r="F50" s="3">
        <v>20125000</v>
      </c>
      <c r="G50" t="s">
        <v>157</v>
      </c>
    </row>
    <row r="51" spans="1:7" x14ac:dyDescent="0.35">
      <c r="A51">
        <v>2014</v>
      </c>
      <c r="B51" t="s">
        <v>93</v>
      </c>
      <c r="C51" t="s">
        <v>32</v>
      </c>
      <c r="D51" t="s">
        <v>79</v>
      </c>
      <c r="E51" s="3">
        <v>448</v>
      </c>
      <c r="F51" s="3">
        <v>28886400</v>
      </c>
      <c r="G51" t="s">
        <v>137</v>
      </c>
    </row>
    <row r="52" spans="1:7" x14ac:dyDescent="0.35">
      <c r="A52">
        <v>2014</v>
      </c>
      <c r="B52" t="s">
        <v>98</v>
      </c>
      <c r="C52" t="s">
        <v>32</v>
      </c>
      <c r="D52" t="s">
        <v>79</v>
      </c>
      <c r="E52" s="3">
        <v>31612</v>
      </c>
      <c r="F52" s="3">
        <v>1691042844</v>
      </c>
      <c r="G52" t="s">
        <v>158</v>
      </c>
    </row>
    <row r="53" spans="1:7" x14ac:dyDescent="0.35">
      <c r="A53">
        <v>2014</v>
      </c>
      <c r="B53" t="s">
        <v>99</v>
      </c>
      <c r="C53" t="s">
        <v>32</v>
      </c>
      <c r="D53" t="s">
        <v>79</v>
      </c>
      <c r="E53" s="3">
        <v>33175</v>
      </c>
      <c r="F53" s="3">
        <v>974366088</v>
      </c>
      <c r="G53" t="s">
        <v>143</v>
      </c>
    </row>
    <row r="54" spans="1:7" x14ac:dyDescent="0.35">
      <c r="A54">
        <v>2014</v>
      </c>
      <c r="B54" t="s">
        <v>99</v>
      </c>
      <c r="C54" t="s">
        <v>32</v>
      </c>
      <c r="D54" t="s">
        <v>79</v>
      </c>
      <c r="E54" s="3">
        <v>1700</v>
      </c>
      <c r="F54" s="3">
        <v>49826482</v>
      </c>
      <c r="G54" t="s">
        <v>159</v>
      </c>
    </row>
    <row r="55" spans="1:7" x14ac:dyDescent="0.35">
      <c r="A55">
        <v>2014</v>
      </c>
      <c r="B55" t="s">
        <v>99</v>
      </c>
      <c r="C55" t="s">
        <v>32</v>
      </c>
      <c r="D55" t="s">
        <v>79</v>
      </c>
      <c r="E55" s="3">
        <v>92461</v>
      </c>
      <c r="F55" s="3">
        <v>2394015165</v>
      </c>
      <c r="G55" t="s">
        <v>149</v>
      </c>
    </row>
    <row r="56" spans="1:7" x14ac:dyDescent="0.35">
      <c r="A56">
        <v>2014</v>
      </c>
      <c r="B56" t="s">
        <v>99</v>
      </c>
      <c r="C56" t="s">
        <v>32</v>
      </c>
      <c r="D56" t="s">
        <v>79</v>
      </c>
      <c r="E56" s="3">
        <v>1000</v>
      </c>
      <c r="F56" s="3">
        <v>29222884</v>
      </c>
      <c r="G56" t="s">
        <v>160</v>
      </c>
    </row>
    <row r="57" spans="1:7" x14ac:dyDescent="0.35">
      <c r="A57">
        <v>2014</v>
      </c>
      <c r="B57" t="s">
        <v>99</v>
      </c>
      <c r="C57" t="s">
        <v>32</v>
      </c>
      <c r="D57" t="s">
        <v>79</v>
      </c>
      <c r="E57" s="3">
        <v>2000</v>
      </c>
      <c r="F57" s="3">
        <v>58445768</v>
      </c>
      <c r="G57" t="s">
        <v>158</v>
      </c>
    </row>
    <row r="58" spans="1:7" x14ac:dyDescent="0.35">
      <c r="A58">
        <v>2014</v>
      </c>
      <c r="B58" t="s">
        <v>99</v>
      </c>
      <c r="C58" t="s">
        <v>32</v>
      </c>
      <c r="D58" t="s">
        <v>79</v>
      </c>
      <c r="E58" s="3">
        <v>15668</v>
      </c>
      <c r="F58" s="3">
        <v>298008520</v>
      </c>
      <c r="G58" t="s">
        <v>146</v>
      </c>
    </row>
    <row r="59" spans="1:7" x14ac:dyDescent="0.35">
      <c r="A59">
        <v>2014</v>
      </c>
      <c r="B59" t="s">
        <v>99</v>
      </c>
      <c r="C59" t="s">
        <v>32</v>
      </c>
      <c r="D59" t="s">
        <v>79</v>
      </c>
      <c r="E59" s="3">
        <v>370</v>
      </c>
      <c r="F59" s="3">
        <v>10812467</v>
      </c>
      <c r="G59" t="s">
        <v>157</v>
      </c>
    </row>
    <row r="60" spans="1:7" x14ac:dyDescent="0.35">
      <c r="A60">
        <v>2014</v>
      </c>
      <c r="B60" t="s">
        <v>99</v>
      </c>
      <c r="C60" t="s">
        <v>32</v>
      </c>
      <c r="D60" t="s">
        <v>79</v>
      </c>
      <c r="E60" s="3">
        <v>31170</v>
      </c>
      <c r="F60" s="3">
        <v>733126062</v>
      </c>
      <c r="G60" t="s">
        <v>161</v>
      </c>
    </row>
    <row r="61" spans="1:7" x14ac:dyDescent="0.35">
      <c r="A61">
        <v>2014</v>
      </c>
      <c r="B61" t="s">
        <v>99</v>
      </c>
      <c r="C61" t="s">
        <v>32</v>
      </c>
      <c r="D61" t="s">
        <v>79</v>
      </c>
      <c r="E61" s="3">
        <v>112</v>
      </c>
      <c r="F61" s="3">
        <v>3349200</v>
      </c>
      <c r="G61" t="s">
        <v>131</v>
      </c>
    </row>
    <row r="62" spans="1:7" x14ac:dyDescent="0.35">
      <c r="A62">
        <v>2014</v>
      </c>
      <c r="B62" t="s">
        <v>99</v>
      </c>
      <c r="C62" t="s">
        <v>32</v>
      </c>
      <c r="D62" t="s">
        <v>79</v>
      </c>
      <c r="E62" s="3">
        <v>136006</v>
      </c>
      <c r="F62" s="3">
        <v>4375894651</v>
      </c>
      <c r="G62" t="s">
        <v>162</v>
      </c>
    </row>
    <row r="63" spans="1:7" x14ac:dyDescent="0.35">
      <c r="A63">
        <v>2014</v>
      </c>
      <c r="B63" t="s">
        <v>99</v>
      </c>
      <c r="C63" t="s">
        <v>32</v>
      </c>
      <c r="D63" t="s">
        <v>79</v>
      </c>
      <c r="E63" s="3">
        <v>14731</v>
      </c>
      <c r="F63" s="3">
        <v>384572470</v>
      </c>
      <c r="G63" t="s">
        <v>163</v>
      </c>
    </row>
    <row r="64" spans="1:7" x14ac:dyDescent="0.35">
      <c r="A64">
        <v>2014</v>
      </c>
      <c r="B64" t="s">
        <v>99</v>
      </c>
      <c r="C64" t="s">
        <v>32</v>
      </c>
      <c r="D64" t="s">
        <v>79</v>
      </c>
      <c r="E64" s="3">
        <v>350</v>
      </c>
      <c r="F64" s="3">
        <v>10227977</v>
      </c>
      <c r="G64" t="s">
        <v>132</v>
      </c>
    </row>
    <row r="65" spans="1:7" x14ac:dyDescent="0.35">
      <c r="A65">
        <v>2014</v>
      </c>
      <c r="B65" t="s">
        <v>99</v>
      </c>
      <c r="C65" t="s">
        <v>32</v>
      </c>
      <c r="D65" t="s">
        <v>79</v>
      </c>
      <c r="E65" s="3">
        <v>5200</v>
      </c>
      <c r="F65" s="3">
        <v>78005619</v>
      </c>
      <c r="G65" t="s">
        <v>161</v>
      </c>
    </row>
    <row r="66" spans="1:7" x14ac:dyDescent="0.35">
      <c r="A66">
        <v>2014</v>
      </c>
      <c r="B66" t="s">
        <v>99</v>
      </c>
      <c r="C66" t="s">
        <v>32</v>
      </c>
      <c r="D66" t="s">
        <v>79</v>
      </c>
      <c r="E66" s="3">
        <v>8457</v>
      </c>
      <c r="F66" s="3">
        <v>292245827</v>
      </c>
      <c r="G66" t="s">
        <v>137</v>
      </c>
    </row>
    <row r="67" spans="1:7" x14ac:dyDescent="0.35">
      <c r="A67">
        <v>2014</v>
      </c>
      <c r="B67" t="s">
        <v>100</v>
      </c>
      <c r="C67" t="s">
        <v>32</v>
      </c>
      <c r="D67" t="s">
        <v>79</v>
      </c>
      <c r="E67" s="3">
        <v>214721</v>
      </c>
      <c r="F67" s="3">
        <v>6895734426</v>
      </c>
      <c r="G67" t="s">
        <v>162</v>
      </c>
    </row>
    <row r="68" spans="1:7" x14ac:dyDescent="0.35">
      <c r="A68">
        <v>2014</v>
      </c>
      <c r="B68" t="s">
        <v>101</v>
      </c>
      <c r="C68" t="s">
        <v>102</v>
      </c>
      <c r="D68" t="s">
        <v>79</v>
      </c>
      <c r="E68" s="3">
        <v>345000</v>
      </c>
      <c r="F68" s="3">
        <v>6743230000</v>
      </c>
      <c r="G68" t="s">
        <v>137</v>
      </c>
    </row>
    <row r="69" spans="1:7" x14ac:dyDescent="0.35">
      <c r="A69">
        <v>2014</v>
      </c>
      <c r="B69" t="s">
        <v>101</v>
      </c>
      <c r="C69" t="s">
        <v>81</v>
      </c>
      <c r="D69" t="s">
        <v>103</v>
      </c>
      <c r="E69" s="3">
        <v>176660</v>
      </c>
      <c r="F69" s="3">
        <v>6743230000</v>
      </c>
      <c r="G69" t="s">
        <v>137</v>
      </c>
    </row>
    <row r="70" spans="1:7" x14ac:dyDescent="0.35">
      <c r="A70">
        <v>2014</v>
      </c>
      <c r="B70" t="s">
        <v>104</v>
      </c>
      <c r="C70" t="s">
        <v>102</v>
      </c>
      <c r="D70" t="s">
        <v>79</v>
      </c>
      <c r="E70" s="3">
        <v>790000</v>
      </c>
      <c r="F70" s="3">
        <v>10595000000</v>
      </c>
      <c r="G70" t="s">
        <v>137</v>
      </c>
    </row>
    <row r="71" spans="1:7" x14ac:dyDescent="0.35">
      <c r="A71">
        <v>2014</v>
      </c>
      <c r="B71" t="s">
        <v>105</v>
      </c>
      <c r="C71" t="s">
        <v>102</v>
      </c>
      <c r="D71" t="s">
        <v>79</v>
      </c>
      <c r="E71" s="3">
        <v>25938</v>
      </c>
      <c r="F71" s="3">
        <v>170192087</v>
      </c>
      <c r="G71" t="s">
        <v>127</v>
      </c>
    </row>
    <row r="72" spans="1:7" x14ac:dyDescent="0.35">
      <c r="A72">
        <v>2014</v>
      </c>
      <c r="B72" t="s">
        <v>105</v>
      </c>
      <c r="C72" t="s">
        <v>102</v>
      </c>
      <c r="D72" t="s">
        <v>79</v>
      </c>
      <c r="E72" s="3">
        <v>1257661</v>
      </c>
      <c r="F72" s="3">
        <v>7491748973</v>
      </c>
      <c r="G72" t="s">
        <v>137</v>
      </c>
    </row>
    <row r="73" spans="1:7" x14ac:dyDescent="0.35">
      <c r="A73">
        <v>2014</v>
      </c>
      <c r="B73" t="s">
        <v>106</v>
      </c>
      <c r="C73" t="s">
        <v>81</v>
      </c>
      <c r="D73" t="s">
        <v>103</v>
      </c>
      <c r="E73" s="3">
        <v>732719</v>
      </c>
      <c r="F73" s="3">
        <v>4458513802</v>
      </c>
      <c r="G73" t="s">
        <v>137</v>
      </c>
    </row>
    <row r="74" spans="1:7" x14ac:dyDescent="0.35">
      <c r="A74">
        <v>2015</v>
      </c>
      <c r="B74" t="s">
        <v>77</v>
      </c>
      <c r="C74" t="s">
        <v>82</v>
      </c>
      <c r="D74" t="s">
        <v>79</v>
      </c>
      <c r="E74" s="3">
        <v>28215</v>
      </c>
      <c r="F74" s="3">
        <v>1091921764</v>
      </c>
      <c r="G74" t="s">
        <v>126</v>
      </c>
    </row>
    <row r="75" spans="1:7" x14ac:dyDescent="0.35">
      <c r="A75">
        <v>2015</v>
      </c>
      <c r="B75" t="s">
        <v>77</v>
      </c>
      <c r="C75" t="s">
        <v>82</v>
      </c>
      <c r="D75" t="s">
        <v>79</v>
      </c>
      <c r="E75" s="3">
        <v>275</v>
      </c>
      <c r="F75" s="3">
        <v>11000000</v>
      </c>
      <c r="G75" t="s">
        <v>159</v>
      </c>
    </row>
    <row r="76" spans="1:7" x14ac:dyDescent="0.35">
      <c r="A76">
        <v>2015</v>
      </c>
      <c r="B76" t="s">
        <v>77</v>
      </c>
      <c r="C76" t="s">
        <v>82</v>
      </c>
      <c r="D76" t="s">
        <v>79</v>
      </c>
      <c r="E76" s="3">
        <v>123442</v>
      </c>
      <c r="F76" s="3">
        <v>4077690593</v>
      </c>
      <c r="G76" t="s">
        <v>127</v>
      </c>
    </row>
    <row r="77" spans="1:7" x14ac:dyDescent="0.35">
      <c r="A77">
        <v>2015</v>
      </c>
      <c r="B77" t="s">
        <v>77</v>
      </c>
      <c r="C77" t="s">
        <v>82</v>
      </c>
      <c r="D77" t="s">
        <v>79</v>
      </c>
      <c r="E77" s="3">
        <v>934</v>
      </c>
      <c r="F77" s="3">
        <v>36947025</v>
      </c>
      <c r="G77" t="s">
        <v>129</v>
      </c>
    </row>
    <row r="78" spans="1:7" x14ac:dyDescent="0.35">
      <c r="A78">
        <v>2015</v>
      </c>
      <c r="B78" t="s">
        <v>77</v>
      </c>
      <c r="C78" t="s">
        <v>82</v>
      </c>
      <c r="D78" t="s">
        <v>79</v>
      </c>
      <c r="E78" s="3">
        <v>26238</v>
      </c>
      <c r="F78" s="3">
        <v>1031108679</v>
      </c>
      <c r="G78" t="s">
        <v>128</v>
      </c>
    </row>
    <row r="79" spans="1:7" x14ac:dyDescent="0.35">
      <c r="A79">
        <v>2015</v>
      </c>
      <c r="B79" t="s">
        <v>77</v>
      </c>
      <c r="C79" t="s">
        <v>82</v>
      </c>
      <c r="D79" t="s">
        <v>79</v>
      </c>
      <c r="E79" s="3">
        <v>719989</v>
      </c>
      <c r="F79" s="3">
        <v>26743504718</v>
      </c>
      <c r="G79" t="s">
        <v>130</v>
      </c>
    </row>
    <row r="80" spans="1:7" x14ac:dyDescent="0.35">
      <c r="A80">
        <v>2015</v>
      </c>
      <c r="B80" t="s">
        <v>77</v>
      </c>
      <c r="C80" t="s">
        <v>82</v>
      </c>
      <c r="D80" t="s">
        <v>79</v>
      </c>
      <c r="E80" s="3">
        <v>12567</v>
      </c>
      <c r="F80" s="3">
        <v>494740187</v>
      </c>
      <c r="G80" t="s">
        <v>131</v>
      </c>
    </row>
    <row r="81" spans="1:7" x14ac:dyDescent="0.35">
      <c r="A81">
        <v>2015</v>
      </c>
      <c r="B81" t="s">
        <v>83</v>
      </c>
      <c r="C81" t="s">
        <v>84</v>
      </c>
      <c r="D81" t="s">
        <v>79</v>
      </c>
      <c r="E81" s="8">
        <v>6.0097515799999996</v>
      </c>
      <c r="F81" s="3">
        <v>132762285276</v>
      </c>
      <c r="G81" t="s">
        <v>133</v>
      </c>
    </row>
    <row r="82" spans="1:7" x14ac:dyDescent="0.35">
      <c r="A82">
        <v>2015</v>
      </c>
      <c r="B82" t="s">
        <v>83</v>
      </c>
      <c r="C82" t="s">
        <v>85</v>
      </c>
      <c r="D82" t="s">
        <v>79</v>
      </c>
      <c r="E82" s="8">
        <v>0.55634788999999996</v>
      </c>
      <c r="F82" s="3">
        <v>164774191</v>
      </c>
      <c r="G82" t="s">
        <v>133</v>
      </c>
    </row>
    <row r="83" spans="1:7" x14ac:dyDescent="0.35">
      <c r="A83">
        <v>2015</v>
      </c>
      <c r="B83" t="s">
        <v>86</v>
      </c>
      <c r="C83" t="s">
        <v>82</v>
      </c>
      <c r="D83" t="s">
        <v>79</v>
      </c>
      <c r="E83" s="3">
        <v>1009632</v>
      </c>
      <c r="F83" s="3">
        <v>40305060424</v>
      </c>
      <c r="G83" t="s">
        <v>134</v>
      </c>
    </row>
    <row r="84" spans="1:7" x14ac:dyDescent="0.35">
      <c r="A84">
        <v>2015</v>
      </c>
      <c r="B84" t="s">
        <v>86</v>
      </c>
      <c r="C84" t="s">
        <v>82</v>
      </c>
      <c r="D84" t="s">
        <v>79</v>
      </c>
      <c r="E84" s="3">
        <v>274351</v>
      </c>
      <c r="F84" s="3">
        <v>11167838001</v>
      </c>
      <c r="G84" t="s">
        <v>135</v>
      </c>
    </row>
    <row r="85" spans="1:7" x14ac:dyDescent="0.35">
      <c r="A85">
        <v>2015</v>
      </c>
      <c r="B85" t="s">
        <v>89</v>
      </c>
      <c r="C85" t="s">
        <v>28</v>
      </c>
      <c r="D85" t="s">
        <v>79</v>
      </c>
      <c r="E85" s="3">
        <v>94794</v>
      </c>
      <c r="F85" s="3">
        <v>5751939600</v>
      </c>
      <c r="G85" t="s">
        <v>138</v>
      </c>
    </row>
    <row r="86" spans="1:7" x14ac:dyDescent="0.35">
      <c r="A86">
        <v>2015</v>
      </c>
      <c r="B86" t="s">
        <v>89</v>
      </c>
      <c r="C86" t="s">
        <v>28</v>
      </c>
      <c r="D86" t="s">
        <v>79</v>
      </c>
      <c r="E86" s="3">
        <v>284</v>
      </c>
      <c r="F86" s="3">
        <v>26281344</v>
      </c>
      <c r="G86" t="s">
        <v>164</v>
      </c>
    </row>
    <row r="87" spans="1:7" x14ac:dyDescent="0.35">
      <c r="A87">
        <v>2015</v>
      </c>
      <c r="B87" t="s">
        <v>89</v>
      </c>
      <c r="C87" t="s">
        <v>28</v>
      </c>
      <c r="D87" t="s">
        <v>79</v>
      </c>
      <c r="E87" s="3">
        <v>55097</v>
      </c>
      <c r="F87" s="3">
        <v>2681738098</v>
      </c>
      <c r="G87" t="s">
        <v>139</v>
      </c>
    </row>
    <row r="88" spans="1:7" x14ac:dyDescent="0.35">
      <c r="A88">
        <v>2015</v>
      </c>
      <c r="B88" t="s">
        <v>89</v>
      </c>
      <c r="C88" t="s">
        <v>28</v>
      </c>
      <c r="D88" t="s">
        <v>79</v>
      </c>
      <c r="E88" s="3">
        <v>189847</v>
      </c>
      <c r="F88" s="3">
        <v>8512310281</v>
      </c>
      <c r="G88" t="s">
        <v>165</v>
      </c>
    </row>
    <row r="89" spans="1:7" x14ac:dyDescent="0.35">
      <c r="A89">
        <v>2015</v>
      </c>
      <c r="B89" t="s">
        <v>89</v>
      </c>
      <c r="C89" t="s">
        <v>28</v>
      </c>
      <c r="D89" t="s">
        <v>79</v>
      </c>
      <c r="E89" s="3">
        <v>30076</v>
      </c>
      <c r="F89" s="3">
        <v>2796128112</v>
      </c>
      <c r="G89" t="s">
        <v>148</v>
      </c>
    </row>
    <row r="90" spans="1:7" x14ac:dyDescent="0.35">
      <c r="A90">
        <v>2015</v>
      </c>
      <c r="B90" t="s">
        <v>89</v>
      </c>
      <c r="C90" t="s">
        <v>28</v>
      </c>
      <c r="D90" t="s">
        <v>79</v>
      </c>
      <c r="E90" s="3">
        <v>50322</v>
      </c>
      <c r="F90" s="3">
        <v>4833965499</v>
      </c>
      <c r="G90" t="s">
        <v>140</v>
      </c>
    </row>
    <row r="91" spans="1:7" x14ac:dyDescent="0.35">
      <c r="A91">
        <v>2015</v>
      </c>
      <c r="B91" t="s">
        <v>89</v>
      </c>
      <c r="C91" t="s">
        <v>26</v>
      </c>
      <c r="D91" t="s">
        <v>79</v>
      </c>
      <c r="E91" s="3">
        <v>100</v>
      </c>
      <c r="F91" s="3">
        <v>69048986</v>
      </c>
      <c r="G91" t="s">
        <v>145</v>
      </c>
    </row>
    <row r="92" spans="1:7" x14ac:dyDescent="0.35">
      <c r="A92">
        <v>2015</v>
      </c>
      <c r="B92" t="s">
        <v>89</v>
      </c>
      <c r="C92" t="s">
        <v>26</v>
      </c>
      <c r="D92" t="s">
        <v>79</v>
      </c>
      <c r="E92" s="3">
        <v>1785</v>
      </c>
      <c r="F92" s="3">
        <v>1154403797</v>
      </c>
      <c r="G92" t="s">
        <v>143</v>
      </c>
    </row>
    <row r="93" spans="1:7" x14ac:dyDescent="0.35">
      <c r="A93">
        <v>2015</v>
      </c>
      <c r="B93" t="s">
        <v>89</v>
      </c>
      <c r="C93" t="s">
        <v>26</v>
      </c>
      <c r="D93" t="s">
        <v>79</v>
      </c>
      <c r="E93" s="3">
        <v>2529</v>
      </c>
      <c r="F93" s="3">
        <v>1547473912</v>
      </c>
      <c r="G93" t="s">
        <v>138</v>
      </c>
    </row>
    <row r="94" spans="1:7" x14ac:dyDescent="0.35">
      <c r="A94">
        <v>2015</v>
      </c>
      <c r="B94" t="s">
        <v>89</v>
      </c>
      <c r="C94" t="s">
        <v>26</v>
      </c>
      <c r="D94" t="s">
        <v>79</v>
      </c>
      <c r="E94" s="3">
        <v>674</v>
      </c>
      <c r="F94" s="3">
        <v>438868230</v>
      </c>
      <c r="G94" t="s">
        <v>147</v>
      </c>
    </row>
    <row r="95" spans="1:7" x14ac:dyDescent="0.35">
      <c r="A95">
        <v>2015</v>
      </c>
      <c r="B95" t="s">
        <v>89</v>
      </c>
      <c r="C95" t="s">
        <v>26</v>
      </c>
      <c r="D95" t="s">
        <v>79</v>
      </c>
      <c r="E95" s="3">
        <v>720</v>
      </c>
      <c r="F95" s="3">
        <v>454072439</v>
      </c>
      <c r="G95" t="s">
        <v>142</v>
      </c>
    </row>
    <row r="96" spans="1:7" x14ac:dyDescent="0.35">
      <c r="A96">
        <v>2015</v>
      </c>
      <c r="B96" t="s">
        <v>89</v>
      </c>
      <c r="C96" t="s">
        <v>26</v>
      </c>
      <c r="D96" t="s">
        <v>79</v>
      </c>
      <c r="E96" s="3">
        <v>3589</v>
      </c>
      <c r="F96" s="3">
        <v>2192873157</v>
      </c>
      <c r="G96" t="s">
        <v>146</v>
      </c>
    </row>
    <row r="97" spans="1:7" x14ac:dyDescent="0.35">
      <c r="A97">
        <v>2015</v>
      </c>
      <c r="B97" t="s">
        <v>89</v>
      </c>
      <c r="C97" t="s">
        <v>26</v>
      </c>
      <c r="D97" t="s">
        <v>79</v>
      </c>
      <c r="E97" s="3">
        <v>20</v>
      </c>
      <c r="F97" s="3">
        <v>12961529</v>
      </c>
      <c r="G97" t="s">
        <v>164</v>
      </c>
    </row>
    <row r="98" spans="1:7" x14ac:dyDescent="0.35">
      <c r="A98">
        <v>2015</v>
      </c>
      <c r="B98" t="s">
        <v>89</v>
      </c>
      <c r="C98" t="s">
        <v>26</v>
      </c>
      <c r="D98" t="s">
        <v>79</v>
      </c>
      <c r="E98" s="3">
        <v>127</v>
      </c>
      <c r="F98" s="3">
        <v>81161945</v>
      </c>
      <c r="G98" t="s">
        <v>161</v>
      </c>
    </row>
    <row r="99" spans="1:7" x14ac:dyDescent="0.35">
      <c r="A99">
        <v>2015</v>
      </c>
      <c r="B99" t="s">
        <v>89</v>
      </c>
      <c r="C99" t="s">
        <v>26</v>
      </c>
      <c r="D99" t="s">
        <v>79</v>
      </c>
      <c r="E99" s="3">
        <v>688</v>
      </c>
      <c r="F99" s="3">
        <v>435154037</v>
      </c>
      <c r="G99" t="s">
        <v>148</v>
      </c>
    </row>
    <row r="100" spans="1:7" x14ac:dyDescent="0.35">
      <c r="A100">
        <v>2015</v>
      </c>
      <c r="B100" t="s">
        <v>89</v>
      </c>
      <c r="C100" t="s">
        <v>26</v>
      </c>
      <c r="D100" t="s">
        <v>79</v>
      </c>
      <c r="E100" s="3">
        <v>898</v>
      </c>
      <c r="F100" s="3">
        <v>563295917</v>
      </c>
      <c r="G100" t="s">
        <v>144</v>
      </c>
    </row>
    <row r="101" spans="1:7" x14ac:dyDescent="0.35">
      <c r="A101">
        <v>2015</v>
      </c>
      <c r="B101" t="s">
        <v>89</v>
      </c>
      <c r="C101" t="s">
        <v>26</v>
      </c>
      <c r="D101" t="s">
        <v>79</v>
      </c>
      <c r="E101" s="3">
        <v>62</v>
      </c>
      <c r="F101" s="3">
        <v>39326847</v>
      </c>
      <c r="G101" t="s">
        <v>165</v>
      </c>
    </row>
    <row r="102" spans="1:7" x14ac:dyDescent="0.35">
      <c r="A102">
        <v>2015</v>
      </c>
      <c r="B102" t="s">
        <v>89</v>
      </c>
      <c r="C102" t="s">
        <v>26</v>
      </c>
      <c r="D102" t="s">
        <v>79</v>
      </c>
      <c r="E102" s="3">
        <v>4461</v>
      </c>
      <c r="F102" s="3">
        <v>2741057081</v>
      </c>
      <c r="G102" t="s">
        <v>149</v>
      </c>
    </row>
    <row r="103" spans="1:7" x14ac:dyDescent="0.35">
      <c r="A103">
        <v>2015</v>
      </c>
      <c r="B103" t="s">
        <v>89</v>
      </c>
      <c r="C103" t="s">
        <v>26</v>
      </c>
      <c r="D103" t="s">
        <v>79</v>
      </c>
      <c r="E103" s="3">
        <v>745</v>
      </c>
      <c r="F103" s="3">
        <v>453706411</v>
      </c>
      <c r="G103" t="s">
        <v>150</v>
      </c>
    </row>
    <row r="104" spans="1:7" x14ac:dyDescent="0.35">
      <c r="A104">
        <v>2015</v>
      </c>
      <c r="B104" t="s">
        <v>89</v>
      </c>
      <c r="C104" t="s">
        <v>26</v>
      </c>
      <c r="D104" t="s">
        <v>79</v>
      </c>
      <c r="E104" s="3">
        <v>6030</v>
      </c>
      <c r="F104" s="3">
        <v>4062690283</v>
      </c>
      <c r="G104" t="s">
        <v>140</v>
      </c>
    </row>
    <row r="105" spans="1:7" x14ac:dyDescent="0.35">
      <c r="A105">
        <v>2015</v>
      </c>
      <c r="B105" t="s">
        <v>89</v>
      </c>
      <c r="C105" t="s">
        <v>26</v>
      </c>
      <c r="D105" t="s">
        <v>79</v>
      </c>
      <c r="E105" s="3">
        <v>1996</v>
      </c>
      <c r="F105" s="3">
        <v>1223021307</v>
      </c>
      <c r="G105" t="s">
        <v>143</v>
      </c>
    </row>
    <row r="106" spans="1:7" x14ac:dyDescent="0.35">
      <c r="A106">
        <v>2015</v>
      </c>
      <c r="B106" t="s">
        <v>89</v>
      </c>
      <c r="C106" t="s">
        <v>26</v>
      </c>
      <c r="D106" t="s">
        <v>79</v>
      </c>
      <c r="E106" s="3">
        <v>1809</v>
      </c>
      <c r="F106" s="3">
        <v>1065918398</v>
      </c>
      <c r="G106" t="s">
        <v>138</v>
      </c>
    </row>
    <row r="107" spans="1:7" x14ac:dyDescent="0.35">
      <c r="A107">
        <v>2015</v>
      </c>
      <c r="B107" t="s">
        <v>89</v>
      </c>
      <c r="C107" t="s">
        <v>26</v>
      </c>
      <c r="D107" t="s">
        <v>79</v>
      </c>
      <c r="E107" s="3">
        <v>1671</v>
      </c>
      <c r="F107" s="3">
        <v>985933584</v>
      </c>
      <c r="G107" t="s">
        <v>142</v>
      </c>
    </row>
    <row r="108" spans="1:7" x14ac:dyDescent="0.35">
      <c r="A108">
        <v>2015</v>
      </c>
      <c r="B108" t="s">
        <v>89</v>
      </c>
      <c r="C108" t="s">
        <v>26</v>
      </c>
      <c r="D108" t="s">
        <v>79</v>
      </c>
      <c r="E108" s="3">
        <v>108</v>
      </c>
      <c r="F108" s="3">
        <v>71864109</v>
      </c>
      <c r="G108" t="s">
        <v>158</v>
      </c>
    </row>
    <row r="109" spans="1:7" x14ac:dyDescent="0.35">
      <c r="A109">
        <v>2015</v>
      </c>
      <c r="B109" t="s">
        <v>89</v>
      </c>
      <c r="C109" t="s">
        <v>26</v>
      </c>
      <c r="D109" t="s">
        <v>79</v>
      </c>
      <c r="E109" s="3">
        <v>2723</v>
      </c>
      <c r="F109" s="3">
        <v>1554022015</v>
      </c>
      <c r="G109" t="s">
        <v>146</v>
      </c>
    </row>
    <row r="110" spans="1:7" x14ac:dyDescent="0.35">
      <c r="A110">
        <v>2015</v>
      </c>
      <c r="B110" t="s">
        <v>89</v>
      </c>
      <c r="C110" t="s">
        <v>26</v>
      </c>
      <c r="D110" t="s">
        <v>79</v>
      </c>
      <c r="E110" s="3">
        <v>43</v>
      </c>
      <c r="F110" s="3">
        <v>26532888</v>
      </c>
      <c r="G110" t="s">
        <v>161</v>
      </c>
    </row>
    <row r="111" spans="1:7" x14ac:dyDescent="0.35">
      <c r="A111">
        <v>2015</v>
      </c>
      <c r="B111" t="s">
        <v>89</v>
      </c>
      <c r="C111" t="s">
        <v>26</v>
      </c>
      <c r="D111" t="s">
        <v>79</v>
      </c>
      <c r="E111" s="3">
        <v>209</v>
      </c>
      <c r="F111" s="3">
        <v>124134815</v>
      </c>
      <c r="G111" t="s">
        <v>148</v>
      </c>
    </row>
    <row r="112" spans="1:7" x14ac:dyDescent="0.35">
      <c r="A112">
        <v>2015</v>
      </c>
      <c r="B112" t="s">
        <v>89</v>
      </c>
      <c r="C112" t="s">
        <v>26</v>
      </c>
      <c r="D112" t="s">
        <v>79</v>
      </c>
      <c r="E112" s="3">
        <v>1794</v>
      </c>
      <c r="F112" s="3">
        <v>1058379034</v>
      </c>
      <c r="G112" t="s">
        <v>144</v>
      </c>
    </row>
    <row r="113" spans="1:7" x14ac:dyDescent="0.35">
      <c r="A113">
        <v>2015</v>
      </c>
      <c r="B113" t="s">
        <v>89</v>
      </c>
      <c r="C113" t="s">
        <v>26</v>
      </c>
      <c r="D113" t="s">
        <v>79</v>
      </c>
      <c r="E113" s="3">
        <v>79</v>
      </c>
      <c r="F113" s="3">
        <v>48238816</v>
      </c>
      <c r="G113" t="s">
        <v>139</v>
      </c>
    </row>
    <row r="114" spans="1:7" x14ac:dyDescent="0.35">
      <c r="A114">
        <v>2015</v>
      </c>
      <c r="B114" t="s">
        <v>89</v>
      </c>
      <c r="C114" t="s">
        <v>26</v>
      </c>
      <c r="D114" t="s">
        <v>79</v>
      </c>
      <c r="E114" s="3">
        <v>4433</v>
      </c>
      <c r="F114" s="3">
        <v>2557285731</v>
      </c>
      <c r="G114" t="s">
        <v>149</v>
      </c>
    </row>
    <row r="115" spans="1:7" x14ac:dyDescent="0.35">
      <c r="A115">
        <v>2015</v>
      </c>
      <c r="B115" t="s">
        <v>89</v>
      </c>
      <c r="C115" t="s">
        <v>26</v>
      </c>
      <c r="D115" t="s">
        <v>79</v>
      </c>
      <c r="E115" s="3">
        <v>649</v>
      </c>
      <c r="F115" s="3">
        <v>370515633</v>
      </c>
      <c r="G115" t="s">
        <v>150</v>
      </c>
    </row>
    <row r="116" spans="1:7" x14ac:dyDescent="0.35">
      <c r="A116">
        <v>2015</v>
      </c>
      <c r="B116" t="s">
        <v>89</v>
      </c>
      <c r="C116" t="s">
        <v>26</v>
      </c>
      <c r="D116" t="s">
        <v>79</v>
      </c>
      <c r="E116" s="3">
        <v>3895</v>
      </c>
      <c r="F116" s="3">
        <v>2508165310</v>
      </c>
      <c r="G116" t="s">
        <v>140</v>
      </c>
    </row>
    <row r="117" spans="1:7" x14ac:dyDescent="0.35">
      <c r="A117">
        <v>2015</v>
      </c>
      <c r="B117" t="s">
        <v>89</v>
      </c>
      <c r="C117" t="s">
        <v>91</v>
      </c>
      <c r="D117" t="s">
        <v>79</v>
      </c>
      <c r="E117" s="3">
        <v>324</v>
      </c>
      <c r="F117" s="3">
        <v>152401165</v>
      </c>
      <c r="G117" t="s">
        <v>138</v>
      </c>
    </row>
    <row r="118" spans="1:7" x14ac:dyDescent="0.35">
      <c r="A118">
        <v>2015</v>
      </c>
      <c r="B118" t="s">
        <v>89</v>
      </c>
      <c r="C118" t="s">
        <v>91</v>
      </c>
      <c r="D118" t="s">
        <v>79</v>
      </c>
      <c r="E118" s="3">
        <v>20</v>
      </c>
      <c r="F118" s="3">
        <v>10097122</v>
      </c>
      <c r="G118" t="s">
        <v>166</v>
      </c>
    </row>
    <row r="119" spans="1:7" x14ac:dyDescent="0.35">
      <c r="A119">
        <v>2015</v>
      </c>
      <c r="B119" t="s">
        <v>89</v>
      </c>
      <c r="C119" t="s">
        <v>91</v>
      </c>
      <c r="D119" t="s">
        <v>79</v>
      </c>
      <c r="E119" s="3">
        <v>100</v>
      </c>
      <c r="F119" s="3">
        <v>47613365</v>
      </c>
      <c r="G119" t="s">
        <v>144</v>
      </c>
    </row>
    <row r="120" spans="1:7" x14ac:dyDescent="0.35">
      <c r="A120">
        <v>2015</v>
      </c>
      <c r="B120" t="s">
        <v>89</v>
      </c>
      <c r="C120" t="s">
        <v>91</v>
      </c>
      <c r="D120" t="s">
        <v>79</v>
      </c>
      <c r="E120" s="3">
        <v>4</v>
      </c>
      <c r="F120" s="3">
        <v>2002816</v>
      </c>
      <c r="G120" t="s">
        <v>163</v>
      </c>
    </row>
    <row r="121" spans="1:7" x14ac:dyDescent="0.35">
      <c r="A121">
        <v>2015</v>
      </c>
      <c r="B121" t="s">
        <v>89</v>
      </c>
      <c r="C121" t="s">
        <v>91</v>
      </c>
      <c r="D121" t="s">
        <v>79</v>
      </c>
      <c r="E121" s="3">
        <v>1523</v>
      </c>
      <c r="F121" s="3">
        <v>737763809</v>
      </c>
      <c r="G121" t="s">
        <v>167</v>
      </c>
    </row>
    <row r="122" spans="1:7" x14ac:dyDescent="0.35">
      <c r="A122">
        <v>2015</v>
      </c>
      <c r="B122" t="s">
        <v>89</v>
      </c>
      <c r="C122" t="s">
        <v>92</v>
      </c>
      <c r="D122" t="s">
        <v>79</v>
      </c>
      <c r="E122" s="3">
        <v>2159</v>
      </c>
      <c r="F122" s="3">
        <v>493091465</v>
      </c>
      <c r="G122" t="s">
        <v>138</v>
      </c>
    </row>
    <row r="123" spans="1:7" x14ac:dyDescent="0.35">
      <c r="A123">
        <v>2015</v>
      </c>
      <c r="B123" t="s">
        <v>89</v>
      </c>
      <c r="C123" t="s">
        <v>92</v>
      </c>
      <c r="D123" t="s">
        <v>79</v>
      </c>
      <c r="E123" s="3">
        <v>438</v>
      </c>
      <c r="F123" s="3">
        <v>119873654</v>
      </c>
      <c r="G123" t="s">
        <v>168</v>
      </c>
    </row>
    <row r="124" spans="1:7" x14ac:dyDescent="0.35">
      <c r="A124">
        <v>2015</v>
      </c>
      <c r="B124" t="s">
        <v>89</v>
      </c>
      <c r="C124" t="s">
        <v>92</v>
      </c>
      <c r="D124" t="s">
        <v>79</v>
      </c>
      <c r="E124" s="3">
        <v>20</v>
      </c>
      <c r="F124" s="3">
        <v>7197479</v>
      </c>
      <c r="G124" t="s">
        <v>166</v>
      </c>
    </row>
    <row r="125" spans="1:7" x14ac:dyDescent="0.35">
      <c r="A125">
        <v>2015</v>
      </c>
      <c r="B125" t="s">
        <v>89</v>
      </c>
      <c r="C125" t="s">
        <v>92</v>
      </c>
      <c r="D125" t="s">
        <v>79</v>
      </c>
      <c r="E125" s="3">
        <v>21</v>
      </c>
      <c r="F125" s="3">
        <v>7495591</v>
      </c>
      <c r="G125" t="s">
        <v>167</v>
      </c>
    </row>
    <row r="126" spans="1:7" x14ac:dyDescent="0.35">
      <c r="A126">
        <v>2015</v>
      </c>
      <c r="B126" t="s">
        <v>93</v>
      </c>
      <c r="C126" t="s">
        <v>94</v>
      </c>
      <c r="D126" t="s">
        <v>79</v>
      </c>
      <c r="E126" s="3">
        <v>86233</v>
      </c>
      <c r="F126" s="3">
        <v>2412531451</v>
      </c>
      <c r="G126" t="s">
        <v>147</v>
      </c>
    </row>
    <row r="127" spans="1:7" x14ac:dyDescent="0.35">
      <c r="A127">
        <v>2015</v>
      </c>
      <c r="B127" t="s">
        <v>93</v>
      </c>
      <c r="C127" t="s">
        <v>94</v>
      </c>
      <c r="D127" t="s">
        <v>79</v>
      </c>
      <c r="E127" s="3">
        <v>42754</v>
      </c>
      <c r="F127" s="3">
        <v>1158384148</v>
      </c>
      <c r="G127" t="s">
        <v>144</v>
      </c>
    </row>
    <row r="128" spans="1:7" x14ac:dyDescent="0.35">
      <c r="A128">
        <v>2015</v>
      </c>
      <c r="B128" t="s">
        <v>93</v>
      </c>
      <c r="C128" t="s">
        <v>94</v>
      </c>
      <c r="D128" t="s">
        <v>79</v>
      </c>
      <c r="E128" s="3">
        <v>53810</v>
      </c>
      <c r="F128" s="3">
        <v>1388799880</v>
      </c>
      <c r="G128" t="s">
        <v>151</v>
      </c>
    </row>
    <row r="129" spans="1:7" x14ac:dyDescent="0.35">
      <c r="A129">
        <v>2015</v>
      </c>
      <c r="B129" t="s">
        <v>93</v>
      </c>
      <c r="C129" t="s">
        <v>94</v>
      </c>
      <c r="D129" t="s">
        <v>79</v>
      </c>
      <c r="E129" s="3">
        <v>418</v>
      </c>
      <c r="F129" s="3">
        <v>23441510</v>
      </c>
      <c r="G129" t="s">
        <v>137</v>
      </c>
    </row>
    <row r="130" spans="1:7" x14ac:dyDescent="0.35">
      <c r="A130">
        <v>2015</v>
      </c>
      <c r="B130" t="s">
        <v>93</v>
      </c>
      <c r="C130" t="s">
        <v>32</v>
      </c>
      <c r="D130" t="s">
        <v>79</v>
      </c>
      <c r="E130" s="3">
        <v>200</v>
      </c>
      <c r="F130" s="3">
        <v>23160600</v>
      </c>
      <c r="G130" t="s">
        <v>155</v>
      </c>
    </row>
    <row r="131" spans="1:7" x14ac:dyDescent="0.35">
      <c r="A131">
        <v>2015</v>
      </c>
      <c r="B131" t="s">
        <v>93</v>
      </c>
      <c r="C131" t="s">
        <v>32</v>
      </c>
      <c r="D131" t="s">
        <v>79</v>
      </c>
      <c r="E131" s="3">
        <v>384</v>
      </c>
      <c r="F131" s="3">
        <v>36145920</v>
      </c>
      <c r="G131" t="s">
        <v>156</v>
      </c>
    </row>
    <row r="132" spans="1:7" x14ac:dyDescent="0.35">
      <c r="A132">
        <v>2015</v>
      </c>
      <c r="B132" t="s">
        <v>93</v>
      </c>
      <c r="C132" t="s">
        <v>32</v>
      </c>
      <c r="D132" t="s">
        <v>79</v>
      </c>
      <c r="E132" s="3">
        <v>1090</v>
      </c>
      <c r="F132" s="3">
        <v>60029576</v>
      </c>
      <c r="G132" t="s">
        <v>137</v>
      </c>
    </row>
    <row r="133" spans="1:7" x14ac:dyDescent="0.35">
      <c r="A133">
        <v>2015</v>
      </c>
      <c r="B133" t="s">
        <v>96</v>
      </c>
      <c r="C133" t="s">
        <v>82</v>
      </c>
      <c r="D133" t="s">
        <v>79</v>
      </c>
      <c r="E133" s="3">
        <v>12050</v>
      </c>
      <c r="F133" s="3">
        <v>492707561</v>
      </c>
      <c r="G133" t="s">
        <v>127</v>
      </c>
    </row>
    <row r="134" spans="1:7" x14ac:dyDescent="0.35">
      <c r="A134">
        <v>2015</v>
      </c>
      <c r="B134" t="s">
        <v>96</v>
      </c>
      <c r="C134" t="s">
        <v>82</v>
      </c>
      <c r="D134" t="s">
        <v>79</v>
      </c>
      <c r="E134" s="3">
        <v>1370</v>
      </c>
      <c r="F134" s="3">
        <v>57868800</v>
      </c>
      <c r="G134" t="s">
        <v>128</v>
      </c>
    </row>
    <row r="135" spans="1:7" x14ac:dyDescent="0.35">
      <c r="A135">
        <v>2015</v>
      </c>
      <c r="B135" t="s">
        <v>96</v>
      </c>
      <c r="C135" t="s">
        <v>82</v>
      </c>
      <c r="D135" t="s">
        <v>79</v>
      </c>
      <c r="E135" s="3">
        <v>18235</v>
      </c>
      <c r="F135" s="3">
        <v>706558340</v>
      </c>
      <c r="G135" t="s">
        <v>130</v>
      </c>
    </row>
    <row r="136" spans="1:7" x14ac:dyDescent="0.35">
      <c r="A136">
        <v>2015</v>
      </c>
      <c r="B136" t="s">
        <v>98</v>
      </c>
      <c r="C136" t="s">
        <v>32</v>
      </c>
      <c r="D136" t="s">
        <v>79</v>
      </c>
      <c r="E136" s="3">
        <v>45371</v>
      </c>
      <c r="F136" s="3">
        <v>2140604690</v>
      </c>
      <c r="G136" t="s">
        <v>169</v>
      </c>
    </row>
    <row r="137" spans="1:7" x14ac:dyDescent="0.35">
      <c r="A137">
        <v>2015</v>
      </c>
      <c r="B137" t="s">
        <v>98</v>
      </c>
      <c r="C137" t="s">
        <v>32</v>
      </c>
      <c r="D137" t="s">
        <v>79</v>
      </c>
      <c r="E137" s="3">
        <v>173824</v>
      </c>
      <c r="F137" s="3">
        <v>9969039563</v>
      </c>
      <c r="G137" t="s">
        <v>170</v>
      </c>
    </row>
    <row r="138" spans="1:7" x14ac:dyDescent="0.35">
      <c r="A138">
        <v>2015</v>
      </c>
      <c r="B138" t="s">
        <v>98</v>
      </c>
      <c r="C138" t="s">
        <v>32</v>
      </c>
      <c r="D138" t="s">
        <v>79</v>
      </c>
      <c r="E138" s="3">
        <v>73056</v>
      </c>
      <c r="F138" s="3">
        <v>3457854444</v>
      </c>
      <c r="G138" t="s">
        <v>133</v>
      </c>
    </row>
    <row r="139" spans="1:7" x14ac:dyDescent="0.35">
      <c r="A139">
        <v>2015</v>
      </c>
      <c r="B139" t="s">
        <v>99</v>
      </c>
      <c r="C139" t="s">
        <v>32</v>
      </c>
      <c r="D139" t="s">
        <v>79</v>
      </c>
      <c r="E139" s="3">
        <v>16509</v>
      </c>
      <c r="F139" s="3">
        <v>546767468</v>
      </c>
      <c r="G139" t="s">
        <v>143</v>
      </c>
    </row>
    <row r="140" spans="1:7" x14ac:dyDescent="0.35">
      <c r="A140">
        <v>2015</v>
      </c>
      <c r="B140" t="s">
        <v>99</v>
      </c>
      <c r="C140" t="s">
        <v>32</v>
      </c>
      <c r="D140" t="s">
        <v>79</v>
      </c>
      <c r="E140" s="3">
        <v>76534</v>
      </c>
      <c r="F140" s="3">
        <v>2108539403</v>
      </c>
      <c r="G140" t="s">
        <v>149</v>
      </c>
    </row>
    <row r="141" spans="1:7" x14ac:dyDescent="0.35">
      <c r="A141">
        <v>2015</v>
      </c>
      <c r="B141" t="s">
        <v>99</v>
      </c>
      <c r="C141" t="s">
        <v>32</v>
      </c>
      <c r="D141" t="s">
        <v>79</v>
      </c>
      <c r="E141" s="3">
        <v>67888</v>
      </c>
      <c r="F141" s="3">
        <v>2212868408</v>
      </c>
      <c r="G141" t="s">
        <v>158</v>
      </c>
    </row>
    <row r="142" spans="1:7" x14ac:dyDescent="0.35">
      <c r="A142">
        <v>2015</v>
      </c>
      <c r="B142" t="s">
        <v>99</v>
      </c>
      <c r="C142" t="s">
        <v>32</v>
      </c>
      <c r="D142" t="s">
        <v>79</v>
      </c>
      <c r="E142" s="3">
        <v>12528</v>
      </c>
      <c r="F142" s="3">
        <v>320487566</v>
      </c>
      <c r="G142" t="s">
        <v>171</v>
      </c>
    </row>
    <row r="143" spans="1:7" x14ac:dyDescent="0.35">
      <c r="A143">
        <v>2015</v>
      </c>
      <c r="B143" t="s">
        <v>99</v>
      </c>
      <c r="C143" t="s">
        <v>32</v>
      </c>
      <c r="D143" t="s">
        <v>79</v>
      </c>
      <c r="E143" s="3">
        <v>9333</v>
      </c>
      <c r="F143" s="3">
        <v>141424159</v>
      </c>
      <c r="G143" t="s">
        <v>146</v>
      </c>
    </row>
    <row r="144" spans="1:7" x14ac:dyDescent="0.35">
      <c r="A144">
        <v>2015</v>
      </c>
      <c r="B144" t="s">
        <v>99</v>
      </c>
      <c r="C144" t="s">
        <v>32</v>
      </c>
      <c r="D144" t="s">
        <v>79</v>
      </c>
      <c r="E144" s="3">
        <v>325</v>
      </c>
      <c r="F144" s="3">
        <v>20166289</v>
      </c>
      <c r="G144" t="s">
        <v>157</v>
      </c>
    </row>
    <row r="145" spans="1:7" x14ac:dyDescent="0.35">
      <c r="A145">
        <v>2015</v>
      </c>
      <c r="B145" t="s">
        <v>99</v>
      </c>
      <c r="C145" t="s">
        <v>32</v>
      </c>
      <c r="D145" t="s">
        <v>79</v>
      </c>
      <c r="E145" s="4">
        <v>31305.460999999999</v>
      </c>
      <c r="F145" s="3">
        <v>788557010</v>
      </c>
      <c r="G145" t="s">
        <v>161</v>
      </c>
    </row>
    <row r="146" spans="1:7" x14ac:dyDescent="0.35">
      <c r="A146">
        <v>2015</v>
      </c>
      <c r="B146" t="s">
        <v>99</v>
      </c>
      <c r="C146" t="s">
        <v>32</v>
      </c>
      <c r="D146" t="s">
        <v>79</v>
      </c>
      <c r="E146" s="3">
        <v>199865</v>
      </c>
      <c r="F146" s="3">
        <v>7196026537</v>
      </c>
      <c r="G146" t="s">
        <v>162</v>
      </c>
    </row>
    <row r="147" spans="1:7" x14ac:dyDescent="0.35">
      <c r="A147">
        <v>2015</v>
      </c>
      <c r="B147" t="s">
        <v>99</v>
      </c>
      <c r="C147" t="s">
        <v>32</v>
      </c>
      <c r="D147" t="s">
        <v>79</v>
      </c>
      <c r="E147" s="4">
        <v>7599.6139999999996</v>
      </c>
      <c r="F147" s="3">
        <v>229340803</v>
      </c>
      <c r="G147" t="s">
        <v>163</v>
      </c>
    </row>
    <row r="148" spans="1:7" x14ac:dyDescent="0.35">
      <c r="A148">
        <v>2015</v>
      </c>
      <c r="B148" t="s">
        <v>99</v>
      </c>
      <c r="C148" t="s">
        <v>32</v>
      </c>
      <c r="D148" t="s">
        <v>79</v>
      </c>
      <c r="E148" s="3">
        <v>2834</v>
      </c>
      <c r="F148" s="3">
        <v>108284561</v>
      </c>
      <c r="G148" t="s">
        <v>132</v>
      </c>
    </row>
    <row r="149" spans="1:7" x14ac:dyDescent="0.35">
      <c r="A149">
        <v>2015</v>
      </c>
      <c r="B149" t="s">
        <v>99</v>
      </c>
      <c r="C149" t="s">
        <v>32</v>
      </c>
      <c r="D149" t="s">
        <v>79</v>
      </c>
      <c r="E149" s="3">
        <v>125</v>
      </c>
      <c r="F149" s="3">
        <v>13084013</v>
      </c>
      <c r="G149" t="s">
        <v>137</v>
      </c>
    </row>
    <row r="150" spans="1:7" x14ac:dyDescent="0.35">
      <c r="A150">
        <v>2015</v>
      </c>
      <c r="B150" t="s">
        <v>100</v>
      </c>
      <c r="C150" t="s">
        <v>32</v>
      </c>
      <c r="D150" t="s">
        <v>79</v>
      </c>
      <c r="E150" s="3">
        <v>222754</v>
      </c>
      <c r="F150" s="3">
        <v>9522341287</v>
      </c>
      <c r="G150" t="s">
        <v>162</v>
      </c>
    </row>
    <row r="151" spans="1:7" x14ac:dyDescent="0.35">
      <c r="A151">
        <v>2015</v>
      </c>
      <c r="B151" t="s">
        <v>105</v>
      </c>
      <c r="C151" t="s">
        <v>102</v>
      </c>
      <c r="D151" t="s">
        <v>79</v>
      </c>
      <c r="E151" s="3">
        <v>92099</v>
      </c>
      <c r="F151" s="3">
        <v>548550818</v>
      </c>
      <c r="G151" t="s">
        <v>127</v>
      </c>
    </row>
    <row r="152" spans="1:7" x14ac:dyDescent="0.35">
      <c r="A152">
        <v>2016</v>
      </c>
      <c r="B152" t="s">
        <v>77</v>
      </c>
      <c r="C152" t="s">
        <v>82</v>
      </c>
      <c r="D152" t="s">
        <v>79</v>
      </c>
      <c r="E152" s="3">
        <v>332</v>
      </c>
      <c r="F152" s="3">
        <v>13172100</v>
      </c>
      <c r="G152" t="s">
        <v>126</v>
      </c>
    </row>
    <row r="153" spans="1:7" x14ac:dyDescent="0.35">
      <c r="A153">
        <v>2016</v>
      </c>
      <c r="B153" t="s">
        <v>77</v>
      </c>
      <c r="C153" t="s">
        <v>82</v>
      </c>
      <c r="D153" t="s">
        <v>79</v>
      </c>
      <c r="E153" s="3">
        <v>34832</v>
      </c>
      <c r="F153" s="3">
        <v>1161791321</v>
      </c>
      <c r="G153" t="s">
        <v>127</v>
      </c>
    </row>
    <row r="154" spans="1:7" x14ac:dyDescent="0.35">
      <c r="A154">
        <v>2016</v>
      </c>
      <c r="B154" t="s">
        <v>77</v>
      </c>
      <c r="C154" t="s">
        <v>82</v>
      </c>
      <c r="D154" t="s">
        <v>79</v>
      </c>
      <c r="E154" s="3">
        <v>160</v>
      </c>
      <c r="F154" s="3">
        <v>6404000</v>
      </c>
      <c r="G154" t="s">
        <v>129</v>
      </c>
    </row>
    <row r="155" spans="1:7" x14ac:dyDescent="0.35">
      <c r="A155">
        <v>2016</v>
      </c>
      <c r="B155" t="s">
        <v>77</v>
      </c>
      <c r="C155" t="s">
        <v>82</v>
      </c>
      <c r="D155" t="s">
        <v>79</v>
      </c>
      <c r="E155" s="3">
        <v>18576</v>
      </c>
      <c r="F155" s="3">
        <v>777276010</v>
      </c>
      <c r="G155" t="s">
        <v>128</v>
      </c>
    </row>
    <row r="156" spans="1:7" x14ac:dyDescent="0.35">
      <c r="A156">
        <v>2016</v>
      </c>
      <c r="B156" t="s">
        <v>77</v>
      </c>
      <c r="C156" t="s">
        <v>82</v>
      </c>
      <c r="D156" t="s">
        <v>79</v>
      </c>
      <c r="E156" s="3">
        <v>784605</v>
      </c>
      <c r="F156" s="3">
        <v>29417738467</v>
      </c>
      <c r="G156" t="s">
        <v>130</v>
      </c>
    </row>
    <row r="157" spans="1:7" x14ac:dyDescent="0.35">
      <c r="A157">
        <v>2016</v>
      </c>
      <c r="B157" t="s">
        <v>77</v>
      </c>
      <c r="C157" t="s">
        <v>82</v>
      </c>
      <c r="D157" t="s">
        <v>79</v>
      </c>
      <c r="E157" s="3">
        <v>7292</v>
      </c>
      <c r="F157" s="3">
        <v>287514225</v>
      </c>
      <c r="G157" t="s">
        <v>131</v>
      </c>
    </row>
    <row r="158" spans="1:7" x14ac:dyDescent="0.35">
      <c r="A158">
        <v>2016</v>
      </c>
      <c r="B158" t="s">
        <v>83</v>
      </c>
      <c r="C158" t="s">
        <v>84</v>
      </c>
      <c r="D158" t="s">
        <v>79</v>
      </c>
      <c r="E158" s="8">
        <v>6.7697339300000001</v>
      </c>
      <c r="F158" s="3">
        <v>158823700311</v>
      </c>
      <c r="G158" t="s">
        <v>133</v>
      </c>
    </row>
    <row r="159" spans="1:7" x14ac:dyDescent="0.35">
      <c r="A159">
        <v>2016</v>
      </c>
      <c r="B159" t="s">
        <v>83</v>
      </c>
      <c r="C159" t="s">
        <v>85</v>
      </c>
      <c r="D159" t="s">
        <v>79</v>
      </c>
      <c r="E159" s="8">
        <v>0.58269252999999999</v>
      </c>
      <c r="F159" s="3">
        <v>199447095</v>
      </c>
      <c r="G159" t="s">
        <v>133</v>
      </c>
    </row>
    <row r="160" spans="1:7" x14ac:dyDescent="0.35">
      <c r="A160">
        <v>2016</v>
      </c>
      <c r="B160" t="s">
        <v>86</v>
      </c>
      <c r="C160" t="s">
        <v>82</v>
      </c>
      <c r="D160" t="s">
        <v>79</v>
      </c>
      <c r="E160" s="3">
        <v>1136389</v>
      </c>
      <c r="F160" s="3">
        <v>45008559300</v>
      </c>
      <c r="G160" t="s">
        <v>134</v>
      </c>
    </row>
    <row r="161" spans="1:7" x14ac:dyDescent="0.35">
      <c r="A161">
        <v>2016</v>
      </c>
      <c r="B161" t="s">
        <v>86</v>
      </c>
      <c r="C161" t="s">
        <v>82</v>
      </c>
      <c r="D161" t="s">
        <v>79</v>
      </c>
      <c r="E161" s="3">
        <v>808665</v>
      </c>
      <c r="F161" s="3">
        <v>33964143475</v>
      </c>
      <c r="G161" t="s">
        <v>135</v>
      </c>
    </row>
    <row r="162" spans="1:7" x14ac:dyDescent="0.35">
      <c r="A162">
        <v>2016</v>
      </c>
      <c r="B162" t="s">
        <v>89</v>
      </c>
      <c r="C162" t="s">
        <v>28</v>
      </c>
      <c r="D162" t="s">
        <v>79</v>
      </c>
      <c r="E162" s="3">
        <v>142042</v>
      </c>
      <c r="F162" s="3">
        <v>9116452148</v>
      </c>
      <c r="G162" t="s">
        <v>138</v>
      </c>
    </row>
    <row r="163" spans="1:7" x14ac:dyDescent="0.35">
      <c r="A163">
        <v>2016</v>
      </c>
      <c r="B163" t="s">
        <v>89</v>
      </c>
      <c r="C163" t="s">
        <v>28</v>
      </c>
      <c r="D163" t="s">
        <v>79</v>
      </c>
      <c r="E163" s="3">
        <v>13211</v>
      </c>
      <c r="F163" s="3">
        <v>1084919507</v>
      </c>
      <c r="G163" t="s">
        <v>164</v>
      </c>
    </row>
    <row r="164" spans="1:7" x14ac:dyDescent="0.35">
      <c r="A164">
        <v>2016</v>
      </c>
      <c r="B164" t="s">
        <v>89</v>
      </c>
      <c r="C164" t="s">
        <v>28</v>
      </c>
      <c r="D164" t="s">
        <v>79</v>
      </c>
      <c r="E164" s="3">
        <v>175871</v>
      </c>
      <c r="F164" s="3">
        <v>9305515648</v>
      </c>
      <c r="G164" t="s">
        <v>139</v>
      </c>
    </row>
    <row r="165" spans="1:7" x14ac:dyDescent="0.35">
      <c r="A165">
        <v>2016</v>
      </c>
      <c r="B165" t="s">
        <v>89</v>
      </c>
      <c r="C165" t="s">
        <v>28</v>
      </c>
      <c r="D165" t="s">
        <v>79</v>
      </c>
      <c r="E165" s="3">
        <v>27761</v>
      </c>
      <c r="F165" s="3">
        <v>2583954951</v>
      </c>
      <c r="G165" t="s">
        <v>148</v>
      </c>
    </row>
    <row r="166" spans="1:7" x14ac:dyDescent="0.35">
      <c r="A166">
        <v>2016</v>
      </c>
      <c r="B166" t="s">
        <v>89</v>
      </c>
      <c r="C166" t="s">
        <v>28</v>
      </c>
      <c r="D166" t="s">
        <v>79</v>
      </c>
      <c r="E166" s="3">
        <v>51939</v>
      </c>
      <c r="F166" s="3">
        <v>4879431058</v>
      </c>
      <c r="G166" t="s">
        <v>140</v>
      </c>
    </row>
    <row r="167" spans="1:7" x14ac:dyDescent="0.35">
      <c r="A167">
        <v>2016</v>
      </c>
      <c r="B167" t="s">
        <v>89</v>
      </c>
      <c r="C167" t="s">
        <v>26</v>
      </c>
      <c r="D167" t="s">
        <v>79</v>
      </c>
      <c r="E167" s="3">
        <v>360</v>
      </c>
      <c r="F167" s="3">
        <v>226861184</v>
      </c>
      <c r="G167" t="s">
        <v>145</v>
      </c>
    </row>
    <row r="168" spans="1:7" x14ac:dyDescent="0.35">
      <c r="A168">
        <v>2016</v>
      </c>
      <c r="B168" t="s">
        <v>89</v>
      </c>
      <c r="C168" t="s">
        <v>26</v>
      </c>
      <c r="D168" t="s">
        <v>79</v>
      </c>
      <c r="E168" s="3">
        <v>3960</v>
      </c>
      <c r="F168" s="3">
        <v>2163790092</v>
      </c>
      <c r="G168" t="s">
        <v>143</v>
      </c>
    </row>
    <row r="169" spans="1:7" x14ac:dyDescent="0.35">
      <c r="A169">
        <v>2016</v>
      </c>
      <c r="B169" t="s">
        <v>89</v>
      </c>
      <c r="C169" t="s">
        <v>26</v>
      </c>
      <c r="D169" t="s">
        <v>79</v>
      </c>
      <c r="E169" s="3">
        <v>5179</v>
      </c>
      <c r="F169" s="3">
        <v>2721677631</v>
      </c>
      <c r="G169" t="s">
        <v>138</v>
      </c>
    </row>
    <row r="170" spans="1:7" x14ac:dyDescent="0.35">
      <c r="A170">
        <v>2016</v>
      </c>
      <c r="B170" t="s">
        <v>89</v>
      </c>
      <c r="C170" t="s">
        <v>26</v>
      </c>
      <c r="D170" t="s">
        <v>79</v>
      </c>
      <c r="E170" s="3">
        <v>818</v>
      </c>
      <c r="F170" s="3">
        <v>501136334</v>
      </c>
      <c r="G170" t="s">
        <v>147</v>
      </c>
    </row>
    <row r="171" spans="1:7" x14ac:dyDescent="0.35">
      <c r="A171">
        <v>2016</v>
      </c>
      <c r="B171" t="s">
        <v>89</v>
      </c>
      <c r="C171" t="s">
        <v>26</v>
      </c>
      <c r="D171" t="s">
        <v>79</v>
      </c>
      <c r="E171" s="3">
        <v>193</v>
      </c>
      <c r="F171" s="3">
        <v>107698226</v>
      </c>
      <c r="G171" t="s">
        <v>142</v>
      </c>
    </row>
    <row r="172" spans="1:7" x14ac:dyDescent="0.35">
      <c r="A172">
        <v>2016</v>
      </c>
      <c r="B172" t="s">
        <v>89</v>
      </c>
      <c r="C172" t="s">
        <v>26</v>
      </c>
      <c r="D172" t="s">
        <v>79</v>
      </c>
      <c r="E172" s="3">
        <v>1058</v>
      </c>
      <c r="F172" s="3">
        <v>578019802</v>
      </c>
      <c r="G172" t="s">
        <v>158</v>
      </c>
    </row>
    <row r="173" spans="1:7" x14ac:dyDescent="0.35">
      <c r="A173">
        <v>2016</v>
      </c>
      <c r="B173" t="s">
        <v>89</v>
      </c>
      <c r="C173" t="s">
        <v>26</v>
      </c>
      <c r="D173" t="s">
        <v>79</v>
      </c>
      <c r="E173" s="3">
        <v>837</v>
      </c>
      <c r="F173" s="3">
        <v>373848321</v>
      </c>
      <c r="G173" t="s">
        <v>146</v>
      </c>
    </row>
    <row r="174" spans="1:7" x14ac:dyDescent="0.35">
      <c r="A174">
        <v>2016</v>
      </c>
      <c r="B174" t="s">
        <v>89</v>
      </c>
      <c r="C174" t="s">
        <v>26</v>
      </c>
      <c r="D174" t="s">
        <v>79</v>
      </c>
      <c r="E174" s="3">
        <v>2</v>
      </c>
      <c r="F174" s="3">
        <v>1644663</v>
      </c>
      <c r="G174" t="s">
        <v>164</v>
      </c>
    </row>
    <row r="175" spans="1:7" x14ac:dyDescent="0.35">
      <c r="A175">
        <v>2016</v>
      </c>
      <c r="B175" t="s">
        <v>89</v>
      </c>
      <c r="C175" t="s">
        <v>26</v>
      </c>
      <c r="D175" t="s">
        <v>79</v>
      </c>
      <c r="E175" s="3">
        <v>610</v>
      </c>
      <c r="F175" s="3">
        <v>308899790</v>
      </c>
      <c r="G175" t="s">
        <v>148</v>
      </c>
    </row>
    <row r="176" spans="1:7" x14ac:dyDescent="0.35">
      <c r="A176">
        <v>2016</v>
      </c>
      <c r="B176" t="s">
        <v>89</v>
      </c>
      <c r="C176" t="s">
        <v>26</v>
      </c>
      <c r="D176" t="s">
        <v>79</v>
      </c>
      <c r="E176" s="3">
        <v>946</v>
      </c>
      <c r="F176" s="3">
        <v>582843898</v>
      </c>
      <c r="G176" t="s">
        <v>144</v>
      </c>
    </row>
    <row r="177" spans="1:7" x14ac:dyDescent="0.35">
      <c r="A177">
        <v>2016</v>
      </c>
      <c r="B177" t="s">
        <v>89</v>
      </c>
      <c r="C177" t="s">
        <v>26</v>
      </c>
      <c r="D177" t="s">
        <v>79</v>
      </c>
      <c r="E177" t="s">
        <v>15</v>
      </c>
      <c r="F177" s="3">
        <v>-40556021</v>
      </c>
      <c r="G177" t="s">
        <v>139</v>
      </c>
    </row>
    <row r="178" spans="1:7" x14ac:dyDescent="0.35">
      <c r="A178">
        <v>2016</v>
      </c>
      <c r="B178" t="s">
        <v>89</v>
      </c>
      <c r="C178" t="s">
        <v>26</v>
      </c>
      <c r="D178" t="s">
        <v>79</v>
      </c>
      <c r="E178" s="3">
        <v>5631</v>
      </c>
      <c r="F178" s="3">
        <v>2774890931</v>
      </c>
      <c r="G178" t="s">
        <v>149</v>
      </c>
    </row>
    <row r="179" spans="1:7" x14ac:dyDescent="0.35">
      <c r="A179">
        <v>2016</v>
      </c>
      <c r="B179" t="s">
        <v>89</v>
      </c>
      <c r="C179" t="s">
        <v>26</v>
      </c>
      <c r="D179" t="s">
        <v>79</v>
      </c>
      <c r="E179" s="3">
        <v>300</v>
      </c>
      <c r="F179" s="3">
        <v>139683322</v>
      </c>
      <c r="G179" t="s">
        <v>150</v>
      </c>
    </row>
    <row r="180" spans="1:7" x14ac:dyDescent="0.35">
      <c r="A180">
        <v>2016</v>
      </c>
      <c r="B180" t="s">
        <v>89</v>
      </c>
      <c r="C180" t="s">
        <v>26</v>
      </c>
      <c r="D180" t="s">
        <v>79</v>
      </c>
      <c r="E180" s="3">
        <v>8227</v>
      </c>
      <c r="F180" s="3">
        <v>5168864038</v>
      </c>
      <c r="G180" t="s">
        <v>140</v>
      </c>
    </row>
    <row r="181" spans="1:7" x14ac:dyDescent="0.35">
      <c r="A181">
        <v>2016</v>
      </c>
      <c r="B181" t="s">
        <v>89</v>
      </c>
      <c r="C181" t="s">
        <v>26</v>
      </c>
      <c r="D181" t="s">
        <v>79</v>
      </c>
      <c r="E181" s="3">
        <v>1028</v>
      </c>
      <c r="F181" s="3">
        <v>489443458</v>
      </c>
      <c r="G181" t="s">
        <v>143</v>
      </c>
    </row>
    <row r="182" spans="1:7" x14ac:dyDescent="0.35">
      <c r="A182">
        <v>2016</v>
      </c>
      <c r="B182" t="s">
        <v>89</v>
      </c>
      <c r="C182" t="s">
        <v>26</v>
      </c>
      <c r="D182" t="s">
        <v>79</v>
      </c>
      <c r="E182" s="3">
        <v>427</v>
      </c>
      <c r="F182" s="3">
        <v>176376216</v>
      </c>
      <c r="G182" t="s">
        <v>138</v>
      </c>
    </row>
    <row r="183" spans="1:7" x14ac:dyDescent="0.35">
      <c r="A183">
        <v>2016</v>
      </c>
      <c r="B183" t="s">
        <v>89</v>
      </c>
      <c r="C183" t="s">
        <v>26</v>
      </c>
      <c r="D183" t="s">
        <v>79</v>
      </c>
      <c r="E183" s="3">
        <v>42</v>
      </c>
      <c r="F183" s="3">
        <v>21553002</v>
      </c>
      <c r="G183" t="s">
        <v>147</v>
      </c>
    </row>
    <row r="184" spans="1:7" x14ac:dyDescent="0.35">
      <c r="A184">
        <v>2016</v>
      </c>
      <c r="B184" t="s">
        <v>89</v>
      </c>
      <c r="C184" t="s">
        <v>26</v>
      </c>
      <c r="D184" t="s">
        <v>79</v>
      </c>
      <c r="E184" s="3">
        <v>952</v>
      </c>
      <c r="F184" s="3">
        <v>544849783</v>
      </c>
      <c r="G184" t="s">
        <v>142</v>
      </c>
    </row>
    <row r="185" spans="1:7" x14ac:dyDescent="0.35">
      <c r="A185">
        <v>2016</v>
      </c>
      <c r="B185" t="s">
        <v>89</v>
      </c>
      <c r="C185" t="s">
        <v>26</v>
      </c>
      <c r="D185" t="s">
        <v>79</v>
      </c>
      <c r="E185" s="3">
        <v>1082</v>
      </c>
      <c r="F185" s="3">
        <v>526143941</v>
      </c>
      <c r="G185" t="s">
        <v>158</v>
      </c>
    </row>
    <row r="186" spans="1:7" x14ac:dyDescent="0.35">
      <c r="A186">
        <v>2016</v>
      </c>
      <c r="B186" t="s">
        <v>89</v>
      </c>
      <c r="C186" t="s">
        <v>26</v>
      </c>
      <c r="D186" t="s">
        <v>79</v>
      </c>
      <c r="E186" s="3">
        <v>3607</v>
      </c>
      <c r="F186" s="3">
        <v>1804344653</v>
      </c>
      <c r="G186" t="s">
        <v>146</v>
      </c>
    </row>
    <row r="187" spans="1:7" x14ac:dyDescent="0.35">
      <c r="A187">
        <v>2016</v>
      </c>
      <c r="B187" t="s">
        <v>89</v>
      </c>
      <c r="C187" t="s">
        <v>26</v>
      </c>
      <c r="D187" t="s">
        <v>79</v>
      </c>
      <c r="E187" s="3">
        <v>2931</v>
      </c>
      <c r="F187" s="3">
        <v>1533291572</v>
      </c>
      <c r="G187" t="s">
        <v>148</v>
      </c>
    </row>
    <row r="188" spans="1:7" x14ac:dyDescent="0.35">
      <c r="A188">
        <v>2016</v>
      </c>
      <c r="B188" t="s">
        <v>89</v>
      </c>
      <c r="C188" t="s">
        <v>26</v>
      </c>
      <c r="D188" t="s">
        <v>79</v>
      </c>
      <c r="E188" s="3">
        <v>1494</v>
      </c>
      <c r="F188" s="3">
        <v>757982549</v>
      </c>
      <c r="G188" t="s">
        <v>144</v>
      </c>
    </row>
    <row r="189" spans="1:7" x14ac:dyDescent="0.35">
      <c r="A189">
        <v>2016</v>
      </c>
      <c r="B189" t="s">
        <v>89</v>
      </c>
      <c r="C189" t="s">
        <v>26</v>
      </c>
      <c r="D189" t="s">
        <v>79</v>
      </c>
      <c r="E189" s="3">
        <v>108</v>
      </c>
      <c r="F189" s="3">
        <v>53251754</v>
      </c>
      <c r="G189" t="s">
        <v>139</v>
      </c>
    </row>
    <row r="190" spans="1:7" x14ac:dyDescent="0.35">
      <c r="A190">
        <v>2016</v>
      </c>
      <c r="B190" t="s">
        <v>89</v>
      </c>
      <c r="C190" t="s">
        <v>26</v>
      </c>
      <c r="D190" t="s">
        <v>79</v>
      </c>
      <c r="E190" s="3">
        <v>105</v>
      </c>
      <c r="F190" s="3">
        <v>55054642</v>
      </c>
      <c r="G190" t="s">
        <v>165</v>
      </c>
    </row>
    <row r="191" spans="1:7" x14ac:dyDescent="0.35">
      <c r="A191">
        <v>2016</v>
      </c>
      <c r="B191" t="s">
        <v>89</v>
      </c>
      <c r="C191" t="s">
        <v>26</v>
      </c>
      <c r="D191" t="s">
        <v>79</v>
      </c>
      <c r="E191" s="3">
        <v>8616</v>
      </c>
      <c r="F191" s="3">
        <v>4284380289</v>
      </c>
      <c r="G191" t="s">
        <v>149</v>
      </c>
    </row>
    <row r="192" spans="1:7" x14ac:dyDescent="0.35">
      <c r="A192">
        <v>2016</v>
      </c>
      <c r="B192" t="s">
        <v>89</v>
      </c>
      <c r="C192" t="s">
        <v>26</v>
      </c>
      <c r="D192" t="s">
        <v>79</v>
      </c>
      <c r="E192" s="3">
        <v>1443</v>
      </c>
      <c r="F192" s="3">
        <v>713974137</v>
      </c>
      <c r="G192" t="s">
        <v>150</v>
      </c>
    </row>
    <row r="193" spans="1:7" x14ac:dyDescent="0.35">
      <c r="A193">
        <v>2016</v>
      </c>
      <c r="B193" t="s">
        <v>89</v>
      </c>
      <c r="C193" t="s">
        <v>26</v>
      </c>
      <c r="D193" t="s">
        <v>79</v>
      </c>
      <c r="E193" s="3">
        <v>3144</v>
      </c>
      <c r="F193" s="3">
        <v>1641825740</v>
      </c>
      <c r="G193" t="s">
        <v>140</v>
      </c>
    </row>
    <row r="194" spans="1:7" x14ac:dyDescent="0.35">
      <c r="A194">
        <v>2016</v>
      </c>
      <c r="B194" t="s">
        <v>89</v>
      </c>
      <c r="C194" t="s">
        <v>26</v>
      </c>
      <c r="D194" t="s">
        <v>79</v>
      </c>
      <c r="E194" s="3">
        <v>9242</v>
      </c>
      <c r="F194" s="3">
        <v>1764808793</v>
      </c>
      <c r="G194" t="s">
        <v>138</v>
      </c>
    </row>
    <row r="195" spans="1:7" x14ac:dyDescent="0.35">
      <c r="A195">
        <v>2016</v>
      </c>
      <c r="B195" t="s">
        <v>89</v>
      </c>
      <c r="C195" t="s">
        <v>26</v>
      </c>
      <c r="D195" t="s">
        <v>79</v>
      </c>
      <c r="E195" s="3">
        <v>49</v>
      </c>
      <c r="F195" s="3">
        <v>11620370</v>
      </c>
      <c r="G195" t="s">
        <v>172</v>
      </c>
    </row>
    <row r="196" spans="1:7" x14ac:dyDescent="0.35">
      <c r="A196">
        <v>2016</v>
      </c>
      <c r="B196" t="s">
        <v>89</v>
      </c>
      <c r="C196" t="s">
        <v>91</v>
      </c>
      <c r="D196" t="s">
        <v>79</v>
      </c>
      <c r="E196" s="3">
        <v>20</v>
      </c>
      <c r="F196" s="3">
        <v>5808867</v>
      </c>
      <c r="G196" t="s">
        <v>138</v>
      </c>
    </row>
    <row r="197" spans="1:7" x14ac:dyDescent="0.35">
      <c r="A197">
        <v>2016</v>
      </c>
      <c r="B197" t="s">
        <v>89</v>
      </c>
      <c r="C197" t="s">
        <v>91</v>
      </c>
      <c r="D197" t="s">
        <v>79</v>
      </c>
      <c r="E197" s="3">
        <v>2</v>
      </c>
      <c r="F197" s="3">
        <v>925882</v>
      </c>
      <c r="G197" t="s">
        <v>164</v>
      </c>
    </row>
    <row r="198" spans="1:7" x14ac:dyDescent="0.35">
      <c r="A198">
        <v>2016</v>
      </c>
      <c r="B198" t="s">
        <v>89</v>
      </c>
      <c r="C198" t="s">
        <v>91</v>
      </c>
      <c r="D198" t="s">
        <v>79</v>
      </c>
      <c r="E198" s="3">
        <v>20</v>
      </c>
      <c r="F198" s="3">
        <v>8596166</v>
      </c>
      <c r="G198" t="s">
        <v>144</v>
      </c>
    </row>
    <row r="199" spans="1:7" x14ac:dyDescent="0.35">
      <c r="A199">
        <v>2016</v>
      </c>
      <c r="B199" t="s">
        <v>89</v>
      </c>
      <c r="C199" t="s">
        <v>91</v>
      </c>
      <c r="D199" t="s">
        <v>79</v>
      </c>
      <c r="E199" s="3">
        <v>20</v>
      </c>
      <c r="F199" s="3">
        <v>8374781</v>
      </c>
      <c r="G199" t="s">
        <v>162</v>
      </c>
    </row>
    <row r="200" spans="1:7" x14ac:dyDescent="0.35">
      <c r="A200">
        <v>2016</v>
      </c>
      <c r="B200" t="s">
        <v>89</v>
      </c>
      <c r="C200" t="s">
        <v>91</v>
      </c>
      <c r="D200" t="s">
        <v>79</v>
      </c>
      <c r="E200" s="3">
        <v>40</v>
      </c>
      <c r="F200" s="3">
        <v>17068788</v>
      </c>
      <c r="G200" t="s">
        <v>163</v>
      </c>
    </row>
    <row r="201" spans="1:7" x14ac:dyDescent="0.35">
      <c r="A201">
        <v>2016</v>
      </c>
      <c r="B201" t="s">
        <v>89</v>
      </c>
      <c r="C201" t="s">
        <v>91</v>
      </c>
      <c r="D201" t="s">
        <v>79</v>
      </c>
      <c r="E201" s="3">
        <v>2539</v>
      </c>
      <c r="F201" s="3">
        <v>1138849252</v>
      </c>
      <c r="G201" t="s">
        <v>167</v>
      </c>
    </row>
    <row r="202" spans="1:7" x14ac:dyDescent="0.35">
      <c r="A202">
        <v>2016</v>
      </c>
      <c r="B202" t="s">
        <v>89</v>
      </c>
      <c r="C202" t="s">
        <v>92</v>
      </c>
      <c r="D202" t="s">
        <v>79</v>
      </c>
      <c r="E202" s="3">
        <v>3494</v>
      </c>
      <c r="F202" s="3">
        <v>714767830</v>
      </c>
      <c r="G202" t="s">
        <v>138</v>
      </c>
    </row>
    <row r="203" spans="1:7" x14ac:dyDescent="0.35">
      <c r="A203">
        <v>2016</v>
      </c>
      <c r="B203" t="s">
        <v>89</v>
      </c>
      <c r="C203" t="s">
        <v>92</v>
      </c>
      <c r="D203" t="s">
        <v>79</v>
      </c>
      <c r="E203" s="3">
        <v>1123</v>
      </c>
      <c r="F203" s="3">
        <v>295113864</v>
      </c>
      <c r="G203" t="s">
        <v>168</v>
      </c>
    </row>
    <row r="204" spans="1:7" x14ac:dyDescent="0.35">
      <c r="A204">
        <v>2016</v>
      </c>
      <c r="B204" t="s">
        <v>89</v>
      </c>
      <c r="C204" t="s">
        <v>92</v>
      </c>
      <c r="D204" t="s">
        <v>79</v>
      </c>
      <c r="E204" s="3">
        <v>479</v>
      </c>
      <c r="F204" s="3">
        <v>123771283</v>
      </c>
      <c r="G204" t="s">
        <v>151</v>
      </c>
    </row>
    <row r="205" spans="1:7" x14ac:dyDescent="0.35">
      <c r="A205">
        <v>2016</v>
      </c>
      <c r="B205" t="s">
        <v>89</v>
      </c>
      <c r="C205" t="s">
        <v>92</v>
      </c>
      <c r="D205" t="s">
        <v>79</v>
      </c>
      <c r="E205" s="3">
        <v>20</v>
      </c>
      <c r="F205" s="3">
        <v>8083832</v>
      </c>
      <c r="G205" t="s">
        <v>164</v>
      </c>
    </row>
    <row r="206" spans="1:7" x14ac:dyDescent="0.35">
      <c r="A206">
        <v>2016</v>
      </c>
      <c r="B206" t="s">
        <v>89</v>
      </c>
      <c r="C206" t="s">
        <v>92</v>
      </c>
      <c r="D206" t="s">
        <v>79</v>
      </c>
      <c r="E206" s="3">
        <v>782</v>
      </c>
      <c r="F206" s="3">
        <v>276588506</v>
      </c>
      <c r="G206" t="s">
        <v>166</v>
      </c>
    </row>
    <row r="207" spans="1:7" x14ac:dyDescent="0.35">
      <c r="A207">
        <v>2016</v>
      </c>
      <c r="B207" t="s">
        <v>89</v>
      </c>
      <c r="C207" t="s">
        <v>92</v>
      </c>
      <c r="D207" t="s">
        <v>79</v>
      </c>
      <c r="E207" s="3">
        <v>280</v>
      </c>
      <c r="F207" s="3">
        <v>82717809</v>
      </c>
      <c r="G207" t="s">
        <v>167</v>
      </c>
    </row>
    <row r="208" spans="1:7" x14ac:dyDescent="0.35">
      <c r="A208">
        <v>2016</v>
      </c>
      <c r="B208" t="s">
        <v>93</v>
      </c>
      <c r="C208" t="s">
        <v>94</v>
      </c>
      <c r="D208" t="s">
        <v>79</v>
      </c>
      <c r="E208" s="3">
        <v>64119</v>
      </c>
      <c r="F208" s="3">
        <v>1773407588</v>
      </c>
      <c r="G208" t="s">
        <v>147</v>
      </c>
    </row>
    <row r="209" spans="1:7" x14ac:dyDescent="0.35">
      <c r="A209">
        <v>2016</v>
      </c>
      <c r="B209" t="s">
        <v>93</v>
      </c>
      <c r="C209" t="s">
        <v>94</v>
      </c>
      <c r="D209" t="s">
        <v>79</v>
      </c>
      <c r="E209" s="3">
        <v>27952</v>
      </c>
      <c r="F209" s="3">
        <v>804986698</v>
      </c>
      <c r="G209" t="s">
        <v>173</v>
      </c>
    </row>
    <row r="210" spans="1:7" x14ac:dyDescent="0.35">
      <c r="A210">
        <v>2016</v>
      </c>
      <c r="B210" t="s">
        <v>93</v>
      </c>
      <c r="C210" t="s">
        <v>94</v>
      </c>
      <c r="D210" t="s">
        <v>79</v>
      </c>
      <c r="E210" s="3">
        <v>36820</v>
      </c>
      <c r="F210" s="3">
        <v>1037894747</v>
      </c>
      <c r="G210" t="s">
        <v>144</v>
      </c>
    </row>
    <row r="211" spans="1:7" x14ac:dyDescent="0.35">
      <c r="A211">
        <v>2016</v>
      </c>
      <c r="B211" t="s">
        <v>93</v>
      </c>
      <c r="C211" t="s">
        <v>94</v>
      </c>
      <c r="D211" t="s">
        <v>79</v>
      </c>
      <c r="E211" s="3">
        <v>31289</v>
      </c>
      <c r="F211" s="3">
        <v>808727234</v>
      </c>
      <c r="G211" t="s">
        <v>151</v>
      </c>
    </row>
    <row r="212" spans="1:7" x14ac:dyDescent="0.35">
      <c r="A212">
        <v>2016</v>
      </c>
      <c r="B212" t="s">
        <v>93</v>
      </c>
      <c r="C212" t="s">
        <v>94</v>
      </c>
      <c r="D212" t="s">
        <v>79</v>
      </c>
      <c r="E212" s="3">
        <v>714</v>
      </c>
      <c r="F212" s="3">
        <v>38902814</v>
      </c>
      <c r="G212" t="s">
        <v>137</v>
      </c>
    </row>
    <row r="213" spans="1:7" x14ac:dyDescent="0.35">
      <c r="A213">
        <v>2016</v>
      </c>
      <c r="B213" t="s">
        <v>93</v>
      </c>
      <c r="C213" t="s">
        <v>32</v>
      </c>
      <c r="D213" t="s">
        <v>79</v>
      </c>
      <c r="E213" s="3">
        <v>1653</v>
      </c>
      <c r="F213" s="3">
        <v>98898014</v>
      </c>
      <c r="G213" t="s">
        <v>137</v>
      </c>
    </row>
    <row r="214" spans="1:7" x14ac:dyDescent="0.35">
      <c r="A214">
        <v>2016</v>
      </c>
      <c r="B214" t="s">
        <v>96</v>
      </c>
      <c r="C214" t="s">
        <v>82</v>
      </c>
      <c r="D214" t="s">
        <v>17</v>
      </c>
      <c r="E214" s="3">
        <v>16233</v>
      </c>
      <c r="F214" s="3">
        <v>662041427</v>
      </c>
      <c r="G214" t="s">
        <v>127</v>
      </c>
    </row>
    <row r="215" spans="1:7" x14ac:dyDescent="0.35">
      <c r="A215">
        <v>2016</v>
      </c>
      <c r="B215" t="s">
        <v>96</v>
      </c>
      <c r="C215" t="s">
        <v>82</v>
      </c>
      <c r="D215" t="s">
        <v>17</v>
      </c>
      <c r="E215" s="3">
        <v>6126</v>
      </c>
      <c r="F215" s="3">
        <v>244848920</v>
      </c>
      <c r="G215" t="s">
        <v>128</v>
      </c>
    </row>
    <row r="216" spans="1:7" x14ac:dyDescent="0.35">
      <c r="A216">
        <v>2016</v>
      </c>
      <c r="B216" t="s">
        <v>96</v>
      </c>
      <c r="C216" t="s">
        <v>82</v>
      </c>
      <c r="D216" t="s">
        <v>17</v>
      </c>
      <c r="E216" s="3">
        <v>98066</v>
      </c>
      <c r="F216" s="3">
        <v>3834686280</v>
      </c>
      <c r="G216" t="s">
        <v>130</v>
      </c>
    </row>
    <row r="217" spans="1:7" x14ac:dyDescent="0.35">
      <c r="A217">
        <v>2016</v>
      </c>
      <c r="B217" t="s">
        <v>98</v>
      </c>
      <c r="C217" t="s">
        <v>32</v>
      </c>
      <c r="D217" t="s">
        <v>79</v>
      </c>
      <c r="E217" s="3">
        <v>19874</v>
      </c>
      <c r="F217" s="3">
        <v>500408354</v>
      </c>
      <c r="G217" t="s">
        <v>66</v>
      </c>
    </row>
    <row r="218" spans="1:7" x14ac:dyDescent="0.35">
      <c r="A218">
        <v>2016</v>
      </c>
      <c r="B218" t="s">
        <v>98</v>
      </c>
      <c r="C218" t="s">
        <v>32</v>
      </c>
      <c r="D218" t="s">
        <v>79</v>
      </c>
      <c r="E218" s="3">
        <v>147702</v>
      </c>
      <c r="F218" s="3">
        <v>6349437667</v>
      </c>
      <c r="G218" t="s">
        <v>170</v>
      </c>
    </row>
    <row r="219" spans="1:7" x14ac:dyDescent="0.35">
      <c r="A219">
        <v>2016</v>
      </c>
      <c r="B219" t="s">
        <v>98</v>
      </c>
      <c r="C219" t="s">
        <v>32</v>
      </c>
      <c r="D219" t="s">
        <v>79</v>
      </c>
      <c r="E219" s="3">
        <v>55000</v>
      </c>
      <c r="F219" s="3">
        <v>1475000000</v>
      </c>
      <c r="G219" t="s">
        <v>130</v>
      </c>
    </row>
    <row r="220" spans="1:7" x14ac:dyDescent="0.35">
      <c r="A220">
        <v>2016</v>
      </c>
      <c r="B220" t="s">
        <v>98</v>
      </c>
      <c r="C220" t="s">
        <v>32</v>
      </c>
      <c r="D220" t="s">
        <v>79</v>
      </c>
      <c r="E220" s="3">
        <v>106527</v>
      </c>
      <c r="F220" s="3">
        <v>4408862755</v>
      </c>
      <c r="G220" t="s">
        <v>133</v>
      </c>
    </row>
    <row r="221" spans="1:7" x14ac:dyDescent="0.35">
      <c r="A221">
        <v>2016</v>
      </c>
      <c r="B221" t="s">
        <v>99</v>
      </c>
      <c r="C221" t="s">
        <v>32</v>
      </c>
      <c r="D221" t="s">
        <v>79</v>
      </c>
      <c r="E221" s="3">
        <v>59012</v>
      </c>
      <c r="F221" s="3">
        <v>1921546452</v>
      </c>
      <c r="G221" t="s">
        <v>149</v>
      </c>
    </row>
    <row r="222" spans="1:7" x14ac:dyDescent="0.35">
      <c r="A222">
        <v>2016</v>
      </c>
      <c r="B222" t="s">
        <v>99</v>
      </c>
      <c r="C222" t="s">
        <v>32</v>
      </c>
      <c r="D222" t="s">
        <v>79</v>
      </c>
      <c r="E222" s="3">
        <v>325</v>
      </c>
      <c r="F222" s="3">
        <v>25548676</v>
      </c>
      <c r="G222" t="s">
        <v>160</v>
      </c>
    </row>
    <row r="223" spans="1:7" x14ac:dyDescent="0.35">
      <c r="A223">
        <v>2016</v>
      </c>
      <c r="B223" t="s">
        <v>99</v>
      </c>
      <c r="C223" t="s">
        <v>32</v>
      </c>
      <c r="D223" t="s">
        <v>79</v>
      </c>
      <c r="E223" s="3">
        <v>47477</v>
      </c>
      <c r="F223" s="3">
        <v>1190642580</v>
      </c>
      <c r="G223" t="s">
        <v>161</v>
      </c>
    </row>
    <row r="224" spans="1:7" x14ac:dyDescent="0.35">
      <c r="A224">
        <v>2016</v>
      </c>
      <c r="B224" t="s">
        <v>99</v>
      </c>
      <c r="C224" t="s">
        <v>32</v>
      </c>
      <c r="D224" t="s">
        <v>79</v>
      </c>
      <c r="E224" s="3">
        <v>127090</v>
      </c>
      <c r="F224" s="3">
        <v>4122703043</v>
      </c>
      <c r="G224" t="s">
        <v>162</v>
      </c>
    </row>
    <row r="225" spans="1:7" x14ac:dyDescent="0.35">
      <c r="A225">
        <v>2016</v>
      </c>
      <c r="B225" t="s">
        <v>99</v>
      </c>
      <c r="C225" t="s">
        <v>32</v>
      </c>
      <c r="D225" t="s">
        <v>79</v>
      </c>
      <c r="E225" s="3">
        <v>2099</v>
      </c>
      <c r="F225" s="3">
        <v>77990427</v>
      </c>
      <c r="G225" t="s">
        <v>137</v>
      </c>
    </row>
    <row r="226" spans="1:7" x14ac:dyDescent="0.35">
      <c r="A226">
        <v>2016</v>
      </c>
      <c r="B226" t="s">
        <v>100</v>
      </c>
      <c r="C226" t="s">
        <v>32</v>
      </c>
      <c r="D226" t="s">
        <v>79</v>
      </c>
      <c r="E226" s="3">
        <v>149964</v>
      </c>
      <c r="F226" s="3">
        <v>6095568619</v>
      </c>
      <c r="G226" t="s">
        <v>162</v>
      </c>
    </row>
    <row r="227" spans="1:7" x14ac:dyDescent="0.35">
      <c r="A227">
        <v>2016</v>
      </c>
      <c r="B227" t="s">
        <v>105</v>
      </c>
      <c r="C227" t="s">
        <v>102</v>
      </c>
      <c r="D227" t="s">
        <v>79</v>
      </c>
      <c r="E227" s="3">
        <v>9942</v>
      </c>
      <c r="F227" s="3">
        <v>62307952</v>
      </c>
      <c r="G227" t="s">
        <v>127</v>
      </c>
    </row>
    <row r="228" spans="1:7" x14ac:dyDescent="0.35">
      <c r="A228">
        <v>2017</v>
      </c>
      <c r="B228" t="s">
        <v>77</v>
      </c>
      <c r="C228" t="s">
        <v>82</v>
      </c>
      <c r="D228" t="s">
        <v>79</v>
      </c>
      <c r="E228" s="3">
        <v>34994</v>
      </c>
      <c r="F228" s="3">
        <v>1316762820</v>
      </c>
      <c r="G228" t="s">
        <v>127</v>
      </c>
    </row>
    <row r="229" spans="1:7" x14ac:dyDescent="0.35">
      <c r="A229">
        <v>2017</v>
      </c>
      <c r="B229" t="s">
        <v>77</v>
      </c>
      <c r="C229" t="s">
        <v>82</v>
      </c>
      <c r="D229" t="s">
        <v>79</v>
      </c>
      <c r="E229" s="3">
        <v>1605</v>
      </c>
      <c r="F229" s="3">
        <v>63397500</v>
      </c>
      <c r="G229" t="s">
        <v>129</v>
      </c>
    </row>
    <row r="230" spans="1:7" x14ac:dyDescent="0.35">
      <c r="A230">
        <v>2017</v>
      </c>
      <c r="B230" t="s">
        <v>77</v>
      </c>
      <c r="C230" t="s">
        <v>82</v>
      </c>
      <c r="D230" t="s">
        <v>79</v>
      </c>
      <c r="E230" s="3">
        <v>21966</v>
      </c>
      <c r="F230" s="3">
        <v>1001932130</v>
      </c>
      <c r="G230" t="s">
        <v>128</v>
      </c>
    </row>
    <row r="231" spans="1:7" x14ac:dyDescent="0.35">
      <c r="A231">
        <v>2017</v>
      </c>
      <c r="B231" t="s">
        <v>77</v>
      </c>
      <c r="C231" t="s">
        <v>82</v>
      </c>
      <c r="D231" t="s">
        <v>79</v>
      </c>
      <c r="E231" s="3">
        <v>721062</v>
      </c>
      <c r="F231" s="3">
        <v>27099743855</v>
      </c>
      <c r="G231" t="s">
        <v>130</v>
      </c>
    </row>
    <row r="232" spans="1:7" x14ac:dyDescent="0.35">
      <c r="A232">
        <v>2017</v>
      </c>
      <c r="B232" t="s">
        <v>77</v>
      </c>
      <c r="C232" t="s">
        <v>82</v>
      </c>
      <c r="D232" t="s">
        <v>79</v>
      </c>
      <c r="E232" s="3">
        <v>11119</v>
      </c>
      <c r="F232" s="3">
        <v>438123455</v>
      </c>
      <c r="G232" t="s">
        <v>131</v>
      </c>
    </row>
    <row r="233" spans="1:7" x14ac:dyDescent="0.35">
      <c r="A233">
        <v>2017</v>
      </c>
      <c r="B233" t="s">
        <v>83</v>
      </c>
      <c r="C233" t="s">
        <v>84</v>
      </c>
      <c r="D233" t="s">
        <v>79</v>
      </c>
      <c r="E233" s="8">
        <v>7.1881379000000001</v>
      </c>
      <c r="F233" s="3">
        <v>168342880233</v>
      </c>
      <c r="G233" t="s">
        <v>133</v>
      </c>
    </row>
    <row r="234" spans="1:7" x14ac:dyDescent="0.35">
      <c r="A234">
        <v>2017</v>
      </c>
      <c r="B234" t="s">
        <v>83</v>
      </c>
      <c r="C234" t="s">
        <v>85</v>
      </c>
      <c r="D234" t="s">
        <v>79</v>
      </c>
      <c r="E234" s="8">
        <v>0.63600389000000002</v>
      </c>
      <c r="F234" s="3">
        <v>200690857</v>
      </c>
      <c r="G234" t="s">
        <v>133</v>
      </c>
    </row>
    <row r="235" spans="1:7" x14ac:dyDescent="0.35">
      <c r="A235">
        <v>2017</v>
      </c>
      <c r="B235" t="s">
        <v>86</v>
      </c>
      <c r="C235" t="s">
        <v>82</v>
      </c>
      <c r="D235" t="s">
        <v>79</v>
      </c>
      <c r="E235" s="3">
        <v>1134694</v>
      </c>
      <c r="F235" s="3">
        <v>43347215075</v>
      </c>
      <c r="G235" t="s">
        <v>134</v>
      </c>
    </row>
    <row r="236" spans="1:7" x14ac:dyDescent="0.35">
      <c r="A236">
        <v>2017</v>
      </c>
      <c r="B236" t="s">
        <v>86</v>
      </c>
      <c r="C236" t="s">
        <v>82</v>
      </c>
      <c r="D236" t="s">
        <v>79</v>
      </c>
      <c r="E236" s="3">
        <v>460950</v>
      </c>
      <c r="F236" s="3">
        <v>19861774300</v>
      </c>
      <c r="G236" t="s">
        <v>135</v>
      </c>
    </row>
    <row r="237" spans="1:7" x14ac:dyDescent="0.35">
      <c r="A237">
        <v>2017</v>
      </c>
      <c r="B237" t="s">
        <v>89</v>
      </c>
      <c r="C237" t="s">
        <v>28</v>
      </c>
      <c r="D237" t="s">
        <v>79</v>
      </c>
      <c r="E237" s="3">
        <v>110197</v>
      </c>
      <c r="F237" s="3">
        <v>7282221694</v>
      </c>
      <c r="G237" t="s">
        <v>148</v>
      </c>
    </row>
    <row r="238" spans="1:7" x14ac:dyDescent="0.35">
      <c r="A238">
        <v>2017</v>
      </c>
      <c r="B238" t="s">
        <v>89</v>
      </c>
      <c r="C238" t="s">
        <v>28</v>
      </c>
      <c r="D238" t="s">
        <v>79</v>
      </c>
      <c r="E238" s="3">
        <v>10037</v>
      </c>
      <c r="F238" s="3">
        <v>1001086063</v>
      </c>
      <c r="G238" t="s">
        <v>174</v>
      </c>
    </row>
    <row r="239" spans="1:7" x14ac:dyDescent="0.35">
      <c r="A239">
        <v>2017</v>
      </c>
      <c r="B239" t="s">
        <v>89</v>
      </c>
      <c r="C239" t="s">
        <v>28</v>
      </c>
      <c r="D239" t="s">
        <v>79</v>
      </c>
      <c r="E239" s="3">
        <v>15025</v>
      </c>
      <c r="F239" s="3">
        <v>3852910357</v>
      </c>
      <c r="G239" t="s">
        <v>140</v>
      </c>
    </row>
    <row r="240" spans="1:7" x14ac:dyDescent="0.35">
      <c r="A240">
        <v>2017</v>
      </c>
      <c r="B240" t="s">
        <v>89</v>
      </c>
      <c r="C240" t="s">
        <v>26</v>
      </c>
      <c r="D240" t="s">
        <v>79</v>
      </c>
      <c r="E240" s="3">
        <v>18314</v>
      </c>
      <c r="F240" s="3">
        <v>3222232112</v>
      </c>
      <c r="G240" t="s">
        <v>138</v>
      </c>
    </row>
    <row r="241" spans="1:7" x14ac:dyDescent="0.35">
      <c r="A241">
        <v>2017</v>
      </c>
      <c r="B241" t="s">
        <v>89</v>
      </c>
      <c r="C241" t="s">
        <v>26</v>
      </c>
      <c r="D241" t="s">
        <v>79</v>
      </c>
      <c r="E241" s="3">
        <v>449</v>
      </c>
      <c r="F241" s="3">
        <v>293916278</v>
      </c>
      <c r="G241" t="s">
        <v>145</v>
      </c>
    </row>
    <row r="242" spans="1:7" x14ac:dyDescent="0.35">
      <c r="A242">
        <v>2017</v>
      </c>
      <c r="B242" t="s">
        <v>89</v>
      </c>
      <c r="C242" t="s">
        <v>26</v>
      </c>
      <c r="D242" t="s">
        <v>79</v>
      </c>
      <c r="E242" s="3">
        <v>2416</v>
      </c>
      <c r="F242" s="3">
        <v>1356901659</v>
      </c>
      <c r="G242" t="s">
        <v>143</v>
      </c>
    </row>
    <row r="243" spans="1:7" x14ac:dyDescent="0.35">
      <c r="A243">
        <v>2017</v>
      </c>
      <c r="B243" t="s">
        <v>89</v>
      </c>
      <c r="C243" t="s">
        <v>26</v>
      </c>
      <c r="D243" t="s">
        <v>79</v>
      </c>
      <c r="E243" s="3">
        <v>3076</v>
      </c>
      <c r="F243" s="3">
        <v>1755167431</v>
      </c>
      <c r="G243" t="s">
        <v>138</v>
      </c>
    </row>
    <row r="244" spans="1:7" x14ac:dyDescent="0.35">
      <c r="A244">
        <v>2017</v>
      </c>
      <c r="B244" t="s">
        <v>89</v>
      </c>
      <c r="C244" t="s">
        <v>26</v>
      </c>
      <c r="D244" t="s">
        <v>79</v>
      </c>
      <c r="E244" s="3">
        <v>22</v>
      </c>
      <c r="F244" s="3">
        <v>13864950</v>
      </c>
      <c r="G244" t="s">
        <v>168</v>
      </c>
    </row>
    <row r="245" spans="1:7" x14ac:dyDescent="0.35">
      <c r="A245">
        <v>2017</v>
      </c>
      <c r="B245" t="s">
        <v>89</v>
      </c>
      <c r="C245" t="s">
        <v>26</v>
      </c>
      <c r="D245" t="s">
        <v>79</v>
      </c>
      <c r="E245" s="3">
        <v>23</v>
      </c>
      <c r="F245" s="3">
        <v>13224871</v>
      </c>
      <c r="G245" t="s">
        <v>151</v>
      </c>
    </row>
    <row r="246" spans="1:7" x14ac:dyDescent="0.35">
      <c r="A246">
        <v>2017</v>
      </c>
      <c r="B246" t="s">
        <v>89</v>
      </c>
      <c r="C246" t="s">
        <v>26</v>
      </c>
      <c r="D246" t="s">
        <v>79</v>
      </c>
      <c r="E246" s="3">
        <v>2785</v>
      </c>
      <c r="F246" s="3">
        <v>1716897366</v>
      </c>
      <c r="G246" t="s">
        <v>147</v>
      </c>
    </row>
    <row r="247" spans="1:7" x14ac:dyDescent="0.35">
      <c r="A247">
        <v>2017</v>
      </c>
      <c r="B247" t="s">
        <v>89</v>
      </c>
      <c r="C247" t="s">
        <v>26</v>
      </c>
      <c r="D247" t="s">
        <v>79</v>
      </c>
      <c r="E247" s="3">
        <v>780</v>
      </c>
      <c r="F247" s="3">
        <v>478398349</v>
      </c>
      <c r="G247" t="s">
        <v>142</v>
      </c>
    </row>
    <row r="248" spans="1:7" x14ac:dyDescent="0.35">
      <c r="A248">
        <v>2017</v>
      </c>
      <c r="B248" t="s">
        <v>89</v>
      </c>
      <c r="C248" t="s">
        <v>26</v>
      </c>
      <c r="D248" t="s">
        <v>79</v>
      </c>
      <c r="E248" s="3">
        <v>2126</v>
      </c>
      <c r="F248" s="3">
        <v>1267602128</v>
      </c>
      <c r="G248" t="s">
        <v>158</v>
      </c>
    </row>
    <row r="249" spans="1:7" x14ac:dyDescent="0.35">
      <c r="A249">
        <v>2017</v>
      </c>
      <c r="B249" t="s">
        <v>89</v>
      </c>
      <c r="C249" t="s">
        <v>26</v>
      </c>
      <c r="D249" t="s">
        <v>79</v>
      </c>
      <c r="E249" s="3">
        <v>44</v>
      </c>
      <c r="F249" s="3">
        <v>30191175</v>
      </c>
      <c r="G249" t="s">
        <v>175</v>
      </c>
    </row>
    <row r="250" spans="1:7" x14ac:dyDescent="0.35">
      <c r="A250">
        <v>2017</v>
      </c>
      <c r="B250" t="s">
        <v>89</v>
      </c>
      <c r="C250" t="s">
        <v>26</v>
      </c>
      <c r="D250" t="s">
        <v>79</v>
      </c>
      <c r="E250" s="3">
        <v>2454</v>
      </c>
      <c r="F250" s="3">
        <v>1524064256</v>
      </c>
      <c r="G250" t="s">
        <v>146</v>
      </c>
    </row>
    <row r="251" spans="1:7" x14ac:dyDescent="0.35">
      <c r="A251">
        <v>2017</v>
      </c>
      <c r="B251" t="s">
        <v>89</v>
      </c>
      <c r="C251" t="s">
        <v>26</v>
      </c>
      <c r="D251" t="s">
        <v>79</v>
      </c>
      <c r="E251" s="3">
        <v>219</v>
      </c>
      <c r="F251" s="3">
        <v>143706045</v>
      </c>
      <c r="G251" t="s">
        <v>164</v>
      </c>
    </row>
    <row r="252" spans="1:7" x14ac:dyDescent="0.35">
      <c r="A252">
        <v>2017</v>
      </c>
      <c r="B252" t="s">
        <v>89</v>
      </c>
      <c r="C252" t="s">
        <v>26</v>
      </c>
      <c r="D252" t="s">
        <v>79</v>
      </c>
      <c r="E252" s="3">
        <v>2013</v>
      </c>
      <c r="F252" s="3">
        <v>1357902608</v>
      </c>
      <c r="G252" t="s">
        <v>148</v>
      </c>
    </row>
    <row r="253" spans="1:7" x14ac:dyDescent="0.35">
      <c r="A253">
        <v>2017</v>
      </c>
      <c r="B253" t="s">
        <v>89</v>
      </c>
      <c r="C253" t="s">
        <v>26</v>
      </c>
      <c r="D253" t="s">
        <v>79</v>
      </c>
      <c r="E253" s="3">
        <v>1782</v>
      </c>
      <c r="F253" s="3">
        <v>1106828545</v>
      </c>
      <c r="G253" t="s">
        <v>144</v>
      </c>
    </row>
    <row r="254" spans="1:7" x14ac:dyDescent="0.35">
      <c r="A254">
        <v>2017</v>
      </c>
      <c r="B254" t="s">
        <v>89</v>
      </c>
      <c r="C254" t="s">
        <v>26</v>
      </c>
      <c r="D254" t="s">
        <v>79</v>
      </c>
      <c r="E254" s="3">
        <v>45</v>
      </c>
      <c r="F254" s="3">
        <v>11506039</v>
      </c>
      <c r="G254" t="s">
        <v>167</v>
      </c>
    </row>
    <row r="255" spans="1:7" x14ac:dyDescent="0.35">
      <c r="A255">
        <v>2017</v>
      </c>
      <c r="B255" t="s">
        <v>89</v>
      </c>
      <c r="C255" t="s">
        <v>26</v>
      </c>
      <c r="D255" t="s">
        <v>79</v>
      </c>
      <c r="E255" s="3">
        <v>7637</v>
      </c>
      <c r="F255" s="3">
        <v>4613253315</v>
      </c>
      <c r="G255" t="s">
        <v>149</v>
      </c>
    </row>
    <row r="256" spans="1:7" x14ac:dyDescent="0.35">
      <c r="A256">
        <v>2017</v>
      </c>
      <c r="B256" t="s">
        <v>89</v>
      </c>
      <c r="C256" t="s">
        <v>26</v>
      </c>
      <c r="D256" t="s">
        <v>79</v>
      </c>
      <c r="E256" s="3">
        <v>9063</v>
      </c>
      <c r="F256" s="3">
        <v>5614686549</v>
      </c>
      <c r="G256" t="s">
        <v>140</v>
      </c>
    </row>
    <row r="257" spans="1:7" x14ac:dyDescent="0.35">
      <c r="A257">
        <v>2017</v>
      </c>
      <c r="B257" t="s">
        <v>89</v>
      </c>
      <c r="C257" t="s">
        <v>26</v>
      </c>
      <c r="D257" t="s">
        <v>79</v>
      </c>
      <c r="E257" s="3">
        <v>231</v>
      </c>
      <c r="F257" s="3">
        <v>117542525</v>
      </c>
      <c r="G257" t="s">
        <v>143</v>
      </c>
    </row>
    <row r="258" spans="1:7" x14ac:dyDescent="0.35">
      <c r="A258">
        <v>2017</v>
      </c>
      <c r="B258" t="s">
        <v>89</v>
      </c>
      <c r="C258" t="s">
        <v>26</v>
      </c>
      <c r="D258" t="s">
        <v>79</v>
      </c>
      <c r="E258" s="3">
        <v>982</v>
      </c>
      <c r="F258" s="3">
        <v>537690052</v>
      </c>
      <c r="G258" t="s">
        <v>138</v>
      </c>
    </row>
    <row r="259" spans="1:7" x14ac:dyDescent="0.35">
      <c r="A259">
        <v>2017</v>
      </c>
      <c r="B259" t="s">
        <v>89</v>
      </c>
      <c r="C259" t="s">
        <v>26</v>
      </c>
      <c r="D259" t="s">
        <v>79</v>
      </c>
      <c r="E259" s="3">
        <v>22</v>
      </c>
      <c r="F259" s="3">
        <v>26876237</v>
      </c>
      <c r="G259" t="s">
        <v>168</v>
      </c>
    </row>
    <row r="260" spans="1:7" x14ac:dyDescent="0.35">
      <c r="A260">
        <v>2017</v>
      </c>
      <c r="B260" t="s">
        <v>89</v>
      </c>
      <c r="C260" t="s">
        <v>26</v>
      </c>
      <c r="D260" t="s">
        <v>79</v>
      </c>
      <c r="E260" s="3">
        <v>404</v>
      </c>
      <c r="F260" s="3">
        <v>236354436</v>
      </c>
      <c r="G260" t="s">
        <v>147</v>
      </c>
    </row>
    <row r="261" spans="1:7" x14ac:dyDescent="0.35">
      <c r="A261">
        <v>2017</v>
      </c>
      <c r="B261" t="s">
        <v>89</v>
      </c>
      <c r="C261" t="s">
        <v>26</v>
      </c>
      <c r="D261" t="s">
        <v>79</v>
      </c>
      <c r="E261" s="3">
        <v>2699</v>
      </c>
      <c r="F261" s="3">
        <v>1626257441</v>
      </c>
      <c r="G261" t="s">
        <v>142</v>
      </c>
    </row>
    <row r="262" spans="1:7" x14ac:dyDescent="0.35">
      <c r="A262">
        <v>2017</v>
      </c>
      <c r="B262" t="s">
        <v>89</v>
      </c>
      <c r="C262" t="s">
        <v>26</v>
      </c>
      <c r="D262" t="s">
        <v>79</v>
      </c>
      <c r="E262" s="3">
        <v>1923</v>
      </c>
      <c r="F262" s="3">
        <v>1145254171</v>
      </c>
      <c r="G262" t="s">
        <v>158</v>
      </c>
    </row>
    <row r="263" spans="1:7" x14ac:dyDescent="0.35">
      <c r="A263">
        <v>2017</v>
      </c>
      <c r="B263" t="s">
        <v>89</v>
      </c>
      <c r="C263" t="s">
        <v>26</v>
      </c>
      <c r="D263" t="s">
        <v>79</v>
      </c>
      <c r="E263" s="3">
        <v>44</v>
      </c>
      <c r="F263" s="3">
        <v>23860936</v>
      </c>
      <c r="G263" t="s">
        <v>164</v>
      </c>
    </row>
    <row r="264" spans="1:7" x14ac:dyDescent="0.35">
      <c r="A264">
        <v>2017</v>
      </c>
      <c r="B264" t="s">
        <v>89</v>
      </c>
      <c r="C264" t="s">
        <v>26</v>
      </c>
      <c r="D264" t="s">
        <v>79</v>
      </c>
      <c r="E264" s="3">
        <v>1983</v>
      </c>
      <c r="F264" s="3">
        <v>1065832727</v>
      </c>
      <c r="G264" t="s">
        <v>148</v>
      </c>
    </row>
    <row r="265" spans="1:7" x14ac:dyDescent="0.35">
      <c r="A265">
        <v>2017</v>
      </c>
      <c r="B265" t="s">
        <v>89</v>
      </c>
      <c r="C265" t="s">
        <v>26</v>
      </c>
      <c r="D265" t="s">
        <v>79</v>
      </c>
      <c r="E265" s="3">
        <v>3144</v>
      </c>
      <c r="F265" s="3">
        <v>1745248174</v>
      </c>
      <c r="G265" t="s">
        <v>144</v>
      </c>
    </row>
    <row r="266" spans="1:7" x14ac:dyDescent="0.35">
      <c r="A266">
        <v>2017</v>
      </c>
      <c r="B266" t="s">
        <v>89</v>
      </c>
      <c r="C266" t="s">
        <v>26</v>
      </c>
      <c r="D266" t="s">
        <v>79</v>
      </c>
      <c r="E266" s="3">
        <v>319</v>
      </c>
      <c r="F266" s="3">
        <v>196140612</v>
      </c>
      <c r="G266" t="s">
        <v>139</v>
      </c>
    </row>
    <row r="267" spans="1:7" x14ac:dyDescent="0.35">
      <c r="A267">
        <v>2017</v>
      </c>
      <c r="B267" t="s">
        <v>89</v>
      </c>
      <c r="C267" t="s">
        <v>26</v>
      </c>
      <c r="D267" t="s">
        <v>79</v>
      </c>
      <c r="E267" s="3">
        <v>288</v>
      </c>
      <c r="F267" s="3">
        <v>157547525</v>
      </c>
      <c r="G267" t="s">
        <v>165</v>
      </c>
    </row>
    <row r="268" spans="1:7" x14ac:dyDescent="0.35">
      <c r="A268">
        <v>2017</v>
      </c>
      <c r="B268" t="s">
        <v>89</v>
      </c>
      <c r="C268" t="s">
        <v>26</v>
      </c>
      <c r="D268" t="s">
        <v>79</v>
      </c>
      <c r="E268" s="3">
        <v>11847</v>
      </c>
      <c r="F268" s="3">
        <v>6874713982</v>
      </c>
      <c r="G268" t="s">
        <v>149</v>
      </c>
    </row>
    <row r="269" spans="1:7" x14ac:dyDescent="0.35">
      <c r="A269">
        <v>2017</v>
      </c>
      <c r="B269" t="s">
        <v>89</v>
      </c>
      <c r="C269" t="s">
        <v>26</v>
      </c>
      <c r="D269" t="s">
        <v>79</v>
      </c>
      <c r="E269" s="3">
        <v>1878</v>
      </c>
      <c r="F269" s="3">
        <v>1158592352</v>
      </c>
      <c r="G269" t="s">
        <v>140</v>
      </c>
    </row>
    <row r="270" spans="1:7" x14ac:dyDescent="0.35">
      <c r="A270">
        <v>2017</v>
      </c>
      <c r="B270" t="s">
        <v>89</v>
      </c>
      <c r="C270" t="s">
        <v>28</v>
      </c>
      <c r="D270" t="s">
        <v>79</v>
      </c>
      <c r="E270" s="3">
        <v>62803</v>
      </c>
      <c r="F270" s="3">
        <v>7116252290</v>
      </c>
      <c r="G270" t="s">
        <v>138</v>
      </c>
    </row>
    <row r="271" spans="1:7" x14ac:dyDescent="0.35">
      <c r="A271">
        <v>2017</v>
      </c>
      <c r="B271" t="s">
        <v>89</v>
      </c>
      <c r="C271" t="s">
        <v>28</v>
      </c>
      <c r="D271" t="s">
        <v>79</v>
      </c>
      <c r="E271" s="3">
        <v>240683</v>
      </c>
      <c r="F271" s="3">
        <v>22295322303</v>
      </c>
      <c r="G271" t="s">
        <v>139</v>
      </c>
    </row>
    <row r="272" spans="1:7" x14ac:dyDescent="0.35">
      <c r="A272">
        <v>2017</v>
      </c>
      <c r="B272" t="s">
        <v>89</v>
      </c>
      <c r="C272" t="s">
        <v>28</v>
      </c>
      <c r="D272" t="s">
        <v>79</v>
      </c>
      <c r="E272" s="3">
        <v>5080</v>
      </c>
      <c r="F272" s="3">
        <v>493317310</v>
      </c>
      <c r="G272" t="s">
        <v>174</v>
      </c>
    </row>
    <row r="273" spans="1:7" x14ac:dyDescent="0.35">
      <c r="A273">
        <v>2017</v>
      </c>
      <c r="B273" t="s">
        <v>89</v>
      </c>
      <c r="C273" t="s">
        <v>28</v>
      </c>
      <c r="D273" t="s">
        <v>79</v>
      </c>
      <c r="E273" s="3">
        <v>20051</v>
      </c>
      <c r="F273" s="3">
        <v>1938601757</v>
      </c>
      <c r="G273" t="s">
        <v>140</v>
      </c>
    </row>
    <row r="274" spans="1:7" x14ac:dyDescent="0.35">
      <c r="A274">
        <v>2017</v>
      </c>
      <c r="B274" t="s">
        <v>89</v>
      </c>
      <c r="C274" t="s">
        <v>92</v>
      </c>
      <c r="D274" t="s">
        <v>79</v>
      </c>
      <c r="E274" s="3">
        <v>2660</v>
      </c>
      <c r="F274" s="3">
        <v>612200635</v>
      </c>
      <c r="G274" t="s">
        <v>138</v>
      </c>
    </row>
    <row r="275" spans="1:7" x14ac:dyDescent="0.35">
      <c r="A275">
        <v>2017</v>
      </c>
      <c r="B275" t="s">
        <v>89</v>
      </c>
      <c r="C275" t="s">
        <v>92</v>
      </c>
      <c r="D275" t="s">
        <v>79</v>
      </c>
      <c r="E275" s="3">
        <v>1780</v>
      </c>
      <c r="F275" s="3">
        <v>454492186</v>
      </c>
      <c r="G275" t="s">
        <v>168</v>
      </c>
    </row>
    <row r="276" spans="1:7" x14ac:dyDescent="0.35">
      <c r="A276">
        <v>2017</v>
      </c>
      <c r="B276" t="s">
        <v>89</v>
      </c>
      <c r="C276" t="s">
        <v>92</v>
      </c>
      <c r="D276" t="s">
        <v>79</v>
      </c>
      <c r="E276" s="3">
        <v>920</v>
      </c>
      <c r="F276" s="3">
        <v>232097865</v>
      </c>
      <c r="G276" t="s">
        <v>151</v>
      </c>
    </row>
    <row r="277" spans="1:7" x14ac:dyDescent="0.35">
      <c r="A277">
        <v>2017</v>
      </c>
      <c r="B277" t="s">
        <v>89</v>
      </c>
      <c r="C277" t="s">
        <v>92</v>
      </c>
      <c r="D277" t="s">
        <v>79</v>
      </c>
      <c r="E277" s="3">
        <v>920</v>
      </c>
      <c r="F277" s="3">
        <v>305988525</v>
      </c>
      <c r="G277" t="s">
        <v>166</v>
      </c>
    </row>
    <row r="278" spans="1:7" x14ac:dyDescent="0.35">
      <c r="A278">
        <v>2017</v>
      </c>
      <c r="B278" t="s">
        <v>89</v>
      </c>
      <c r="C278" t="s">
        <v>92</v>
      </c>
      <c r="D278" t="s">
        <v>79</v>
      </c>
      <c r="E278" s="3">
        <v>880</v>
      </c>
      <c r="F278" s="3">
        <v>254458112</v>
      </c>
      <c r="G278" t="s">
        <v>167</v>
      </c>
    </row>
    <row r="279" spans="1:7" x14ac:dyDescent="0.35">
      <c r="A279">
        <v>2017</v>
      </c>
      <c r="B279" t="s">
        <v>89</v>
      </c>
      <c r="C279" t="s">
        <v>92</v>
      </c>
      <c r="D279" t="s">
        <v>79</v>
      </c>
      <c r="E279" s="3">
        <v>20</v>
      </c>
      <c r="F279" s="3">
        <v>5993884</v>
      </c>
      <c r="G279" t="s">
        <v>150</v>
      </c>
    </row>
    <row r="280" spans="1:7" x14ac:dyDescent="0.35">
      <c r="A280">
        <v>2017</v>
      </c>
      <c r="B280" t="s">
        <v>89</v>
      </c>
      <c r="C280" t="s">
        <v>91</v>
      </c>
      <c r="D280" t="s">
        <v>79</v>
      </c>
      <c r="E280" s="3">
        <v>60</v>
      </c>
      <c r="F280" s="3">
        <v>27895130</v>
      </c>
      <c r="G280" t="s">
        <v>147</v>
      </c>
    </row>
    <row r="281" spans="1:7" x14ac:dyDescent="0.35">
      <c r="A281">
        <v>2017</v>
      </c>
      <c r="B281" t="s">
        <v>89</v>
      </c>
      <c r="C281" t="s">
        <v>91</v>
      </c>
      <c r="D281" t="s">
        <v>79</v>
      </c>
      <c r="E281" s="3">
        <v>216</v>
      </c>
      <c r="F281" s="3">
        <v>105670344</v>
      </c>
      <c r="G281" t="s">
        <v>142</v>
      </c>
    </row>
    <row r="282" spans="1:7" x14ac:dyDescent="0.35">
      <c r="A282">
        <v>2017</v>
      </c>
      <c r="B282" t="s">
        <v>89</v>
      </c>
      <c r="C282" t="s">
        <v>91</v>
      </c>
      <c r="D282" t="s">
        <v>79</v>
      </c>
      <c r="E282" s="3">
        <v>20</v>
      </c>
      <c r="F282" s="3">
        <v>9460211</v>
      </c>
      <c r="G282" t="s">
        <v>146</v>
      </c>
    </row>
    <row r="283" spans="1:7" x14ac:dyDescent="0.35">
      <c r="A283">
        <v>2017</v>
      </c>
      <c r="B283" t="s">
        <v>89</v>
      </c>
      <c r="C283" t="s">
        <v>91</v>
      </c>
      <c r="D283" t="s">
        <v>79</v>
      </c>
      <c r="E283" s="3">
        <v>22</v>
      </c>
      <c r="F283" s="3">
        <v>10901221</v>
      </c>
      <c r="G283" t="s">
        <v>164</v>
      </c>
    </row>
    <row r="284" spans="1:7" x14ac:dyDescent="0.35">
      <c r="A284">
        <v>2017</v>
      </c>
      <c r="B284" t="s">
        <v>89</v>
      </c>
      <c r="C284" t="s">
        <v>91</v>
      </c>
      <c r="D284" t="s">
        <v>79</v>
      </c>
      <c r="E284" s="3">
        <v>-20</v>
      </c>
      <c r="F284" s="3">
        <v>-8522379</v>
      </c>
      <c r="G284" t="s">
        <v>144</v>
      </c>
    </row>
    <row r="285" spans="1:7" x14ac:dyDescent="0.35">
      <c r="A285">
        <v>2017</v>
      </c>
      <c r="B285" t="s">
        <v>89</v>
      </c>
      <c r="C285" t="s">
        <v>91</v>
      </c>
      <c r="D285" t="s">
        <v>79</v>
      </c>
      <c r="E285" s="3">
        <v>2280</v>
      </c>
      <c r="F285" s="3">
        <v>980442837</v>
      </c>
      <c r="G285" t="s">
        <v>167</v>
      </c>
    </row>
    <row r="286" spans="1:7" x14ac:dyDescent="0.35">
      <c r="A286">
        <v>2017</v>
      </c>
      <c r="B286" t="s">
        <v>89</v>
      </c>
      <c r="C286" t="s">
        <v>91</v>
      </c>
      <c r="D286" t="s">
        <v>79</v>
      </c>
      <c r="E286" s="3">
        <v>300</v>
      </c>
      <c r="F286" s="3">
        <v>135047449</v>
      </c>
      <c r="G286" t="s">
        <v>149</v>
      </c>
    </row>
    <row r="287" spans="1:7" x14ac:dyDescent="0.35">
      <c r="A287">
        <v>2017</v>
      </c>
      <c r="B287" t="s">
        <v>89</v>
      </c>
      <c r="C287" t="s">
        <v>91</v>
      </c>
      <c r="D287" t="s">
        <v>79</v>
      </c>
      <c r="E287" s="3">
        <v>200</v>
      </c>
      <c r="F287" s="3">
        <v>91743119</v>
      </c>
      <c r="G287" t="s">
        <v>150</v>
      </c>
    </row>
    <row r="288" spans="1:7" x14ac:dyDescent="0.35">
      <c r="A288">
        <v>2017</v>
      </c>
      <c r="B288" t="s">
        <v>93</v>
      </c>
      <c r="C288" t="s">
        <v>94</v>
      </c>
      <c r="D288" t="s">
        <v>79</v>
      </c>
      <c r="E288" s="3">
        <v>85453</v>
      </c>
      <c r="F288" s="3">
        <v>2408637269</v>
      </c>
      <c r="G288" t="s">
        <v>147</v>
      </c>
    </row>
    <row r="289" spans="1:7" x14ac:dyDescent="0.35">
      <c r="A289">
        <v>2017</v>
      </c>
      <c r="B289" t="s">
        <v>93</v>
      </c>
      <c r="C289" t="s">
        <v>94</v>
      </c>
      <c r="D289" t="s">
        <v>79</v>
      </c>
      <c r="E289" s="3">
        <v>47410</v>
      </c>
      <c r="F289" s="3">
        <v>1378012109</v>
      </c>
      <c r="G289" t="s">
        <v>144</v>
      </c>
    </row>
    <row r="290" spans="1:7" x14ac:dyDescent="0.35">
      <c r="A290">
        <v>2017</v>
      </c>
      <c r="B290" t="s">
        <v>93</v>
      </c>
      <c r="C290" t="s">
        <v>94</v>
      </c>
      <c r="D290" t="s">
        <v>79</v>
      </c>
      <c r="E290" s="3">
        <v>26406</v>
      </c>
      <c r="F290" s="3">
        <v>676646884</v>
      </c>
      <c r="G290" t="s">
        <v>151</v>
      </c>
    </row>
    <row r="291" spans="1:7" x14ac:dyDescent="0.35">
      <c r="A291">
        <v>2017</v>
      </c>
      <c r="B291" t="s">
        <v>93</v>
      </c>
      <c r="C291" t="s">
        <v>94</v>
      </c>
      <c r="D291" t="s">
        <v>79</v>
      </c>
      <c r="E291" s="3">
        <v>24</v>
      </c>
      <c r="F291" s="3">
        <v>1596218</v>
      </c>
      <c r="G291" t="s">
        <v>137</v>
      </c>
    </row>
    <row r="292" spans="1:7" x14ac:dyDescent="0.35">
      <c r="A292">
        <v>2017</v>
      </c>
      <c r="B292" t="s">
        <v>93</v>
      </c>
      <c r="C292" t="s">
        <v>32</v>
      </c>
      <c r="D292" t="s">
        <v>79</v>
      </c>
      <c r="E292" s="3">
        <v>2028</v>
      </c>
      <c r="F292" s="3">
        <v>116217725</v>
      </c>
      <c r="G292" t="s">
        <v>137</v>
      </c>
    </row>
    <row r="293" spans="1:7" x14ac:dyDescent="0.35">
      <c r="A293">
        <v>2017</v>
      </c>
      <c r="B293" t="s">
        <v>96</v>
      </c>
      <c r="C293" t="s">
        <v>82</v>
      </c>
      <c r="D293" t="s">
        <v>79</v>
      </c>
      <c r="E293" s="3">
        <v>10150</v>
      </c>
      <c r="F293" s="3">
        <v>372844000</v>
      </c>
      <c r="G293" t="s">
        <v>127</v>
      </c>
    </row>
    <row r="294" spans="1:7" x14ac:dyDescent="0.35">
      <c r="A294">
        <v>2017</v>
      </c>
      <c r="B294" t="s">
        <v>96</v>
      </c>
      <c r="C294" t="s">
        <v>82</v>
      </c>
      <c r="D294" t="s">
        <v>79</v>
      </c>
      <c r="E294" s="3">
        <v>28621</v>
      </c>
      <c r="F294" s="3">
        <v>1113587340</v>
      </c>
      <c r="G294" t="s">
        <v>128</v>
      </c>
    </row>
    <row r="295" spans="1:7" x14ac:dyDescent="0.35">
      <c r="A295">
        <v>2017</v>
      </c>
      <c r="B295" t="s">
        <v>96</v>
      </c>
      <c r="C295" t="s">
        <v>82</v>
      </c>
      <c r="D295" t="s">
        <v>79</v>
      </c>
      <c r="E295" s="3">
        <v>198378</v>
      </c>
      <c r="F295" s="3">
        <v>7553187860</v>
      </c>
      <c r="G295" t="s">
        <v>130</v>
      </c>
    </row>
    <row r="296" spans="1:7" x14ac:dyDescent="0.35">
      <c r="A296">
        <v>2017</v>
      </c>
      <c r="B296" t="s">
        <v>98</v>
      </c>
      <c r="C296" t="s">
        <v>32</v>
      </c>
      <c r="D296" t="s">
        <v>79</v>
      </c>
      <c r="E296" s="3">
        <v>218157</v>
      </c>
      <c r="F296" s="3">
        <v>7571317818</v>
      </c>
      <c r="G296" t="s">
        <v>170</v>
      </c>
    </row>
    <row r="297" spans="1:7" x14ac:dyDescent="0.35">
      <c r="A297">
        <v>2017</v>
      </c>
      <c r="B297" t="s">
        <v>98</v>
      </c>
      <c r="C297" t="s">
        <v>32</v>
      </c>
      <c r="D297" t="s">
        <v>79</v>
      </c>
      <c r="E297" s="3">
        <v>30000</v>
      </c>
      <c r="F297" s="3">
        <v>765000000</v>
      </c>
      <c r="G297" t="s">
        <v>130</v>
      </c>
    </row>
    <row r="298" spans="1:7" x14ac:dyDescent="0.35">
      <c r="A298">
        <v>2017</v>
      </c>
      <c r="B298" t="s">
        <v>98</v>
      </c>
      <c r="C298" t="s">
        <v>32</v>
      </c>
      <c r="D298" t="s">
        <v>79</v>
      </c>
      <c r="E298" s="3">
        <v>122354</v>
      </c>
      <c r="F298" s="3">
        <v>4459882614</v>
      </c>
      <c r="G298" t="s">
        <v>133</v>
      </c>
    </row>
    <row r="299" spans="1:7" x14ac:dyDescent="0.35">
      <c r="A299">
        <v>2017</v>
      </c>
      <c r="B299" t="s">
        <v>98</v>
      </c>
      <c r="C299" t="s">
        <v>32</v>
      </c>
      <c r="D299" t="s">
        <v>79</v>
      </c>
      <c r="E299" s="3">
        <v>27521</v>
      </c>
      <c r="F299" s="3">
        <v>844938305</v>
      </c>
      <c r="G299" t="s">
        <v>140</v>
      </c>
    </row>
    <row r="300" spans="1:7" x14ac:dyDescent="0.35">
      <c r="A300">
        <v>2017</v>
      </c>
      <c r="B300" t="s">
        <v>98</v>
      </c>
      <c r="C300" t="s">
        <v>32</v>
      </c>
      <c r="D300" t="s">
        <v>79</v>
      </c>
      <c r="E300" s="3">
        <v>50000</v>
      </c>
      <c r="F300" s="3">
        <v>1689259375</v>
      </c>
      <c r="G300" t="s">
        <v>176</v>
      </c>
    </row>
    <row r="301" spans="1:7" x14ac:dyDescent="0.35">
      <c r="A301">
        <v>2017</v>
      </c>
      <c r="B301" t="s">
        <v>99</v>
      </c>
      <c r="C301" t="s">
        <v>32</v>
      </c>
      <c r="D301" t="s">
        <v>79</v>
      </c>
      <c r="E301" s="3">
        <v>449</v>
      </c>
      <c r="F301" s="3">
        <v>29452469</v>
      </c>
      <c r="G301" t="s">
        <v>159</v>
      </c>
    </row>
    <row r="302" spans="1:7" x14ac:dyDescent="0.35">
      <c r="A302">
        <v>2017</v>
      </c>
      <c r="B302" t="s">
        <v>99</v>
      </c>
      <c r="C302" t="s">
        <v>32</v>
      </c>
      <c r="D302" t="s">
        <v>79</v>
      </c>
      <c r="E302" s="3">
        <v>8983</v>
      </c>
      <c r="F302" s="3">
        <v>313383461</v>
      </c>
      <c r="G302" t="s">
        <v>177</v>
      </c>
    </row>
    <row r="303" spans="1:7" x14ac:dyDescent="0.35">
      <c r="A303">
        <v>2017</v>
      </c>
      <c r="B303" t="s">
        <v>99</v>
      </c>
      <c r="C303" t="s">
        <v>32</v>
      </c>
      <c r="D303" t="s">
        <v>79</v>
      </c>
      <c r="E303" s="3">
        <v>42259</v>
      </c>
      <c r="F303" s="3">
        <v>1098094115</v>
      </c>
      <c r="G303" t="s">
        <v>149</v>
      </c>
    </row>
    <row r="304" spans="1:7" x14ac:dyDescent="0.35">
      <c r="A304">
        <v>2017</v>
      </c>
      <c r="B304" t="s">
        <v>99</v>
      </c>
      <c r="C304" t="s">
        <v>32</v>
      </c>
      <c r="D304" t="s">
        <v>79</v>
      </c>
      <c r="E304" s="3">
        <v>200</v>
      </c>
      <c r="F304" s="3">
        <v>14404345</v>
      </c>
      <c r="G304" t="s">
        <v>160</v>
      </c>
    </row>
    <row r="305" spans="1:7" x14ac:dyDescent="0.35">
      <c r="A305">
        <v>2017</v>
      </c>
      <c r="B305" t="s">
        <v>99</v>
      </c>
      <c r="C305" t="s">
        <v>32</v>
      </c>
      <c r="D305" t="s">
        <v>79</v>
      </c>
      <c r="E305" s="3">
        <v>28239</v>
      </c>
      <c r="F305" s="3">
        <v>966483618</v>
      </c>
      <c r="G305" t="s">
        <v>161</v>
      </c>
    </row>
    <row r="306" spans="1:7" x14ac:dyDescent="0.35">
      <c r="A306">
        <v>2017</v>
      </c>
      <c r="B306" t="s">
        <v>99</v>
      </c>
      <c r="C306" t="s">
        <v>32</v>
      </c>
      <c r="D306" t="s">
        <v>79</v>
      </c>
      <c r="E306" s="3">
        <v>74664</v>
      </c>
      <c r="F306" s="3">
        <v>1964224280</v>
      </c>
      <c r="G306" t="s">
        <v>162</v>
      </c>
    </row>
    <row r="307" spans="1:7" x14ac:dyDescent="0.35">
      <c r="A307">
        <v>2017</v>
      </c>
      <c r="B307" t="s">
        <v>99</v>
      </c>
      <c r="C307" t="s">
        <v>32</v>
      </c>
      <c r="D307" t="s">
        <v>79</v>
      </c>
      <c r="E307" s="3">
        <v>3665</v>
      </c>
      <c r="F307" s="3">
        <v>168640007</v>
      </c>
      <c r="G307" t="s">
        <v>137</v>
      </c>
    </row>
    <row r="308" spans="1:7" x14ac:dyDescent="0.35">
      <c r="A308">
        <v>2017</v>
      </c>
      <c r="B308" t="s">
        <v>105</v>
      </c>
      <c r="C308" t="s">
        <v>102</v>
      </c>
      <c r="D308" t="s">
        <v>79</v>
      </c>
      <c r="E308" s="3">
        <v>102</v>
      </c>
      <c r="F308" s="3">
        <v>1029686</v>
      </c>
      <c r="G308" t="s">
        <v>127</v>
      </c>
    </row>
    <row r="309" spans="1:7" x14ac:dyDescent="0.35">
      <c r="A309">
        <v>2018</v>
      </c>
      <c r="B309" t="s">
        <v>77</v>
      </c>
      <c r="C309" t="s">
        <v>82</v>
      </c>
      <c r="D309" t="s">
        <v>79</v>
      </c>
      <c r="E309" s="4">
        <v>0.2</v>
      </c>
      <c r="F309" s="3">
        <v>219796</v>
      </c>
      <c r="G309" t="s">
        <v>138</v>
      </c>
    </row>
    <row r="310" spans="1:7" x14ac:dyDescent="0.35">
      <c r="A310">
        <v>2018</v>
      </c>
      <c r="B310" t="s">
        <v>77</v>
      </c>
      <c r="C310" t="s">
        <v>82</v>
      </c>
      <c r="D310" t="s">
        <v>79</v>
      </c>
      <c r="E310" s="3">
        <v>40230</v>
      </c>
      <c r="F310" s="3">
        <v>1758366178</v>
      </c>
      <c r="G310" t="s">
        <v>127</v>
      </c>
    </row>
    <row r="311" spans="1:7" x14ac:dyDescent="0.35">
      <c r="A311">
        <v>2018</v>
      </c>
      <c r="B311" t="s">
        <v>77</v>
      </c>
      <c r="C311" t="s">
        <v>82</v>
      </c>
      <c r="D311" t="s">
        <v>79</v>
      </c>
      <c r="E311" s="3">
        <v>1400</v>
      </c>
      <c r="F311" s="3">
        <v>56000000</v>
      </c>
      <c r="G311" t="s">
        <v>129</v>
      </c>
    </row>
    <row r="312" spans="1:7" x14ac:dyDescent="0.35">
      <c r="A312">
        <v>2018</v>
      </c>
      <c r="B312" t="s">
        <v>77</v>
      </c>
      <c r="C312" t="s">
        <v>82</v>
      </c>
      <c r="D312" t="s">
        <v>79</v>
      </c>
      <c r="E312" s="3">
        <v>17275</v>
      </c>
      <c r="F312" s="3">
        <v>872264500</v>
      </c>
      <c r="G312" t="s">
        <v>128</v>
      </c>
    </row>
    <row r="313" spans="1:7" x14ac:dyDescent="0.35">
      <c r="A313">
        <v>2018</v>
      </c>
      <c r="B313" t="s">
        <v>77</v>
      </c>
      <c r="C313" t="s">
        <v>82</v>
      </c>
      <c r="D313" t="s">
        <v>79</v>
      </c>
      <c r="E313" s="3">
        <v>384898</v>
      </c>
      <c r="F313" s="3">
        <v>16593971000</v>
      </c>
      <c r="G313" t="s">
        <v>130</v>
      </c>
    </row>
    <row r="314" spans="1:7" x14ac:dyDescent="0.35">
      <c r="A314">
        <v>2018</v>
      </c>
      <c r="B314" t="s">
        <v>77</v>
      </c>
      <c r="C314" t="s">
        <v>82</v>
      </c>
      <c r="D314" t="s">
        <v>79</v>
      </c>
      <c r="E314" s="3">
        <v>8375</v>
      </c>
      <c r="F314" s="3">
        <v>418540000</v>
      </c>
      <c r="G314" t="s">
        <v>131</v>
      </c>
    </row>
    <row r="315" spans="1:7" x14ac:dyDescent="0.35">
      <c r="A315">
        <v>2018</v>
      </c>
      <c r="B315" t="s">
        <v>83</v>
      </c>
      <c r="C315" t="s">
        <v>84</v>
      </c>
      <c r="D315" t="s">
        <v>79</v>
      </c>
      <c r="E315" s="8">
        <v>7.6609944199999997</v>
      </c>
      <c r="F315" s="3">
        <v>175925907803</v>
      </c>
      <c r="G315" t="s">
        <v>133</v>
      </c>
    </row>
    <row r="316" spans="1:7" x14ac:dyDescent="0.35">
      <c r="A316">
        <v>2018</v>
      </c>
      <c r="B316" t="s">
        <v>83</v>
      </c>
      <c r="C316" t="s">
        <v>85</v>
      </c>
      <c r="D316" t="s">
        <v>79</v>
      </c>
      <c r="E316" s="8">
        <v>0.64399965999999997</v>
      </c>
      <c r="F316" s="3">
        <v>182474962</v>
      </c>
      <c r="G316" t="s">
        <v>133</v>
      </c>
    </row>
    <row r="317" spans="1:7" x14ac:dyDescent="0.35">
      <c r="A317">
        <v>2018</v>
      </c>
      <c r="B317" t="s">
        <v>86</v>
      </c>
      <c r="C317" t="s">
        <v>82</v>
      </c>
      <c r="D317" t="s">
        <v>79</v>
      </c>
      <c r="E317" s="3">
        <v>1032942</v>
      </c>
      <c r="F317" s="3">
        <v>43280061300</v>
      </c>
      <c r="G317" t="s">
        <v>134</v>
      </c>
    </row>
    <row r="318" spans="1:7" x14ac:dyDescent="0.35">
      <c r="A318">
        <v>2018</v>
      </c>
      <c r="B318" t="s">
        <v>86</v>
      </c>
      <c r="C318" t="s">
        <v>82</v>
      </c>
      <c r="D318" t="s">
        <v>79</v>
      </c>
      <c r="E318" s="3">
        <v>44737</v>
      </c>
      <c r="F318" s="3">
        <v>1695047000</v>
      </c>
      <c r="G318" t="s">
        <v>135</v>
      </c>
    </row>
    <row r="319" spans="1:7" x14ac:dyDescent="0.35">
      <c r="A319">
        <v>2018</v>
      </c>
      <c r="B319" t="s">
        <v>89</v>
      </c>
      <c r="C319" t="s">
        <v>26</v>
      </c>
      <c r="D319" t="s">
        <v>79</v>
      </c>
      <c r="E319" s="3">
        <v>66</v>
      </c>
      <c r="F319" s="3">
        <v>56934363</v>
      </c>
      <c r="G319" t="s">
        <v>165</v>
      </c>
    </row>
    <row r="320" spans="1:7" x14ac:dyDescent="0.35">
      <c r="A320">
        <v>2018</v>
      </c>
      <c r="B320" t="s">
        <v>89</v>
      </c>
      <c r="C320" t="s">
        <v>26</v>
      </c>
      <c r="D320" t="s">
        <v>79</v>
      </c>
      <c r="E320" s="3">
        <v>917</v>
      </c>
      <c r="F320" s="3">
        <v>680757689</v>
      </c>
      <c r="G320" t="s">
        <v>142</v>
      </c>
    </row>
    <row r="321" spans="1:7" x14ac:dyDescent="0.35">
      <c r="A321">
        <v>2018</v>
      </c>
      <c r="B321" t="s">
        <v>89</v>
      </c>
      <c r="C321" t="s">
        <v>26</v>
      </c>
      <c r="D321" t="s">
        <v>79</v>
      </c>
      <c r="E321" s="3">
        <v>330</v>
      </c>
      <c r="F321" s="3">
        <v>294275346</v>
      </c>
      <c r="G321" t="s">
        <v>178</v>
      </c>
    </row>
    <row r="322" spans="1:7" x14ac:dyDescent="0.35">
      <c r="A322">
        <v>2018</v>
      </c>
      <c r="B322" t="s">
        <v>89</v>
      </c>
      <c r="C322" t="s">
        <v>26</v>
      </c>
      <c r="D322" t="s">
        <v>79</v>
      </c>
      <c r="E322" s="3">
        <v>782</v>
      </c>
      <c r="F322" s="3">
        <v>696754319</v>
      </c>
      <c r="G322" t="s">
        <v>145</v>
      </c>
    </row>
    <row r="323" spans="1:7" x14ac:dyDescent="0.35">
      <c r="A323">
        <v>2018</v>
      </c>
      <c r="B323" t="s">
        <v>89</v>
      </c>
      <c r="C323" t="s">
        <v>26</v>
      </c>
      <c r="D323" t="s">
        <v>79</v>
      </c>
      <c r="E323" s="3">
        <v>2087</v>
      </c>
      <c r="F323" s="3">
        <v>1884260466</v>
      </c>
      <c r="G323" t="s">
        <v>179</v>
      </c>
    </row>
    <row r="324" spans="1:7" x14ac:dyDescent="0.35">
      <c r="A324">
        <v>2018</v>
      </c>
      <c r="B324" t="s">
        <v>89</v>
      </c>
      <c r="C324" t="s">
        <v>26</v>
      </c>
      <c r="D324" t="s">
        <v>79</v>
      </c>
      <c r="E324" s="3">
        <v>1923</v>
      </c>
      <c r="F324" s="3">
        <v>1674472577</v>
      </c>
      <c r="G324" t="s">
        <v>143</v>
      </c>
    </row>
    <row r="325" spans="1:7" x14ac:dyDescent="0.35">
      <c r="A325">
        <v>2018</v>
      </c>
      <c r="B325" t="s">
        <v>89</v>
      </c>
      <c r="C325" t="s">
        <v>26</v>
      </c>
      <c r="D325" t="s">
        <v>79</v>
      </c>
      <c r="E325" s="3">
        <v>5807</v>
      </c>
      <c r="F325" s="3">
        <v>1403897772</v>
      </c>
      <c r="G325" t="s">
        <v>138</v>
      </c>
    </row>
    <row r="326" spans="1:7" x14ac:dyDescent="0.35">
      <c r="A326">
        <v>2018</v>
      </c>
      <c r="B326" t="s">
        <v>89</v>
      </c>
      <c r="C326" t="s">
        <v>26</v>
      </c>
      <c r="D326" t="s">
        <v>79</v>
      </c>
      <c r="E326" s="3">
        <v>15120</v>
      </c>
      <c r="F326" s="3">
        <v>12571018659</v>
      </c>
      <c r="G326" t="s">
        <v>149</v>
      </c>
    </row>
    <row r="327" spans="1:7" x14ac:dyDescent="0.35">
      <c r="A327">
        <v>2018</v>
      </c>
      <c r="B327" t="s">
        <v>89</v>
      </c>
      <c r="C327" t="s">
        <v>26</v>
      </c>
      <c r="D327" t="s">
        <v>79</v>
      </c>
      <c r="E327" s="3">
        <v>12006</v>
      </c>
      <c r="F327" s="3">
        <v>10653272761</v>
      </c>
      <c r="G327" t="s">
        <v>140</v>
      </c>
    </row>
    <row r="328" spans="1:7" x14ac:dyDescent="0.35">
      <c r="A328">
        <v>2018</v>
      </c>
      <c r="B328" t="s">
        <v>89</v>
      </c>
      <c r="C328" t="s">
        <v>26</v>
      </c>
      <c r="D328" t="s">
        <v>79</v>
      </c>
      <c r="E328" s="3">
        <v>2440</v>
      </c>
      <c r="F328" s="3">
        <v>2044949645</v>
      </c>
      <c r="G328" t="s">
        <v>147</v>
      </c>
    </row>
    <row r="329" spans="1:7" x14ac:dyDescent="0.35">
      <c r="A329">
        <v>2018</v>
      </c>
      <c r="B329" t="s">
        <v>89</v>
      </c>
      <c r="C329" t="s">
        <v>26</v>
      </c>
      <c r="D329" t="s">
        <v>79</v>
      </c>
      <c r="E329" s="3">
        <v>2282</v>
      </c>
      <c r="F329" s="3">
        <v>1713117284</v>
      </c>
      <c r="G329" t="s">
        <v>158</v>
      </c>
    </row>
    <row r="330" spans="1:7" x14ac:dyDescent="0.35">
      <c r="A330">
        <v>2018</v>
      </c>
      <c r="B330" t="s">
        <v>89</v>
      </c>
      <c r="C330" t="s">
        <v>26</v>
      </c>
      <c r="D330" t="s">
        <v>79</v>
      </c>
      <c r="E330" s="3">
        <v>228</v>
      </c>
      <c r="F330" s="3">
        <v>158804838</v>
      </c>
      <c r="G330" t="s">
        <v>171</v>
      </c>
    </row>
    <row r="331" spans="1:7" x14ac:dyDescent="0.35">
      <c r="A331">
        <v>2018</v>
      </c>
      <c r="B331" t="s">
        <v>89</v>
      </c>
      <c r="C331" t="s">
        <v>26</v>
      </c>
      <c r="D331" t="s">
        <v>79</v>
      </c>
      <c r="E331" s="3">
        <v>2314</v>
      </c>
      <c r="F331" s="3">
        <v>1902066088</v>
      </c>
      <c r="G331" t="s">
        <v>146</v>
      </c>
    </row>
    <row r="332" spans="1:7" x14ac:dyDescent="0.35">
      <c r="A332">
        <v>2018</v>
      </c>
      <c r="B332" t="s">
        <v>89</v>
      </c>
      <c r="C332" t="s">
        <v>26</v>
      </c>
      <c r="D332" t="s">
        <v>79</v>
      </c>
      <c r="E332" s="3">
        <v>1330</v>
      </c>
      <c r="F332" s="3">
        <v>1254746802</v>
      </c>
      <c r="G332" t="s">
        <v>164</v>
      </c>
    </row>
    <row r="333" spans="1:7" x14ac:dyDescent="0.35">
      <c r="A333">
        <v>2018</v>
      </c>
      <c r="B333" t="s">
        <v>89</v>
      </c>
      <c r="C333" t="s">
        <v>26</v>
      </c>
      <c r="D333" t="s">
        <v>79</v>
      </c>
      <c r="E333" s="3">
        <v>22</v>
      </c>
      <c r="F333" s="3">
        <v>20975568</v>
      </c>
      <c r="G333" t="s">
        <v>161</v>
      </c>
    </row>
    <row r="334" spans="1:7" x14ac:dyDescent="0.35">
      <c r="A334">
        <v>2018</v>
      </c>
      <c r="B334" t="s">
        <v>89</v>
      </c>
      <c r="C334" t="s">
        <v>26</v>
      </c>
      <c r="D334" t="s">
        <v>79</v>
      </c>
      <c r="E334" s="3">
        <v>424</v>
      </c>
      <c r="F334" s="3">
        <v>336816943</v>
      </c>
      <c r="G334" t="s">
        <v>148</v>
      </c>
    </row>
    <row r="335" spans="1:7" x14ac:dyDescent="0.35">
      <c r="A335">
        <v>2018</v>
      </c>
      <c r="B335" t="s">
        <v>89</v>
      </c>
      <c r="C335" t="s">
        <v>26</v>
      </c>
      <c r="D335" t="s">
        <v>79</v>
      </c>
      <c r="E335" s="3">
        <v>974</v>
      </c>
      <c r="F335" s="3">
        <v>882675076</v>
      </c>
      <c r="G335" t="s">
        <v>180</v>
      </c>
    </row>
    <row r="336" spans="1:7" x14ac:dyDescent="0.35">
      <c r="A336">
        <v>2018</v>
      </c>
      <c r="B336" t="s">
        <v>89</v>
      </c>
      <c r="C336" t="s">
        <v>26</v>
      </c>
      <c r="D336" t="s">
        <v>79</v>
      </c>
      <c r="E336" s="3">
        <v>1437</v>
      </c>
      <c r="F336" s="3">
        <v>1084855459</v>
      </c>
      <c r="G336" t="s">
        <v>181</v>
      </c>
    </row>
    <row r="337" spans="1:7" x14ac:dyDescent="0.35">
      <c r="A337">
        <v>2018</v>
      </c>
      <c r="B337" t="s">
        <v>89</v>
      </c>
      <c r="C337" t="s">
        <v>26</v>
      </c>
      <c r="D337" t="s">
        <v>79</v>
      </c>
      <c r="E337" s="3">
        <v>413</v>
      </c>
      <c r="F337" s="3">
        <v>369332271</v>
      </c>
      <c r="G337" t="s">
        <v>144</v>
      </c>
    </row>
    <row r="338" spans="1:7" x14ac:dyDescent="0.35">
      <c r="A338">
        <v>2018</v>
      </c>
      <c r="B338" t="s">
        <v>89</v>
      </c>
      <c r="C338" t="s">
        <v>26</v>
      </c>
      <c r="D338" t="s">
        <v>79</v>
      </c>
      <c r="E338" s="3">
        <v>485</v>
      </c>
      <c r="F338" s="3">
        <v>433765456</v>
      </c>
      <c r="G338" t="s">
        <v>162</v>
      </c>
    </row>
    <row r="339" spans="1:7" x14ac:dyDescent="0.35">
      <c r="A339">
        <v>2018</v>
      </c>
      <c r="B339" t="s">
        <v>89</v>
      </c>
      <c r="C339" t="s">
        <v>26</v>
      </c>
      <c r="D339" t="s">
        <v>79</v>
      </c>
      <c r="E339" s="3">
        <v>198</v>
      </c>
      <c r="F339" s="3">
        <v>179156895</v>
      </c>
      <c r="G339" t="s">
        <v>151</v>
      </c>
    </row>
    <row r="340" spans="1:7" x14ac:dyDescent="0.35">
      <c r="A340">
        <v>2018</v>
      </c>
      <c r="B340" t="s">
        <v>89</v>
      </c>
      <c r="C340" t="s">
        <v>26</v>
      </c>
      <c r="D340" t="s">
        <v>79</v>
      </c>
      <c r="E340" s="3">
        <v>148</v>
      </c>
      <c r="F340" s="3">
        <v>92378460</v>
      </c>
      <c r="G340" t="s">
        <v>176</v>
      </c>
    </row>
    <row r="341" spans="1:7" x14ac:dyDescent="0.35">
      <c r="A341">
        <v>2018</v>
      </c>
      <c r="B341" t="s">
        <v>89</v>
      </c>
      <c r="C341" t="s">
        <v>26</v>
      </c>
      <c r="D341" t="s">
        <v>79</v>
      </c>
      <c r="E341" s="3">
        <v>16032</v>
      </c>
      <c r="F341" s="3">
        <v>5935666203</v>
      </c>
      <c r="G341" t="s">
        <v>133</v>
      </c>
    </row>
    <row r="342" spans="1:7" x14ac:dyDescent="0.35">
      <c r="A342">
        <v>2018</v>
      </c>
      <c r="B342" t="s">
        <v>89</v>
      </c>
      <c r="C342" t="s">
        <v>26</v>
      </c>
      <c r="D342" t="s">
        <v>79</v>
      </c>
      <c r="E342" s="3">
        <v>80</v>
      </c>
      <c r="F342" s="3">
        <v>23450700</v>
      </c>
      <c r="G342" t="s">
        <v>174</v>
      </c>
    </row>
    <row r="343" spans="1:7" x14ac:dyDescent="0.35">
      <c r="A343">
        <v>2018</v>
      </c>
      <c r="B343" t="s">
        <v>89</v>
      </c>
      <c r="C343" t="s">
        <v>26</v>
      </c>
      <c r="D343" t="s">
        <v>79</v>
      </c>
      <c r="E343" s="3">
        <v>27503</v>
      </c>
      <c r="F343" s="3">
        <v>16890111287</v>
      </c>
      <c r="G343" t="s">
        <v>15</v>
      </c>
    </row>
    <row r="344" spans="1:7" x14ac:dyDescent="0.35">
      <c r="A344">
        <v>2018</v>
      </c>
      <c r="B344" t="s">
        <v>89</v>
      </c>
      <c r="C344" t="s">
        <v>30</v>
      </c>
      <c r="D344" t="s">
        <v>79</v>
      </c>
      <c r="E344" s="3">
        <v>60</v>
      </c>
      <c r="F344" s="3">
        <v>55099971</v>
      </c>
      <c r="G344" t="s">
        <v>165</v>
      </c>
    </row>
    <row r="345" spans="1:7" x14ac:dyDescent="0.35">
      <c r="A345">
        <v>2018</v>
      </c>
      <c r="B345" t="s">
        <v>89</v>
      </c>
      <c r="C345" t="s">
        <v>30</v>
      </c>
      <c r="D345" t="s">
        <v>79</v>
      </c>
      <c r="E345" s="3">
        <v>260</v>
      </c>
      <c r="F345" s="3">
        <v>96713240</v>
      </c>
      <c r="G345" t="s">
        <v>178</v>
      </c>
    </row>
    <row r="346" spans="1:7" x14ac:dyDescent="0.35">
      <c r="A346">
        <v>2018</v>
      </c>
      <c r="B346" t="s">
        <v>89</v>
      </c>
      <c r="C346" t="s">
        <v>30</v>
      </c>
      <c r="D346" t="s">
        <v>79</v>
      </c>
      <c r="E346" s="3">
        <v>34430</v>
      </c>
      <c r="F346" s="3">
        <v>2993403096</v>
      </c>
      <c r="G346" t="s">
        <v>179</v>
      </c>
    </row>
    <row r="347" spans="1:7" x14ac:dyDescent="0.35">
      <c r="A347">
        <v>2018</v>
      </c>
      <c r="B347" t="s">
        <v>89</v>
      </c>
      <c r="C347" t="s">
        <v>30</v>
      </c>
      <c r="D347" t="s">
        <v>79</v>
      </c>
      <c r="E347" s="3">
        <v>680</v>
      </c>
      <c r="F347" s="3">
        <v>195556332</v>
      </c>
      <c r="G347" t="s">
        <v>138</v>
      </c>
    </row>
    <row r="348" spans="1:7" x14ac:dyDescent="0.35">
      <c r="A348">
        <v>2018</v>
      </c>
      <c r="B348" t="s">
        <v>89</v>
      </c>
      <c r="C348" t="s">
        <v>30</v>
      </c>
      <c r="D348" t="s">
        <v>79</v>
      </c>
      <c r="E348" s="3">
        <v>200</v>
      </c>
      <c r="F348" s="3">
        <v>65972042</v>
      </c>
      <c r="G348" t="s">
        <v>182</v>
      </c>
    </row>
    <row r="349" spans="1:7" x14ac:dyDescent="0.35">
      <c r="A349">
        <v>2018</v>
      </c>
      <c r="B349" t="s">
        <v>89</v>
      </c>
      <c r="C349" t="s">
        <v>30</v>
      </c>
      <c r="D349" t="s">
        <v>79</v>
      </c>
      <c r="E349" s="3">
        <v>1200</v>
      </c>
      <c r="F349" s="3">
        <v>490504228</v>
      </c>
      <c r="G349" t="s">
        <v>167</v>
      </c>
    </row>
    <row r="350" spans="1:7" x14ac:dyDescent="0.35">
      <c r="A350">
        <v>2018</v>
      </c>
      <c r="B350" t="s">
        <v>89</v>
      </c>
      <c r="C350" t="s">
        <v>30</v>
      </c>
      <c r="D350" t="s">
        <v>79</v>
      </c>
      <c r="E350" s="3">
        <v>850</v>
      </c>
      <c r="F350" s="3">
        <v>463134669</v>
      </c>
      <c r="G350" t="s">
        <v>183</v>
      </c>
    </row>
    <row r="351" spans="1:7" x14ac:dyDescent="0.35">
      <c r="A351">
        <v>2018</v>
      </c>
      <c r="B351" t="s">
        <v>89</v>
      </c>
      <c r="C351" t="s">
        <v>30</v>
      </c>
      <c r="D351" t="s">
        <v>79</v>
      </c>
      <c r="E351" s="3">
        <v>100</v>
      </c>
      <c r="F351" s="3">
        <v>30660937</v>
      </c>
      <c r="G351" t="s">
        <v>168</v>
      </c>
    </row>
    <row r="352" spans="1:7" x14ac:dyDescent="0.35">
      <c r="A352">
        <v>2018</v>
      </c>
      <c r="B352" t="s">
        <v>89</v>
      </c>
      <c r="C352" t="s">
        <v>30</v>
      </c>
      <c r="D352" t="s">
        <v>79</v>
      </c>
      <c r="E352" s="3">
        <v>320</v>
      </c>
      <c r="F352" s="3">
        <v>176401772</v>
      </c>
      <c r="G352" t="s">
        <v>149</v>
      </c>
    </row>
    <row r="353" spans="1:7" x14ac:dyDescent="0.35">
      <c r="A353">
        <v>2018</v>
      </c>
      <c r="B353" t="s">
        <v>89</v>
      </c>
      <c r="C353" t="s">
        <v>30</v>
      </c>
      <c r="D353" t="s">
        <v>79</v>
      </c>
      <c r="E353" s="3">
        <v>51025</v>
      </c>
      <c r="F353" s="3">
        <v>4911807072</v>
      </c>
      <c r="G353" t="s">
        <v>140</v>
      </c>
    </row>
    <row r="354" spans="1:7" x14ac:dyDescent="0.35">
      <c r="A354">
        <v>2018</v>
      </c>
      <c r="B354" t="s">
        <v>89</v>
      </c>
      <c r="C354" t="s">
        <v>30</v>
      </c>
      <c r="D354" t="s">
        <v>79</v>
      </c>
      <c r="E354" s="3">
        <v>100</v>
      </c>
      <c r="F354" s="3">
        <v>51333429</v>
      </c>
      <c r="G354" t="s">
        <v>147</v>
      </c>
    </row>
    <row r="355" spans="1:7" x14ac:dyDescent="0.35">
      <c r="A355">
        <v>2018</v>
      </c>
      <c r="B355" t="s">
        <v>89</v>
      </c>
      <c r="C355" t="s">
        <v>30</v>
      </c>
      <c r="D355" t="s">
        <v>79</v>
      </c>
      <c r="E355" s="3">
        <v>20</v>
      </c>
      <c r="F355" s="3">
        <v>6961308</v>
      </c>
      <c r="G355" t="s">
        <v>184</v>
      </c>
    </row>
    <row r="356" spans="1:7" x14ac:dyDescent="0.35">
      <c r="A356">
        <v>2018</v>
      </c>
      <c r="B356" t="s">
        <v>89</v>
      </c>
      <c r="C356" t="s">
        <v>30</v>
      </c>
      <c r="D356" t="s">
        <v>79</v>
      </c>
      <c r="E356" s="3">
        <v>920</v>
      </c>
      <c r="F356" s="3">
        <v>287139432</v>
      </c>
      <c r="G356" t="s">
        <v>158</v>
      </c>
    </row>
    <row r="357" spans="1:7" x14ac:dyDescent="0.35">
      <c r="A357">
        <v>2018</v>
      </c>
      <c r="B357" t="s">
        <v>89</v>
      </c>
      <c r="C357" t="s">
        <v>30</v>
      </c>
      <c r="D357" t="s">
        <v>79</v>
      </c>
      <c r="E357" s="3">
        <v>100</v>
      </c>
      <c r="F357" s="3">
        <v>38519617</v>
      </c>
      <c r="G357" t="s">
        <v>164</v>
      </c>
    </row>
    <row r="358" spans="1:7" x14ac:dyDescent="0.35">
      <c r="A358">
        <v>2018</v>
      </c>
      <c r="B358" t="s">
        <v>89</v>
      </c>
      <c r="C358" t="s">
        <v>30</v>
      </c>
      <c r="D358" t="s">
        <v>79</v>
      </c>
      <c r="E358" s="3">
        <v>80</v>
      </c>
      <c r="F358" s="3">
        <v>27235292</v>
      </c>
      <c r="G358" t="s">
        <v>161</v>
      </c>
    </row>
    <row r="359" spans="1:7" x14ac:dyDescent="0.35">
      <c r="A359">
        <v>2018</v>
      </c>
      <c r="B359" t="s">
        <v>89</v>
      </c>
      <c r="C359" t="s">
        <v>30</v>
      </c>
      <c r="D359" t="s">
        <v>79</v>
      </c>
      <c r="E359" s="3">
        <v>80</v>
      </c>
      <c r="F359" s="3">
        <v>24542876</v>
      </c>
      <c r="G359" t="s">
        <v>130</v>
      </c>
    </row>
    <row r="360" spans="1:7" x14ac:dyDescent="0.35">
      <c r="A360">
        <v>2018</v>
      </c>
      <c r="B360" t="s">
        <v>89</v>
      </c>
      <c r="C360" t="s">
        <v>30</v>
      </c>
      <c r="D360" t="s">
        <v>79</v>
      </c>
      <c r="E360" s="3">
        <v>80</v>
      </c>
      <c r="F360" s="3">
        <v>27423788</v>
      </c>
      <c r="G360" t="s">
        <v>185</v>
      </c>
    </row>
    <row r="361" spans="1:7" x14ac:dyDescent="0.35">
      <c r="A361">
        <v>2018</v>
      </c>
      <c r="B361" t="s">
        <v>89</v>
      </c>
      <c r="C361" t="s">
        <v>30</v>
      </c>
      <c r="D361" t="s">
        <v>79</v>
      </c>
      <c r="E361" s="3">
        <v>23450</v>
      </c>
      <c r="F361" s="3">
        <v>2106198674</v>
      </c>
      <c r="G361" t="s">
        <v>148</v>
      </c>
    </row>
    <row r="362" spans="1:7" x14ac:dyDescent="0.35">
      <c r="A362">
        <v>2018</v>
      </c>
      <c r="B362" t="s">
        <v>89</v>
      </c>
      <c r="C362" t="s">
        <v>30</v>
      </c>
      <c r="D362" t="s">
        <v>79</v>
      </c>
      <c r="E362" s="3">
        <v>21246</v>
      </c>
      <c r="F362" s="3">
        <v>3596707644</v>
      </c>
      <c r="G362" t="s">
        <v>180</v>
      </c>
    </row>
    <row r="363" spans="1:7" x14ac:dyDescent="0.35">
      <c r="A363">
        <v>2018</v>
      </c>
      <c r="B363" t="s">
        <v>89</v>
      </c>
      <c r="C363" t="s">
        <v>30</v>
      </c>
      <c r="D363" t="s">
        <v>79</v>
      </c>
      <c r="E363" s="3">
        <v>49591</v>
      </c>
      <c r="F363" s="3">
        <v>4131716029</v>
      </c>
      <c r="G363" t="s">
        <v>186</v>
      </c>
    </row>
    <row r="364" spans="1:7" x14ac:dyDescent="0.35">
      <c r="A364">
        <v>2018</v>
      </c>
      <c r="B364" t="s">
        <v>89</v>
      </c>
      <c r="C364" t="s">
        <v>30</v>
      </c>
      <c r="D364" t="s">
        <v>79</v>
      </c>
      <c r="E364" s="3">
        <v>71116</v>
      </c>
      <c r="F364" s="3">
        <v>6200263027</v>
      </c>
      <c r="G364" t="s">
        <v>181</v>
      </c>
    </row>
    <row r="365" spans="1:7" x14ac:dyDescent="0.35">
      <c r="A365">
        <v>2018</v>
      </c>
      <c r="B365" t="s">
        <v>89</v>
      </c>
      <c r="C365" t="s">
        <v>30</v>
      </c>
      <c r="D365" t="s">
        <v>79</v>
      </c>
      <c r="E365" s="3">
        <v>30025</v>
      </c>
      <c r="F365" s="3">
        <v>2380790300</v>
      </c>
      <c r="G365" t="s">
        <v>139</v>
      </c>
    </row>
    <row r="366" spans="1:7" x14ac:dyDescent="0.35">
      <c r="A366">
        <v>2018</v>
      </c>
      <c r="B366" t="s">
        <v>89</v>
      </c>
      <c r="C366" t="s">
        <v>30</v>
      </c>
      <c r="D366" t="s">
        <v>79</v>
      </c>
      <c r="E366" s="3">
        <v>40</v>
      </c>
      <c r="F366" s="3">
        <v>13321224</v>
      </c>
      <c r="G366" t="s">
        <v>144</v>
      </c>
    </row>
    <row r="367" spans="1:7" x14ac:dyDescent="0.35">
      <c r="A367">
        <v>2018</v>
      </c>
      <c r="B367" t="s">
        <v>89</v>
      </c>
      <c r="C367" t="s">
        <v>30</v>
      </c>
      <c r="D367" t="s">
        <v>79</v>
      </c>
      <c r="E367" s="3">
        <v>360</v>
      </c>
      <c r="F367" s="3">
        <v>119547245</v>
      </c>
      <c r="G367" t="s">
        <v>162</v>
      </c>
    </row>
    <row r="368" spans="1:7" x14ac:dyDescent="0.35">
      <c r="A368">
        <v>2018</v>
      </c>
      <c r="B368" t="s">
        <v>89</v>
      </c>
      <c r="C368" t="s">
        <v>30</v>
      </c>
      <c r="D368" t="s">
        <v>79</v>
      </c>
      <c r="E368" s="3">
        <v>80</v>
      </c>
      <c r="F368" s="3">
        <v>21144800</v>
      </c>
      <c r="G368" t="s">
        <v>176</v>
      </c>
    </row>
    <row r="369" spans="1:7" x14ac:dyDescent="0.35">
      <c r="A369">
        <v>2018</v>
      </c>
      <c r="B369" t="s">
        <v>89</v>
      </c>
      <c r="C369" t="s">
        <v>30</v>
      </c>
      <c r="D369" t="s">
        <v>79</v>
      </c>
      <c r="E369" s="3">
        <v>17185</v>
      </c>
      <c r="F369" s="3">
        <v>1403119889</v>
      </c>
      <c r="G369" t="s">
        <v>187</v>
      </c>
    </row>
    <row r="370" spans="1:7" x14ac:dyDescent="0.35">
      <c r="A370">
        <v>2018</v>
      </c>
      <c r="B370" t="s">
        <v>89</v>
      </c>
      <c r="C370" t="s">
        <v>30</v>
      </c>
      <c r="D370" t="s">
        <v>79</v>
      </c>
      <c r="E370" s="3">
        <v>35100</v>
      </c>
      <c r="F370" s="3">
        <v>4087569807</v>
      </c>
      <c r="G370" t="s">
        <v>133</v>
      </c>
    </row>
    <row r="371" spans="1:7" x14ac:dyDescent="0.35">
      <c r="A371">
        <v>2018</v>
      </c>
      <c r="B371" t="s">
        <v>89</v>
      </c>
      <c r="C371" t="s">
        <v>30</v>
      </c>
      <c r="D371" t="s">
        <v>79</v>
      </c>
      <c r="E371" s="3">
        <v>15457</v>
      </c>
      <c r="F371" s="3">
        <v>1352089579</v>
      </c>
      <c r="G371" t="s">
        <v>174</v>
      </c>
    </row>
    <row r="372" spans="1:7" x14ac:dyDescent="0.35">
      <c r="A372">
        <v>2018</v>
      </c>
      <c r="B372" t="s">
        <v>89</v>
      </c>
      <c r="C372" t="s">
        <v>30</v>
      </c>
      <c r="D372" t="s">
        <v>79</v>
      </c>
      <c r="E372" s="3">
        <v>80524</v>
      </c>
      <c r="F372" s="3">
        <v>11524090241</v>
      </c>
      <c r="G372" t="s">
        <v>15</v>
      </c>
    </row>
    <row r="373" spans="1:7" x14ac:dyDescent="0.35">
      <c r="A373">
        <v>2018</v>
      </c>
      <c r="B373" t="s">
        <v>93</v>
      </c>
      <c r="C373" t="s">
        <v>94</v>
      </c>
      <c r="D373" t="s">
        <v>79</v>
      </c>
      <c r="E373" s="3">
        <v>171797</v>
      </c>
      <c r="F373" s="3">
        <v>6902248528</v>
      </c>
      <c r="G373" t="s">
        <v>15</v>
      </c>
    </row>
    <row r="374" spans="1:7" x14ac:dyDescent="0.35">
      <c r="A374">
        <v>2018</v>
      </c>
      <c r="B374" t="s">
        <v>95</v>
      </c>
      <c r="C374" t="s">
        <v>107</v>
      </c>
      <c r="D374" t="s">
        <v>79</v>
      </c>
      <c r="E374" s="4">
        <v>0.14899999999999999</v>
      </c>
      <c r="F374" s="3">
        <v>1163864</v>
      </c>
      <c r="G374" t="s">
        <v>138</v>
      </c>
    </row>
    <row r="375" spans="1:7" x14ac:dyDescent="0.35">
      <c r="A375">
        <v>2018</v>
      </c>
      <c r="B375" t="s">
        <v>95</v>
      </c>
      <c r="C375" t="s">
        <v>107</v>
      </c>
      <c r="D375" t="s">
        <v>79</v>
      </c>
      <c r="E375" s="3">
        <v>16277</v>
      </c>
      <c r="F375" s="3">
        <v>5389117668</v>
      </c>
      <c r="G375" t="s">
        <v>168</v>
      </c>
    </row>
    <row r="376" spans="1:7" x14ac:dyDescent="0.35">
      <c r="A376">
        <v>2018</v>
      </c>
      <c r="B376" t="s">
        <v>95</v>
      </c>
      <c r="C376" t="s">
        <v>107</v>
      </c>
      <c r="D376" t="s">
        <v>79</v>
      </c>
      <c r="E376" s="3">
        <v>420503</v>
      </c>
      <c r="F376" s="3">
        <v>151839215168</v>
      </c>
      <c r="G376" t="s">
        <v>158</v>
      </c>
    </row>
    <row r="377" spans="1:7" x14ac:dyDescent="0.35">
      <c r="A377">
        <v>2018</v>
      </c>
      <c r="B377" t="s">
        <v>95</v>
      </c>
      <c r="C377" t="s">
        <v>34</v>
      </c>
      <c r="D377" t="s">
        <v>79</v>
      </c>
      <c r="E377" s="3">
        <v>3982</v>
      </c>
      <c r="F377" s="3">
        <v>719627675</v>
      </c>
      <c r="G377" t="s">
        <v>159</v>
      </c>
    </row>
    <row r="378" spans="1:7" x14ac:dyDescent="0.35">
      <c r="A378">
        <v>2018</v>
      </c>
      <c r="B378" t="s">
        <v>95</v>
      </c>
      <c r="C378" t="s">
        <v>34</v>
      </c>
      <c r="D378" t="s">
        <v>79</v>
      </c>
      <c r="E378" s="3">
        <v>27511</v>
      </c>
      <c r="F378" s="3">
        <v>5407648938</v>
      </c>
      <c r="G378" t="s">
        <v>140</v>
      </c>
    </row>
    <row r="379" spans="1:7" x14ac:dyDescent="0.35">
      <c r="A379">
        <v>2018</v>
      </c>
      <c r="B379" t="s">
        <v>95</v>
      </c>
      <c r="C379" t="s">
        <v>34</v>
      </c>
      <c r="D379" t="s">
        <v>79</v>
      </c>
      <c r="E379" s="3">
        <v>43</v>
      </c>
      <c r="F379" s="3">
        <v>9787500</v>
      </c>
      <c r="G379" t="s">
        <v>128</v>
      </c>
    </row>
    <row r="380" spans="1:7" x14ac:dyDescent="0.35">
      <c r="A380">
        <v>2018</v>
      </c>
      <c r="B380" t="s">
        <v>95</v>
      </c>
      <c r="C380" t="s">
        <v>34</v>
      </c>
      <c r="D380" t="s">
        <v>79</v>
      </c>
      <c r="E380" s="3">
        <v>7006</v>
      </c>
      <c r="F380" s="3">
        <v>1353841686</v>
      </c>
      <c r="G380" t="s">
        <v>146</v>
      </c>
    </row>
    <row r="381" spans="1:7" x14ac:dyDescent="0.35">
      <c r="A381">
        <v>2018</v>
      </c>
      <c r="B381" t="s">
        <v>95</v>
      </c>
      <c r="C381" t="s">
        <v>34</v>
      </c>
      <c r="D381" t="s">
        <v>79</v>
      </c>
      <c r="E381" s="3">
        <v>20000</v>
      </c>
      <c r="F381" s="3">
        <v>4570000000</v>
      </c>
      <c r="G381" t="s">
        <v>130</v>
      </c>
    </row>
    <row r="382" spans="1:7" x14ac:dyDescent="0.35">
      <c r="A382">
        <v>2018</v>
      </c>
      <c r="B382" t="s">
        <v>95</v>
      </c>
      <c r="C382" t="s">
        <v>34</v>
      </c>
      <c r="D382" t="s">
        <v>79</v>
      </c>
      <c r="E382" s="3">
        <v>20165</v>
      </c>
      <c r="F382" s="3">
        <v>4647790680</v>
      </c>
      <c r="G382" t="s">
        <v>188</v>
      </c>
    </row>
    <row r="383" spans="1:7" x14ac:dyDescent="0.35">
      <c r="A383">
        <v>2018</v>
      </c>
      <c r="B383" t="s">
        <v>95</v>
      </c>
      <c r="C383" t="s">
        <v>34</v>
      </c>
      <c r="D383" t="s">
        <v>79</v>
      </c>
      <c r="E383" s="3">
        <v>11002</v>
      </c>
      <c r="F383" s="3">
        <v>2593899556</v>
      </c>
      <c r="G383" t="s">
        <v>158</v>
      </c>
    </row>
    <row r="384" spans="1:7" x14ac:dyDescent="0.35">
      <c r="A384">
        <v>2018</v>
      </c>
      <c r="B384" t="s">
        <v>96</v>
      </c>
      <c r="C384" t="s">
        <v>82</v>
      </c>
      <c r="D384" t="s">
        <v>79</v>
      </c>
      <c r="E384" s="3">
        <v>13353</v>
      </c>
      <c r="F384" s="3">
        <v>492030500</v>
      </c>
      <c r="G384" t="s">
        <v>127</v>
      </c>
    </row>
    <row r="385" spans="1:7" x14ac:dyDescent="0.35">
      <c r="A385">
        <v>2018</v>
      </c>
      <c r="B385" t="s">
        <v>96</v>
      </c>
      <c r="C385" t="s">
        <v>82</v>
      </c>
      <c r="D385" t="s">
        <v>79</v>
      </c>
      <c r="E385" s="3">
        <v>21342</v>
      </c>
      <c r="F385" s="3">
        <v>848774040</v>
      </c>
      <c r="G385" t="s">
        <v>128</v>
      </c>
    </row>
    <row r="386" spans="1:7" x14ac:dyDescent="0.35">
      <c r="A386">
        <v>2018</v>
      </c>
      <c r="B386" t="s">
        <v>96</v>
      </c>
      <c r="C386" t="s">
        <v>82</v>
      </c>
      <c r="D386" t="s">
        <v>79</v>
      </c>
      <c r="E386" s="3">
        <v>451175</v>
      </c>
      <c r="F386" s="3">
        <v>17177955000</v>
      </c>
      <c r="G386" t="s">
        <v>130</v>
      </c>
    </row>
    <row r="387" spans="1:7" x14ac:dyDescent="0.35">
      <c r="A387">
        <v>2018</v>
      </c>
      <c r="B387" t="s">
        <v>96</v>
      </c>
      <c r="C387" t="s">
        <v>82</v>
      </c>
      <c r="D387" t="s">
        <v>79</v>
      </c>
      <c r="E387" s="3">
        <v>2000</v>
      </c>
      <c r="F387" s="3">
        <v>91547662</v>
      </c>
      <c r="G387" t="s">
        <v>189</v>
      </c>
    </row>
    <row r="388" spans="1:7" x14ac:dyDescent="0.35">
      <c r="A388">
        <v>2018</v>
      </c>
      <c r="B388" t="s">
        <v>96</v>
      </c>
      <c r="C388" t="s">
        <v>82</v>
      </c>
      <c r="D388" t="s">
        <v>79</v>
      </c>
      <c r="E388" s="3">
        <v>9511</v>
      </c>
      <c r="F388" s="3">
        <v>373407240</v>
      </c>
      <c r="G388" t="s">
        <v>151</v>
      </c>
    </row>
    <row r="389" spans="1:7" x14ac:dyDescent="0.35">
      <c r="A389">
        <v>2018</v>
      </c>
      <c r="B389" t="s">
        <v>98</v>
      </c>
      <c r="C389" t="s">
        <v>32</v>
      </c>
      <c r="D389" t="s">
        <v>79</v>
      </c>
      <c r="E389" s="3">
        <v>210334</v>
      </c>
      <c r="F389" s="3">
        <v>6797458472</v>
      </c>
      <c r="G389" t="s">
        <v>170</v>
      </c>
    </row>
    <row r="390" spans="1:7" x14ac:dyDescent="0.35">
      <c r="A390">
        <v>2018</v>
      </c>
      <c r="B390" t="s">
        <v>98</v>
      </c>
      <c r="C390" t="s">
        <v>32</v>
      </c>
      <c r="D390" t="s">
        <v>79</v>
      </c>
      <c r="E390" s="3">
        <v>78708</v>
      </c>
      <c r="F390" s="3">
        <v>2688419533</v>
      </c>
      <c r="G390" t="s">
        <v>133</v>
      </c>
    </row>
    <row r="391" spans="1:7" x14ac:dyDescent="0.35">
      <c r="A391">
        <v>2018</v>
      </c>
      <c r="B391" t="s">
        <v>98</v>
      </c>
      <c r="C391" t="s">
        <v>32</v>
      </c>
      <c r="D391" t="s">
        <v>79</v>
      </c>
      <c r="E391" s="3">
        <v>87001</v>
      </c>
      <c r="F391" s="3">
        <v>2942479670</v>
      </c>
      <c r="G391" t="s">
        <v>190</v>
      </c>
    </row>
    <row r="392" spans="1:7" x14ac:dyDescent="0.35">
      <c r="A392">
        <v>2018</v>
      </c>
      <c r="B392" t="s">
        <v>99</v>
      </c>
      <c r="C392" t="s">
        <v>32</v>
      </c>
      <c r="D392" t="s">
        <v>79</v>
      </c>
      <c r="E392" s="3">
        <v>6549</v>
      </c>
      <c r="F392" s="3">
        <v>154925989</v>
      </c>
      <c r="G392" t="s">
        <v>149</v>
      </c>
    </row>
    <row r="393" spans="1:7" x14ac:dyDescent="0.35">
      <c r="A393">
        <v>2018</v>
      </c>
      <c r="B393" t="s">
        <v>99</v>
      </c>
      <c r="C393" t="s">
        <v>32</v>
      </c>
      <c r="D393" t="s">
        <v>79</v>
      </c>
      <c r="E393" s="3">
        <v>26501</v>
      </c>
      <c r="F393" s="3">
        <v>689625680</v>
      </c>
      <c r="G393" t="s">
        <v>158</v>
      </c>
    </row>
    <row r="394" spans="1:7" x14ac:dyDescent="0.35">
      <c r="A394">
        <v>2018</v>
      </c>
      <c r="B394" t="s">
        <v>99</v>
      </c>
      <c r="C394" t="s">
        <v>32</v>
      </c>
      <c r="D394" t="s">
        <v>79</v>
      </c>
      <c r="E394" s="3">
        <v>4001</v>
      </c>
      <c r="F394" s="3">
        <v>100796419</v>
      </c>
      <c r="G394" t="s">
        <v>146</v>
      </c>
    </row>
    <row r="395" spans="1:7" x14ac:dyDescent="0.35">
      <c r="A395">
        <v>2018</v>
      </c>
      <c r="B395" t="s">
        <v>99</v>
      </c>
      <c r="C395" t="s">
        <v>32</v>
      </c>
      <c r="D395" t="s">
        <v>79</v>
      </c>
      <c r="E395" s="3">
        <v>14995</v>
      </c>
      <c r="F395" s="3">
        <v>756206179</v>
      </c>
      <c r="G395" t="s">
        <v>161</v>
      </c>
    </row>
    <row r="396" spans="1:7" x14ac:dyDescent="0.35">
      <c r="A396">
        <v>2018</v>
      </c>
      <c r="B396" t="s">
        <v>99</v>
      </c>
      <c r="C396" t="s">
        <v>32</v>
      </c>
      <c r="D396" t="s">
        <v>79</v>
      </c>
      <c r="E396" s="3">
        <v>4300</v>
      </c>
      <c r="F396" s="3">
        <v>253486732</v>
      </c>
      <c r="G396" t="s">
        <v>130</v>
      </c>
    </row>
    <row r="397" spans="1:7" x14ac:dyDescent="0.35">
      <c r="A397">
        <v>2018</v>
      </c>
      <c r="B397" t="s">
        <v>99</v>
      </c>
      <c r="C397" t="s">
        <v>32</v>
      </c>
      <c r="D397" t="s">
        <v>79</v>
      </c>
      <c r="E397" s="3">
        <v>135</v>
      </c>
      <c r="F397" s="3">
        <v>10578120</v>
      </c>
      <c r="G397" t="s">
        <v>191</v>
      </c>
    </row>
    <row r="398" spans="1:7" x14ac:dyDescent="0.35">
      <c r="A398">
        <v>2018</v>
      </c>
      <c r="B398" t="s">
        <v>99</v>
      </c>
      <c r="C398" t="s">
        <v>32</v>
      </c>
      <c r="D398" t="s">
        <v>79</v>
      </c>
      <c r="E398" s="3">
        <v>41096</v>
      </c>
      <c r="F398" s="3">
        <v>1080423078</v>
      </c>
      <c r="G398" t="s">
        <v>162</v>
      </c>
    </row>
    <row r="399" spans="1:7" x14ac:dyDescent="0.35">
      <c r="A399">
        <v>2018</v>
      </c>
      <c r="B399" t="s">
        <v>99</v>
      </c>
      <c r="C399" t="s">
        <v>32</v>
      </c>
      <c r="D399" t="s">
        <v>79</v>
      </c>
      <c r="E399" s="3">
        <v>1350</v>
      </c>
      <c r="F399" s="3">
        <v>69192820</v>
      </c>
      <c r="G399" t="s">
        <v>188</v>
      </c>
    </row>
    <row r="400" spans="1:7" x14ac:dyDescent="0.35">
      <c r="A400">
        <v>2018</v>
      </c>
      <c r="B400" t="s">
        <v>105</v>
      </c>
      <c r="C400" t="s">
        <v>102</v>
      </c>
      <c r="D400" t="s">
        <v>79</v>
      </c>
      <c r="E400" s="3">
        <v>32034</v>
      </c>
      <c r="F400" s="3">
        <v>290436302</v>
      </c>
      <c r="G400" t="s">
        <v>127</v>
      </c>
    </row>
    <row r="401" spans="1:7" x14ac:dyDescent="0.35">
      <c r="A401">
        <v>2018</v>
      </c>
      <c r="B401" t="s">
        <v>108</v>
      </c>
      <c r="C401" t="s">
        <v>84</v>
      </c>
      <c r="D401" t="s">
        <v>79</v>
      </c>
      <c r="E401" s="8">
        <v>4.4598964299999997</v>
      </c>
      <c r="F401" s="3">
        <v>101780154907</v>
      </c>
      <c r="G401" t="s">
        <v>133</v>
      </c>
    </row>
    <row r="402" spans="1:7" x14ac:dyDescent="0.35">
      <c r="A402">
        <v>2018</v>
      </c>
      <c r="B402" t="s">
        <v>108</v>
      </c>
      <c r="C402" t="s">
        <v>85</v>
      </c>
      <c r="D402" t="s">
        <v>79</v>
      </c>
      <c r="E402" s="8">
        <v>0.28999327000000003</v>
      </c>
      <c r="F402" s="3">
        <v>80632431</v>
      </c>
      <c r="G402" t="s">
        <v>133</v>
      </c>
    </row>
    <row r="403" spans="1:7" x14ac:dyDescent="0.35">
      <c r="A403">
        <v>2019</v>
      </c>
      <c r="B403" t="s">
        <v>104</v>
      </c>
      <c r="C403" t="s">
        <v>102</v>
      </c>
      <c r="D403" t="s">
        <v>79</v>
      </c>
      <c r="E403" s="6">
        <v>300</v>
      </c>
      <c r="F403" s="3">
        <v>2550000</v>
      </c>
      <c r="G403" t="s">
        <v>127</v>
      </c>
    </row>
    <row r="404" spans="1:7" x14ac:dyDescent="0.35">
      <c r="A404">
        <v>2019</v>
      </c>
      <c r="B404" t="s">
        <v>105</v>
      </c>
      <c r="C404" t="s">
        <v>192</v>
      </c>
      <c r="D404" t="s">
        <v>79</v>
      </c>
      <c r="E404" s="6">
        <v>0.22900000000000001</v>
      </c>
      <c r="F404" s="3">
        <v>196786</v>
      </c>
      <c r="G404" t="s">
        <v>147</v>
      </c>
    </row>
    <row r="405" spans="1:7" x14ac:dyDescent="0.35">
      <c r="A405">
        <v>2019</v>
      </c>
      <c r="B405" t="s">
        <v>105</v>
      </c>
      <c r="C405" t="s">
        <v>192</v>
      </c>
      <c r="D405" t="s">
        <v>79</v>
      </c>
      <c r="E405" s="6">
        <v>64610</v>
      </c>
      <c r="F405" s="3">
        <v>534230281</v>
      </c>
      <c r="G405" t="s">
        <v>127</v>
      </c>
    </row>
    <row r="406" spans="1:7" x14ac:dyDescent="0.35">
      <c r="A406">
        <v>2019</v>
      </c>
      <c r="B406" t="s">
        <v>86</v>
      </c>
      <c r="C406" t="s">
        <v>82</v>
      </c>
      <c r="D406" t="s">
        <v>79</v>
      </c>
      <c r="E406" s="6">
        <v>86870.8</v>
      </c>
      <c r="F406" s="3">
        <v>3572174000</v>
      </c>
      <c r="G406" t="s">
        <v>127</v>
      </c>
    </row>
    <row r="407" spans="1:7" x14ac:dyDescent="0.35">
      <c r="A407">
        <v>2019</v>
      </c>
      <c r="B407" t="s">
        <v>86</v>
      </c>
      <c r="C407" t="s">
        <v>82</v>
      </c>
      <c r="D407" t="s">
        <v>79</v>
      </c>
      <c r="E407" s="6">
        <v>700</v>
      </c>
      <c r="F407" s="3">
        <v>26950000</v>
      </c>
      <c r="G407" t="s">
        <v>129</v>
      </c>
    </row>
    <row r="408" spans="1:7" x14ac:dyDescent="0.35">
      <c r="A408">
        <v>2019</v>
      </c>
      <c r="B408" t="s">
        <v>86</v>
      </c>
      <c r="C408" t="s">
        <v>82</v>
      </c>
      <c r="D408" t="s">
        <v>79</v>
      </c>
      <c r="E408" s="6">
        <v>697.8</v>
      </c>
      <c r="F408" s="3">
        <v>35509500</v>
      </c>
      <c r="G408" t="s">
        <v>128</v>
      </c>
    </row>
    <row r="409" spans="1:7" x14ac:dyDescent="0.35">
      <c r="A409">
        <v>2019</v>
      </c>
      <c r="B409" t="s">
        <v>86</v>
      </c>
      <c r="C409" t="s">
        <v>82</v>
      </c>
      <c r="D409" t="s">
        <v>79</v>
      </c>
      <c r="E409" s="6">
        <v>873956.7</v>
      </c>
      <c r="F409" s="3">
        <v>37783173175</v>
      </c>
      <c r="G409" t="s">
        <v>130</v>
      </c>
    </row>
    <row r="410" spans="1:7" x14ac:dyDescent="0.35">
      <c r="A410">
        <v>2019</v>
      </c>
      <c r="B410" t="s">
        <v>86</v>
      </c>
      <c r="C410" t="s">
        <v>82</v>
      </c>
      <c r="D410" t="s">
        <v>79</v>
      </c>
      <c r="E410" s="6">
        <v>3000</v>
      </c>
      <c r="F410" s="3">
        <v>121000000</v>
      </c>
      <c r="G410" t="s">
        <v>131</v>
      </c>
    </row>
    <row r="411" spans="1:7" x14ac:dyDescent="0.35">
      <c r="A411">
        <v>2019</v>
      </c>
      <c r="B411" t="s">
        <v>96</v>
      </c>
      <c r="C411" t="s">
        <v>82</v>
      </c>
      <c r="D411" t="s">
        <v>79</v>
      </c>
      <c r="E411" s="6">
        <v>15168.04</v>
      </c>
      <c r="F411" s="3">
        <v>583132600</v>
      </c>
      <c r="G411" t="s">
        <v>127</v>
      </c>
    </row>
    <row r="412" spans="1:7" x14ac:dyDescent="0.35">
      <c r="A412">
        <v>2019</v>
      </c>
      <c r="B412" t="s">
        <v>96</v>
      </c>
      <c r="C412" t="s">
        <v>82</v>
      </c>
      <c r="D412" t="s">
        <v>79</v>
      </c>
      <c r="E412" s="6">
        <v>280</v>
      </c>
      <c r="F412" s="3">
        <v>10920000</v>
      </c>
      <c r="G412" t="s">
        <v>160</v>
      </c>
    </row>
    <row r="413" spans="1:7" x14ac:dyDescent="0.35">
      <c r="A413">
        <v>2019</v>
      </c>
      <c r="B413" t="s">
        <v>96</v>
      </c>
      <c r="C413" t="s">
        <v>82</v>
      </c>
      <c r="D413" t="s">
        <v>79</v>
      </c>
      <c r="E413" s="6">
        <v>15122</v>
      </c>
      <c r="F413" s="3">
        <v>593149480</v>
      </c>
      <c r="G413" t="s">
        <v>128</v>
      </c>
    </row>
    <row r="414" spans="1:7" x14ac:dyDescent="0.35">
      <c r="A414">
        <v>2019</v>
      </c>
      <c r="B414" t="s">
        <v>96</v>
      </c>
      <c r="C414" t="s">
        <v>82</v>
      </c>
      <c r="D414" t="s">
        <v>79</v>
      </c>
      <c r="E414" s="6">
        <v>411969</v>
      </c>
      <c r="F414" s="3">
        <v>16042005860</v>
      </c>
      <c r="G414" t="s">
        <v>130</v>
      </c>
    </row>
    <row r="415" spans="1:7" x14ac:dyDescent="0.35">
      <c r="A415">
        <v>2019</v>
      </c>
      <c r="B415" t="s">
        <v>96</v>
      </c>
      <c r="C415" t="s">
        <v>82</v>
      </c>
      <c r="D415" t="s">
        <v>79</v>
      </c>
      <c r="E415" s="6">
        <v>1000</v>
      </c>
      <c r="F415" s="3">
        <v>30825600</v>
      </c>
      <c r="G415" t="s">
        <v>151</v>
      </c>
    </row>
    <row r="416" spans="1:7" x14ac:dyDescent="0.35">
      <c r="A416">
        <v>2019</v>
      </c>
      <c r="B416" t="s">
        <v>77</v>
      </c>
      <c r="C416" t="s">
        <v>82</v>
      </c>
      <c r="D416" t="s">
        <v>79</v>
      </c>
      <c r="E416" s="6">
        <v>35</v>
      </c>
      <c r="F416" s="3">
        <v>1400000</v>
      </c>
      <c r="G416" t="s">
        <v>159</v>
      </c>
    </row>
    <row r="417" spans="1:7" x14ac:dyDescent="0.35">
      <c r="A417">
        <v>2019</v>
      </c>
      <c r="B417" t="s">
        <v>77</v>
      </c>
      <c r="C417" t="s">
        <v>82</v>
      </c>
      <c r="D417" t="s">
        <v>79</v>
      </c>
      <c r="E417" s="6">
        <v>25699.73</v>
      </c>
      <c r="F417" s="3">
        <v>1122957948</v>
      </c>
      <c r="G417" t="s">
        <v>127</v>
      </c>
    </row>
    <row r="418" spans="1:7" x14ac:dyDescent="0.35">
      <c r="A418">
        <v>2019</v>
      </c>
      <c r="B418" t="s">
        <v>77</v>
      </c>
      <c r="C418" t="s">
        <v>82</v>
      </c>
      <c r="D418" t="s">
        <v>79</v>
      </c>
      <c r="E418" s="6">
        <v>790</v>
      </c>
      <c r="F418" s="3">
        <v>31600000</v>
      </c>
      <c r="G418" t="s">
        <v>129</v>
      </c>
    </row>
    <row r="419" spans="1:7" x14ac:dyDescent="0.35">
      <c r="A419">
        <v>2019</v>
      </c>
      <c r="B419" t="s">
        <v>77</v>
      </c>
      <c r="C419" t="s">
        <v>82</v>
      </c>
      <c r="D419" t="s">
        <v>79</v>
      </c>
      <c r="E419" s="6">
        <v>5256</v>
      </c>
      <c r="F419" s="3">
        <v>282330000</v>
      </c>
      <c r="G419" t="s">
        <v>128</v>
      </c>
    </row>
    <row r="420" spans="1:7" x14ac:dyDescent="0.35">
      <c r="A420">
        <v>2019</v>
      </c>
      <c r="B420" t="s">
        <v>77</v>
      </c>
      <c r="C420" t="s">
        <v>82</v>
      </c>
      <c r="D420" t="s">
        <v>79</v>
      </c>
      <c r="E420" s="6">
        <v>309554</v>
      </c>
      <c r="F420" s="3">
        <v>13294733480</v>
      </c>
      <c r="G420" t="s">
        <v>130</v>
      </c>
    </row>
    <row r="421" spans="1:7" x14ac:dyDescent="0.35">
      <c r="A421">
        <v>2019</v>
      </c>
      <c r="B421" t="s">
        <v>77</v>
      </c>
      <c r="C421" t="s">
        <v>82</v>
      </c>
      <c r="D421" t="s">
        <v>79</v>
      </c>
      <c r="E421" s="6">
        <v>3716</v>
      </c>
      <c r="F421" s="3">
        <v>148640000</v>
      </c>
      <c r="G421" t="s">
        <v>131</v>
      </c>
    </row>
    <row r="422" spans="1:7" x14ac:dyDescent="0.35">
      <c r="A422">
        <v>2019</v>
      </c>
      <c r="B422" t="s">
        <v>108</v>
      </c>
      <c r="C422" t="s">
        <v>84</v>
      </c>
      <c r="D422" t="s">
        <v>79</v>
      </c>
      <c r="E422" s="8">
        <v>6.2210000000000001</v>
      </c>
      <c r="F422" s="3">
        <v>151885748355</v>
      </c>
      <c r="G422" t="s">
        <v>133</v>
      </c>
    </row>
    <row r="423" spans="1:7" x14ac:dyDescent="0.35">
      <c r="A423">
        <v>2019</v>
      </c>
      <c r="B423" t="s">
        <v>83</v>
      </c>
      <c r="C423" t="s">
        <v>84</v>
      </c>
      <c r="D423" t="s">
        <v>79</v>
      </c>
      <c r="E423" s="8">
        <v>7.8449999999999998</v>
      </c>
      <c r="F423" s="3">
        <v>189853050512</v>
      </c>
      <c r="G423" t="s">
        <v>133</v>
      </c>
    </row>
    <row r="424" spans="1:7" x14ac:dyDescent="0.35">
      <c r="A424">
        <v>2019</v>
      </c>
      <c r="B424" t="s">
        <v>99</v>
      </c>
      <c r="C424" t="s">
        <v>32</v>
      </c>
      <c r="D424" t="s">
        <v>79</v>
      </c>
      <c r="E424" s="6">
        <v>38807.328000000001</v>
      </c>
      <c r="F424" s="3">
        <v>1053061182</v>
      </c>
      <c r="G424" t="s">
        <v>149</v>
      </c>
    </row>
    <row r="425" spans="1:7" x14ac:dyDescent="0.35">
      <c r="A425">
        <v>2019</v>
      </c>
      <c r="B425" t="s">
        <v>99</v>
      </c>
      <c r="C425" t="s">
        <v>32</v>
      </c>
      <c r="D425" t="s">
        <v>79</v>
      </c>
      <c r="E425" s="6">
        <v>540</v>
      </c>
      <c r="F425" s="3">
        <v>33635941</v>
      </c>
      <c r="G425" t="s">
        <v>147</v>
      </c>
    </row>
    <row r="426" spans="1:7" x14ac:dyDescent="0.35">
      <c r="A426">
        <v>2019</v>
      </c>
      <c r="B426" t="s">
        <v>99</v>
      </c>
      <c r="C426" t="s">
        <v>32</v>
      </c>
      <c r="D426" t="s">
        <v>79</v>
      </c>
      <c r="E426" s="6">
        <v>600</v>
      </c>
      <c r="F426" s="3">
        <v>46009041</v>
      </c>
      <c r="G426" t="s">
        <v>160</v>
      </c>
    </row>
    <row r="427" spans="1:7" x14ac:dyDescent="0.35">
      <c r="A427">
        <v>2019</v>
      </c>
      <c r="B427" t="s">
        <v>99</v>
      </c>
      <c r="C427" t="s">
        <v>32</v>
      </c>
      <c r="D427" t="s">
        <v>79</v>
      </c>
      <c r="E427" s="6">
        <v>6306.3649999999998</v>
      </c>
      <c r="F427" s="3">
        <v>177601263</v>
      </c>
      <c r="G427" t="s">
        <v>146</v>
      </c>
    </row>
    <row r="428" spans="1:7" x14ac:dyDescent="0.35">
      <c r="A428">
        <v>2019</v>
      </c>
      <c r="B428" t="s">
        <v>99</v>
      </c>
      <c r="C428" t="s">
        <v>32</v>
      </c>
      <c r="D428" t="s">
        <v>79</v>
      </c>
      <c r="E428" s="6">
        <v>2214</v>
      </c>
      <c r="F428" s="3">
        <v>167689729</v>
      </c>
      <c r="G428" t="s">
        <v>130</v>
      </c>
    </row>
    <row r="429" spans="1:7" x14ac:dyDescent="0.35">
      <c r="A429">
        <v>2019</v>
      </c>
      <c r="B429" t="s">
        <v>99</v>
      </c>
      <c r="C429" t="s">
        <v>32</v>
      </c>
      <c r="D429" t="s">
        <v>79</v>
      </c>
      <c r="E429" s="6">
        <v>325</v>
      </c>
      <c r="F429" s="3">
        <v>22390853</v>
      </c>
      <c r="G429" t="s">
        <v>132</v>
      </c>
    </row>
    <row r="430" spans="1:7" x14ac:dyDescent="0.35">
      <c r="A430">
        <v>2019</v>
      </c>
      <c r="B430" t="s">
        <v>98</v>
      </c>
      <c r="C430" t="s">
        <v>32</v>
      </c>
      <c r="D430" t="s">
        <v>79</v>
      </c>
      <c r="E430" s="6">
        <v>5504.2809999999999</v>
      </c>
      <c r="F430" s="3">
        <v>237885351</v>
      </c>
      <c r="G430" t="s">
        <v>159</v>
      </c>
    </row>
    <row r="431" spans="1:7" x14ac:dyDescent="0.35">
      <c r="A431">
        <v>2019</v>
      </c>
      <c r="B431" t="s">
        <v>98</v>
      </c>
      <c r="C431" t="s">
        <v>32</v>
      </c>
      <c r="D431" t="s">
        <v>79</v>
      </c>
      <c r="E431" s="6">
        <v>206661.47200000001</v>
      </c>
      <c r="F431" s="3">
        <v>8590562499</v>
      </c>
      <c r="G431" t="s">
        <v>170</v>
      </c>
    </row>
    <row r="432" spans="1:7" x14ac:dyDescent="0.35">
      <c r="A432">
        <v>2019</v>
      </c>
      <c r="B432" t="s">
        <v>98</v>
      </c>
      <c r="C432" t="s">
        <v>32</v>
      </c>
      <c r="D432" t="s">
        <v>79</v>
      </c>
      <c r="E432" s="6">
        <v>48349.124000000003</v>
      </c>
      <c r="F432" s="3">
        <v>1996738634</v>
      </c>
      <c r="G432" t="s">
        <v>162</v>
      </c>
    </row>
    <row r="433" spans="1:7" x14ac:dyDescent="0.35">
      <c r="A433">
        <v>2019</v>
      </c>
      <c r="B433" t="s">
        <v>98</v>
      </c>
      <c r="C433" t="s">
        <v>32</v>
      </c>
      <c r="D433" t="s">
        <v>79</v>
      </c>
      <c r="E433" s="6">
        <v>1028.934</v>
      </c>
      <c r="F433" s="3">
        <v>49020084</v>
      </c>
      <c r="G433" t="s">
        <v>163</v>
      </c>
    </row>
    <row r="434" spans="1:7" x14ac:dyDescent="0.35">
      <c r="A434">
        <v>2019</v>
      </c>
      <c r="B434" t="s">
        <v>98</v>
      </c>
      <c r="C434" t="s">
        <v>32</v>
      </c>
      <c r="D434" t="s">
        <v>79</v>
      </c>
      <c r="E434" s="6">
        <v>51053.338000000003</v>
      </c>
      <c r="F434" s="3">
        <v>1009154057</v>
      </c>
      <c r="G434" t="s">
        <v>133</v>
      </c>
    </row>
    <row r="435" spans="1:7" x14ac:dyDescent="0.35">
      <c r="A435">
        <v>2019</v>
      </c>
      <c r="B435" t="s">
        <v>98</v>
      </c>
      <c r="C435" t="s">
        <v>32</v>
      </c>
      <c r="D435" t="s">
        <v>79</v>
      </c>
      <c r="E435" s="6">
        <v>225802.46900000001</v>
      </c>
      <c r="F435" s="3">
        <v>8947306557</v>
      </c>
      <c r="G435" t="s">
        <v>190</v>
      </c>
    </row>
    <row r="436" spans="1:7" x14ac:dyDescent="0.35">
      <c r="A436">
        <v>2019</v>
      </c>
      <c r="B436" t="s">
        <v>89</v>
      </c>
      <c r="C436" t="s">
        <v>193</v>
      </c>
      <c r="D436" t="s">
        <v>79</v>
      </c>
      <c r="E436" s="6">
        <v>2.0430000000000001</v>
      </c>
      <c r="F436" s="3">
        <v>4662145</v>
      </c>
      <c r="G436" t="s">
        <v>145</v>
      </c>
    </row>
    <row r="437" spans="1:7" x14ac:dyDescent="0.35">
      <c r="A437">
        <v>2019</v>
      </c>
      <c r="B437" t="s">
        <v>89</v>
      </c>
      <c r="C437" t="s">
        <v>30</v>
      </c>
      <c r="D437" t="s">
        <v>79</v>
      </c>
      <c r="E437" s="6">
        <v>439.92</v>
      </c>
      <c r="F437" s="3">
        <v>175825218</v>
      </c>
      <c r="G437" t="s">
        <v>165</v>
      </c>
    </row>
    <row r="438" spans="1:7" x14ac:dyDescent="0.35">
      <c r="A438">
        <v>2019</v>
      </c>
      <c r="B438" t="s">
        <v>89</v>
      </c>
      <c r="C438" t="s">
        <v>30</v>
      </c>
      <c r="D438" t="s">
        <v>79</v>
      </c>
      <c r="E438" s="6">
        <v>35755.440000000002</v>
      </c>
      <c r="F438" s="3">
        <v>3277431091</v>
      </c>
      <c r="G438" t="s">
        <v>179</v>
      </c>
    </row>
    <row r="439" spans="1:7" x14ac:dyDescent="0.35">
      <c r="A439">
        <v>2019</v>
      </c>
      <c r="B439" t="s">
        <v>89</v>
      </c>
      <c r="C439" t="s">
        <v>30</v>
      </c>
      <c r="D439" t="s">
        <v>79</v>
      </c>
      <c r="E439" s="6">
        <v>50251.474999999999</v>
      </c>
      <c r="F439" s="3">
        <v>6509347684</v>
      </c>
      <c r="G439" t="s">
        <v>138</v>
      </c>
    </row>
    <row r="440" spans="1:7" x14ac:dyDescent="0.35">
      <c r="A440">
        <v>2019</v>
      </c>
      <c r="B440" t="s">
        <v>89</v>
      </c>
      <c r="C440" t="s">
        <v>30</v>
      </c>
      <c r="D440" t="s">
        <v>79</v>
      </c>
      <c r="E440" s="6">
        <v>1060.0340000000001</v>
      </c>
      <c r="F440" s="3">
        <v>586821696</v>
      </c>
      <c r="G440" t="s">
        <v>167</v>
      </c>
    </row>
    <row r="441" spans="1:7" x14ac:dyDescent="0.35">
      <c r="A441">
        <v>2019</v>
      </c>
      <c r="B441" t="s">
        <v>89</v>
      </c>
      <c r="C441" t="s">
        <v>30</v>
      </c>
      <c r="D441" t="s">
        <v>79</v>
      </c>
      <c r="E441" s="6">
        <v>640</v>
      </c>
      <c r="F441" s="3">
        <v>348132720</v>
      </c>
      <c r="G441" t="s">
        <v>183</v>
      </c>
    </row>
    <row r="442" spans="1:7" x14ac:dyDescent="0.35">
      <c r="A442">
        <v>2019</v>
      </c>
      <c r="B442" t="s">
        <v>89</v>
      </c>
      <c r="C442" t="s">
        <v>30</v>
      </c>
      <c r="D442" t="s">
        <v>79</v>
      </c>
      <c r="E442" s="6">
        <v>740</v>
      </c>
      <c r="F442" s="3">
        <v>323447690</v>
      </c>
      <c r="G442" t="s">
        <v>168</v>
      </c>
    </row>
    <row r="443" spans="1:7" x14ac:dyDescent="0.35">
      <c r="A443">
        <v>2019</v>
      </c>
      <c r="B443" t="s">
        <v>89</v>
      </c>
      <c r="C443" t="s">
        <v>30</v>
      </c>
      <c r="D443" t="s">
        <v>79</v>
      </c>
      <c r="E443" s="6">
        <v>360</v>
      </c>
      <c r="F443" s="3">
        <v>204683877</v>
      </c>
      <c r="G443" t="s">
        <v>149</v>
      </c>
    </row>
    <row r="444" spans="1:7" x14ac:dyDescent="0.35">
      <c r="A444">
        <v>2019</v>
      </c>
      <c r="B444" t="s">
        <v>89</v>
      </c>
      <c r="C444" t="s">
        <v>30</v>
      </c>
      <c r="D444" t="s">
        <v>79</v>
      </c>
      <c r="E444" s="6">
        <v>131972.63200000001</v>
      </c>
      <c r="F444" s="3">
        <v>13887462924</v>
      </c>
      <c r="G444" t="s">
        <v>140</v>
      </c>
    </row>
    <row r="445" spans="1:7" x14ac:dyDescent="0.35">
      <c r="A445">
        <v>2019</v>
      </c>
      <c r="B445" t="s">
        <v>89</v>
      </c>
      <c r="C445" t="s">
        <v>30</v>
      </c>
      <c r="D445" t="s">
        <v>79</v>
      </c>
      <c r="E445" s="6">
        <v>33003.612000000001</v>
      </c>
      <c r="F445" s="3">
        <v>2822576820</v>
      </c>
      <c r="G445" t="s">
        <v>194</v>
      </c>
    </row>
    <row r="446" spans="1:7" x14ac:dyDescent="0.35">
      <c r="A446">
        <v>2019</v>
      </c>
      <c r="B446" t="s">
        <v>89</v>
      </c>
      <c r="C446" t="s">
        <v>30</v>
      </c>
      <c r="D446" t="s">
        <v>79</v>
      </c>
      <c r="E446" s="6">
        <v>120</v>
      </c>
      <c r="F446" s="3">
        <v>76506597</v>
      </c>
      <c r="G446" t="s">
        <v>147</v>
      </c>
    </row>
    <row r="447" spans="1:7" x14ac:dyDescent="0.35">
      <c r="A447">
        <v>2019</v>
      </c>
      <c r="B447" t="s">
        <v>89</v>
      </c>
      <c r="C447" t="s">
        <v>30</v>
      </c>
      <c r="D447" t="s">
        <v>79</v>
      </c>
      <c r="E447" s="6">
        <v>1560</v>
      </c>
      <c r="F447" s="3">
        <v>666909876</v>
      </c>
      <c r="G447" t="s">
        <v>158</v>
      </c>
    </row>
    <row r="448" spans="1:7" x14ac:dyDescent="0.35">
      <c r="A448">
        <v>2019</v>
      </c>
      <c r="B448" t="s">
        <v>89</v>
      </c>
      <c r="C448" t="s">
        <v>30</v>
      </c>
      <c r="D448" t="s">
        <v>79</v>
      </c>
      <c r="E448" s="6">
        <v>10720.864</v>
      </c>
      <c r="F448" s="3">
        <v>1620371391</v>
      </c>
      <c r="G448" t="s">
        <v>164</v>
      </c>
    </row>
    <row r="449" spans="1:7" x14ac:dyDescent="0.35">
      <c r="A449">
        <v>2019</v>
      </c>
      <c r="B449" t="s">
        <v>89</v>
      </c>
      <c r="C449" t="s">
        <v>30</v>
      </c>
      <c r="D449" t="s">
        <v>79</v>
      </c>
      <c r="E449" s="6">
        <v>120</v>
      </c>
      <c r="F449" s="3">
        <v>50574672</v>
      </c>
      <c r="G449" t="s">
        <v>161</v>
      </c>
    </row>
    <row r="450" spans="1:7" x14ac:dyDescent="0.35">
      <c r="A450">
        <v>2019</v>
      </c>
      <c r="B450" t="s">
        <v>89</v>
      </c>
      <c r="C450" t="s">
        <v>30</v>
      </c>
      <c r="D450" t="s">
        <v>79</v>
      </c>
      <c r="E450" s="6">
        <v>60</v>
      </c>
      <c r="F450" s="3">
        <v>25579584</v>
      </c>
      <c r="G450" t="s">
        <v>185</v>
      </c>
    </row>
    <row r="451" spans="1:7" x14ac:dyDescent="0.35">
      <c r="A451">
        <v>2019</v>
      </c>
      <c r="B451" t="s">
        <v>89</v>
      </c>
      <c r="C451" t="s">
        <v>30</v>
      </c>
      <c r="D451" t="s">
        <v>79</v>
      </c>
      <c r="E451" s="6">
        <v>12000.173000000001</v>
      </c>
      <c r="F451" s="3">
        <v>1477074834</v>
      </c>
      <c r="G451" t="s">
        <v>148</v>
      </c>
    </row>
    <row r="452" spans="1:7" x14ac:dyDescent="0.35">
      <c r="A452">
        <v>2019</v>
      </c>
      <c r="B452" t="s">
        <v>89</v>
      </c>
      <c r="C452" t="s">
        <v>30</v>
      </c>
      <c r="D452" t="s">
        <v>79</v>
      </c>
      <c r="E452" s="6">
        <v>137096.70199999999</v>
      </c>
      <c r="F452" s="3">
        <v>11805065457</v>
      </c>
      <c r="G452" t="s">
        <v>139</v>
      </c>
    </row>
    <row r="453" spans="1:7" x14ac:dyDescent="0.35">
      <c r="A453">
        <v>2019</v>
      </c>
      <c r="B453" t="s">
        <v>89</v>
      </c>
      <c r="C453" t="s">
        <v>30</v>
      </c>
      <c r="D453" t="s">
        <v>79</v>
      </c>
      <c r="E453" s="6">
        <v>440</v>
      </c>
      <c r="F453" s="3">
        <v>204756900</v>
      </c>
      <c r="G453" t="s">
        <v>144</v>
      </c>
    </row>
    <row r="454" spans="1:7" x14ac:dyDescent="0.35">
      <c r="A454">
        <v>2019</v>
      </c>
      <c r="B454" t="s">
        <v>89</v>
      </c>
      <c r="C454" t="s">
        <v>30</v>
      </c>
      <c r="D454" t="s">
        <v>79</v>
      </c>
      <c r="E454" s="6">
        <v>32689.506000000001</v>
      </c>
      <c r="F454" s="3">
        <v>2859546469</v>
      </c>
      <c r="G454" t="s">
        <v>162</v>
      </c>
    </row>
    <row r="455" spans="1:7" x14ac:dyDescent="0.35">
      <c r="A455">
        <v>2019</v>
      </c>
      <c r="B455" t="s">
        <v>89</v>
      </c>
      <c r="C455" t="s">
        <v>30</v>
      </c>
      <c r="D455" t="s">
        <v>79</v>
      </c>
      <c r="E455" s="6">
        <v>34515.169000000002</v>
      </c>
      <c r="F455" s="3">
        <v>3040784148</v>
      </c>
      <c r="G455" t="s">
        <v>151</v>
      </c>
    </row>
    <row r="456" spans="1:7" x14ac:dyDescent="0.35">
      <c r="A456">
        <v>2019</v>
      </c>
      <c r="B456" t="s">
        <v>89</v>
      </c>
      <c r="C456" t="s">
        <v>30</v>
      </c>
      <c r="D456" t="s">
        <v>79</v>
      </c>
      <c r="E456" s="6">
        <v>60.015999999999998</v>
      </c>
      <c r="F456" s="3">
        <v>24846360</v>
      </c>
      <c r="G456" t="s">
        <v>141</v>
      </c>
    </row>
    <row r="457" spans="1:7" x14ac:dyDescent="0.35">
      <c r="A457">
        <v>2019</v>
      </c>
      <c r="B457" t="s">
        <v>89</v>
      </c>
      <c r="C457" t="s">
        <v>30</v>
      </c>
      <c r="D457" t="s">
        <v>79</v>
      </c>
      <c r="E457" s="6">
        <v>35678.434000000001</v>
      </c>
      <c r="F457" s="3">
        <v>3037501898</v>
      </c>
      <c r="G457" t="s">
        <v>187</v>
      </c>
    </row>
    <row r="458" spans="1:7" x14ac:dyDescent="0.35">
      <c r="A458">
        <v>2019</v>
      </c>
      <c r="B458" t="s">
        <v>89</v>
      </c>
      <c r="C458" t="s">
        <v>30</v>
      </c>
      <c r="D458" t="s">
        <v>79</v>
      </c>
      <c r="E458" s="6">
        <v>16268.802</v>
      </c>
      <c r="F458" s="3">
        <v>2114063389</v>
      </c>
      <c r="G458" t="s">
        <v>133</v>
      </c>
    </row>
    <row r="459" spans="1:7" x14ac:dyDescent="0.35">
      <c r="A459">
        <v>2019</v>
      </c>
      <c r="B459" t="s">
        <v>89</v>
      </c>
      <c r="C459" t="s">
        <v>30</v>
      </c>
      <c r="D459" t="s">
        <v>79</v>
      </c>
      <c r="E459" s="6">
        <v>400</v>
      </c>
      <c r="F459" s="3">
        <v>169857630</v>
      </c>
      <c r="G459" t="s">
        <v>174</v>
      </c>
    </row>
    <row r="460" spans="1:7" x14ac:dyDescent="0.35">
      <c r="A460">
        <v>2019</v>
      </c>
      <c r="B460" t="s">
        <v>89</v>
      </c>
      <c r="C460" t="s">
        <v>30</v>
      </c>
      <c r="D460" t="s">
        <v>79</v>
      </c>
      <c r="E460" s="6">
        <v>20</v>
      </c>
      <c r="F460" s="3">
        <v>13712600</v>
      </c>
      <c r="G460" t="s">
        <v>195</v>
      </c>
    </row>
    <row r="461" spans="1:7" x14ac:dyDescent="0.35">
      <c r="A461">
        <v>2019</v>
      </c>
      <c r="B461" t="s">
        <v>89</v>
      </c>
      <c r="C461" t="s">
        <v>26</v>
      </c>
      <c r="D461" t="s">
        <v>79</v>
      </c>
      <c r="E461" s="6">
        <v>60</v>
      </c>
      <c r="F461" s="3">
        <v>25934856</v>
      </c>
      <c r="G461" t="s">
        <v>165</v>
      </c>
    </row>
    <row r="462" spans="1:7" x14ac:dyDescent="0.35">
      <c r="A462">
        <v>2019</v>
      </c>
      <c r="B462" t="s">
        <v>89</v>
      </c>
      <c r="C462" t="s">
        <v>26</v>
      </c>
      <c r="D462" t="s">
        <v>79</v>
      </c>
      <c r="E462" s="6">
        <v>793.02</v>
      </c>
      <c r="F462" s="3">
        <v>697609772</v>
      </c>
      <c r="G462" t="s">
        <v>142</v>
      </c>
    </row>
    <row r="463" spans="1:7" x14ac:dyDescent="0.35">
      <c r="A463">
        <v>2019</v>
      </c>
      <c r="B463" t="s">
        <v>89</v>
      </c>
      <c r="C463" t="s">
        <v>26</v>
      </c>
      <c r="D463" t="s">
        <v>79</v>
      </c>
      <c r="E463" s="6">
        <v>1509.951</v>
      </c>
      <c r="F463" s="3">
        <v>1510675462</v>
      </c>
      <c r="G463" t="s">
        <v>145</v>
      </c>
    </row>
    <row r="464" spans="1:7" x14ac:dyDescent="0.35">
      <c r="A464">
        <v>2019</v>
      </c>
      <c r="B464" t="s">
        <v>89</v>
      </c>
      <c r="C464" t="s">
        <v>26</v>
      </c>
      <c r="D464" t="s">
        <v>79</v>
      </c>
      <c r="E464" s="6">
        <v>3545.2190000000001</v>
      </c>
      <c r="F464" s="3">
        <v>3132088193</v>
      </c>
      <c r="G464" t="s">
        <v>179</v>
      </c>
    </row>
    <row r="465" spans="1:7" x14ac:dyDescent="0.35">
      <c r="A465">
        <v>2019</v>
      </c>
      <c r="B465" t="s">
        <v>89</v>
      </c>
      <c r="C465" t="s">
        <v>26</v>
      </c>
      <c r="D465" t="s">
        <v>79</v>
      </c>
      <c r="E465" s="6">
        <v>432.59</v>
      </c>
      <c r="F465" s="3">
        <v>407332695</v>
      </c>
      <c r="G465" t="s">
        <v>143</v>
      </c>
    </row>
    <row r="466" spans="1:7" x14ac:dyDescent="0.35">
      <c r="A466">
        <v>2019</v>
      </c>
      <c r="B466" t="s">
        <v>89</v>
      </c>
      <c r="C466" t="s">
        <v>26</v>
      </c>
      <c r="D466" t="s">
        <v>79</v>
      </c>
      <c r="E466" s="6">
        <v>18211.957999999999</v>
      </c>
      <c r="F466" s="3">
        <v>9588818298</v>
      </c>
      <c r="G466" t="s">
        <v>138</v>
      </c>
    </row>
    <row r="467" spans="1:7" x14ac:dyDescent="0.35">
      <c r="A467">
        <v>2019</v>
      </c>
      <c r="B467" t="s">
        <v>89</v>
      </c>
      <c r="C467" t="s">
        <v>26</v>
      </c>
      <c r="D467" t="s">
        <v>79</v>
      </c>
      <c r="E467" s="6">
        <v>480</v>
      </c>
      <c r="F467" s="3">
        <v>287176700</v>
      </c>
      <c r="G467" t="s">
        <v>167</v>
      </c>
    </row>
    <row r="468" spans="1:7" x14ac:dyDescent="0.35">
      <c r="A468">
        <v>2019</v>
      </c>
      <c r="B468" t="s">
        <v>89</v>
      </c>
      <c r="C468" t="s">
        <v>26</v>
      </c>
      <c r="D468" t="s">
        <v>79</v>
      </c>
      <c r="E468" s="6">
        <v>200</v>
      </c>
      <c r="F468" s="3">
        <v>125996450</v>
      </c>
      <c r="G468" t="s">
        <v>183</v>
      </c>
    </row>
    <row r="469" spans="1:7" x14ac:dyDescent="0.35">
      <c r="A469">
        <v>2019</v>
      </c>
      <c r="B469" t="s">
        <v>89</v>
      </c>
      <c r="C469" t="s">
        <v>26</v>
      </c>
      <c r="D469" t="s">
        <v>79</v>
      </c>
      <c r="E469" s="6">
        <v>18835.03</v>
      </c>
      <c r="F469" s="3">
        <v>16759043528</v>
      </c>
      <c r="G469" t="s">
        <v>149</v>
      </c>
    </row>
    <row r="470" spans="1:7" x14ac:dyDescent="0.35">
      <c r="A470">
        <v>2019</v>
      </c>
      <c r="B470" t="s">
        <v>89</v>
      </c>
      <c r="C470" t="s">
        <v>26</v>
      </c>
      <c r="D470" t="s">
        <v>79</v>
      </c>
      <c r="E470" s="6">
        <v>5856.48</v>
      </c>
      <c r="F470" s="3">
        <v>5698452377</v>
      </c>
      <c r="G470" t="s">
        <v>140</v>
      </c>
    </row>
    <row r="471" spans="1:7" x14ac:dyDescent="0.35">
      <c r="A471">
        <v>2019</v>
      </c>
      <c r="B471" t="s">
        <v>89</v>
      </c>
      <c r="C471" t="s">
        <v>26</v>
      </c>
      <c r="D471" t="s">
        <v>79</v>
      </c>
      <c r="E471" s="6">
        <v>1883.97</v>
      </c>
      <c r="F471" s="3">
        <v>1768991238</v>
      </c>
      <c r="G471" t="s">
        <v>147</v>
      </c>
    </row>
    <row r="472" spans="1:7" x14ac:dyDescent="0.35">
      <c r="A472">
        <v>2019</v>
      </c>
      <c r="B472" t="s">
        <v>89</v>
      </c>
      <c r="C472" t="s">
        <v>26</v>
      </c>
      <c r="D472" t="s">
        <v>79</v>
      </c>
      <c r="E472" s="6">
        <v>1005.884</v>
      </c>
      <c r="F472" s="3">
        <v>235791515</v>
      </c>
      <c r="G472" t="s">
        <v>196</v>
      </c>
    </row>
    <row r="473" spans="1:7" x14ac:dyDescent="0.35">
      <c r="A473">
        <v>2019</v>
      </c>
      <c r="B473" t="s">
        <v>89</v>
      </c>
      <c r="C473" t="s">
        <v>26</v>
      </c>
      <c r="D473" t="s">
        <v>79</v>
      </c>
      <c r="E473" s="6">
        <v>787.56299999999999</v>
      </c>
      <c r="F473" s="3">
        <v>697884692</v>
      </c>
      <c r="G473" t="s">
        <v>158</v>
      </c>
    </row>
    <row r="474" spans="1:7" x14ac:dyDescent="0.35">
      <c r="A474">
        <v>2019</v>
      </c>
      <c r="B474" t="s">
        <v>89</v>
      </c>
      <c r="C474" t="s">
        <v>26</v>
      </c>
      <c r="D474" t="s">
        <v>79</v>
      </c>
      <c r="E474" s="6">
        <v>3019.4090000000001</v>
      </c>
      <c r="F474" s="3">
        <v>2752054212</v>
      </c>
      <c r="G474" t="s">
        <v>146</v>
      </c>
    </row>
    <row r="475" spans="1:7" x14ac:dyDescent="0.35">
      <c r="A475">
        <v>2019</v>
      </c>
      <c r="B475" t="s">
        <v>89</v>
      </c>
      <c r="C475" t="s">
        <v>26</v>
      </c>
      <c r="D475" t="s">
        <v>79</v>
      </c>
      <c r="E475" s="6">
        <v>3581.1860000000001</v>
      </c>
      <c r="F475" s="3">
        <v>3487715930</v>
      </c>
      <c r="G475" t="s">
        <v>164</v>
      </c>
    </row>
    <row r="476" spans="1:7" x14ac:dyDescent="0.35">
      <c r="A476">
        <v>2019</v>
      </c>
      <c r="B476" t="s">
        <v>89</v>
      </c>
      <c r="C476" t="s">
        <v>26</v>
      </c>
      <c r="D476" t="s">
        <v>79</v>
      </c>
      <c r="E476" s="6">
        <v>300.94600000000003</v>
      </c>
      <c r="F476" s="3">
        <v>280903277</v>
      </c>
      <c r="G476" t="s">
        <v>161</v>
      </c>
    </row>
    <row r="477" spans="1:7" x14ac:dyDescent="0.35">
      <c r="A477">
        <v>2019</v>
      </c>
      <c r="B477" t="s">
        <v>89</v>
      </c>
      <c r="C477" t="s">
        <v>26</v>
      </c>
      <c r="D477" t="s">
        <v>79</v>
      </c>
      <c r="E477" s="6">
        <v>692.35299999999995</v>
      </c>
      <c r="F477" s="3">
        <v>1318614759</v>
      </c>
      <c r="G477" t="s">
        <v>148</v>
      </c>
    </row>
    <row r="478" spans="1:7" x14ac:dyDescent="0.35">
      <c r="A478">
        <v>2019</v>
      </c>
      <c r="B478" t="s">
        <v>89</v>
      </c>
      <c r="C478" t="s">
        <v>26</v>
      </c>
      <c r="D478" t="s">
        <v>79</v>
      </c>
      <c r="E478" s="6">
        <v>881.77200000000005</v>
      </c>
      <c r="F478" s="3">
        <v>819992836</v>
      </c>
      <c r="G478" t="s">
        <v>180</v>
      </c>
    </row>
    <row r="479" spans="1:7" x14ac:dyDescent="0.35">
      <c r="A479">
        <v>2019</v>
      </c>
      <c r="B479" t="s">
        <v>89</v>
      </c>
      <c r="C479" t="s">
        <v>26</v>
      </c>
      <c r="D479" t="s">
        <v>79</v>
      </c>
      <c r="E479" s="6">
        <v>1742.8009999999999</v>
      </c>
      <c r="F479" s="3">
        <v>1510053148</v>
      </c>
      <c r="G479" t="s">
        <v>144</v>
      </c>
    </row>
    <row r="480" spans="1:7" x14ac:dyDescent="0.35">
      <c r="A480">
        <v>2019</v>
      </c>
      <c r="B480" t="s">
        <v>89</v>
      </c>
      <c r="C480" t="s">
        <v>26</v>
      </c>
      <c r="D480" t="s">
        <v>79</v>
      </c>
      <c r="E480" s="6">
        <v>529.81899999999996</v>
      </c>
      <c r="F480" s="3">
        <v>622824529</v>
      </c>
      <c r="G480" t="s">
        <v>162</v>
      </c>
    </row>
    <row r="481" spans="1:7" x14ac:dyDescent="0.35">
      <c r="A481">
        <v>2019</v>
      </c>
      <c r="B481" t="s">
        <v>89</v>
      </c>
      <c r="C481" t="s">
        <v>26</v>
      </c>
      <c r="D481" t="s">
        <v>79</v>
      </c>
      <c r="E481" s="6">
        <v>59.113999999999997</v>
      </c>
      <c r="F481" s="3">
        <v>54513959</v>
      </c>
      <c r="G481" t="s">
        <v>151</v>
      </c>
    </row>
    <row r="482" spans="1:7" x14ac:dyDescent="0.35">
      <c r="A482">
        <v>2019</v>
      </c>
      <c r="B482" t="s">
        <v>89</v>
      </c>
      <c r="C482" t="s">
        <v>26</v>
      </c>
      <c r="D482" t="s">
        <v>79</v>
      </c>
      <c r="E482" s="6">
        <v>22610.453000000001</v>
      </c>
      <c r="F482" s="3">
        <v>7952913239</v>
      </c>
      <c r="G482" t="s">
        <v>133</v>
      </c>
    </row>
    <row r="483" spans="1:7" x14ac:dyDescent="0.35">
      <c r="A483">
        <v>2019</v>
      </c>
      <c r="B483" t="s">
        <v>89</v>
      </c>
      <c r="C483" t="s">
        <v>26</v>
      </c>
      <c r="D483" t="s">
        <v>79</v>
      </c>
      <c r="E483" s="6">
        <v>1652.912</v>
      </c>
      <c r="F483" s="3">
        <v>1458268587</v>
      </c>
      <c r="G483" t="s">
        <v>150</v>
      </c>
    </row>
    <row r="484" spans="1:7" x14ac:dyDescent="0.35">
      <c r="A484">
        <v>2019</v>
      </c>
      <c r="B484" t="s">
        <v>89</v>
      </c>
      <c r="C484" t="s">
        <v>26</v>
      </c>
      <c r="D484" t="s">
        <v>79</v>
      </c>
      <c r="E484" s="6">
        <v>60</v>
      </c>
      <c r="F484" s="3">
        <v>24394860</v>
      </c>
      <c r="G484" t="s">
        <v>174</v>
      </c>
    </row>
    <row r="485" spans="1:7" x14ac:dyDescent="0.35">
      <c r="A485">
        <v>2019</v>
      </c>
      <c r="B485" t="s">
        <v>89</v>
      </c>
      <c r="C485" t="s">
        <v>26</v>
      </c>
      <c r="D485" t="s">
        <v>79</v>
      </c>
      <c r="E485" s="6">
        <v>40.012999999999998</v>
      </c>
      <c r="F485" s="3">
        <v>32994042</v>
      </c>
      <c r="G485" t="s">
        <v>195</v>
      </c>
    </row>
    <row r="486" spans="1:7" x14ac:dyDescent="0.35">
      <c r="A486">
        <v>2020</v>
      </c>
      <c r="B486" t="s">
        <v>108</v>
      </c>
      <c r="C486" t="s">
        <v>84</v>
      </c>
      <c r="D486" t="s">
        <v>79</v>
      </c>
      <c r="E486" s="8">
        <v>3.9922867599999998</v>
      </c>
      <c r="F486" s="3">
        <v>117267141286</v>
      </c>
      <c r="G486" t="s">
        <v>145</v>
      </c>
    </row>
    <row r="487" spans="1:7" x14ac:dyDescent="0.35">
      <c r="A487">
        <v>2020</v>
      </c>
      <c r="B487" t="s">
        <v>108</v>
      </c>
      <c r="C487" t="s">
        <v>84</v>
      </c>
      <c r="D487" t="s">
        <v>79</v>
      </c>
      <c r="E487" s="8">
        <v>1.3204981099999999</v>
      </c>
      <c r="F487" s="3">
        <v>39522643736</v>
      </c>
      <c r="G487" t="s">
        <v>133</v>
      </c>
    </row>
    <row r="488" spans="1:7" x14ac:dyDescent="0.35">
      <c r="A488">
        <v>2020</v>
      </c>
      <c r="B488" t="s">
        <v>83</v>
      </c>
      <c r="C488" t="s">
        <v>84</v>
      </c>
      <c r="D488" t="s">
        <v>79</v>
      </c>
      <c r="E488" s="8">
        <v>0.26437955000000002</v>
      </c>
      <c r="F488" s="3">
        <v>8692666730</v>
      </c>
      <c r="G488" t="s">
        <v>176</v>
      </c>
    </row>
    <row r="489" spans="1:7" x14ac:dyDescent="0.35">
      <c r="A489">
        <v>2020</v>
      </c>
      <c r="B489" t="s">
        <v>83</v>
      </c>
      <c r="C489" t="s">
        <v>84</v>
      </c>
      <c r="D489" t="s">
        <v>79</v>
      </c>
      <c r="E489" s="8">
        <v>6.7771365599999998</v>
      </c>
      <c r="F489" s="3">
        <v>220079268751</v>
      </c>
      <c r="G489" t="s">
        <v>133</v>
      </c>
    </row>
    <row r="490" spans="1:7" x14ac:dyDescent="0.35">
      <c r="A490">
        <v>2020</v>
      </c>
      <c r="B490" t="s">
        <v>108</v>
      </c>
      <c r="C490" t="s">
        <v>85</v>
      </c>
      <c r="D490" t="s">
        <v>79</v>
      </c>
      <c r="E490" s="8">
        <v>0.59043730000000005</v>
      </c>
      <c r="F490" s="3">
        <v>219911782</v>
      </c>
      <c r="G490" t="s">
        <v>145</v>
      </c>
    </row>
    <row r="491" spans="1:7" x14ac:dyDescent="0.35">
      <c r="A491">
        <v>2020</v>
      </c>
      <c r="B491" t="s">
        <v>108</v>
      </c>
      <c r="C491" t="s">
        <v>85</v>
      </c>
      <c r="D491" t="s">
        <v>79</v>
      </c>
      <c r="E491" s="8">
        <v>0.49970846000000002</v>
      </c>
      <c r="F491" s="3">
        <v>193308323</v>
      </c>
      <c r="G491" t="s">
        <v>133</v>
      </c>
    </row>
    <row r="492" spans="1:7" x14ac:dyDescent="0.35">
      <c r="A492">
        <v>2020</v>
      </c>
      <c r="B492" t="s">
        <v>86</v>
      </c>
      <c r="C492" t="s">
        <v>82</v>
      </c>
      <c r="D492" t="s">
        <v>79</v>
      </c>
      <c r="E492" s="3">
        <v>912826</v>
      </c>
      <c r="F492" s="3">
        <v>36347814225</v>
      </c>
      <c r="G492" t="s">
        <v>15</v>
      </c>
    </row>
    <row r="493" spans="1:7" x14ac:dyDescent="0.35">
      <c r="A493">
        <v>2020</v>
      </c>
      <c r="B493" t="s">
        <v>77</v>
      </c>
      <c r="C493" t="s">
        <v>82</v>
      </c>
      <c r="D493" t="s">
        <v>79</v>
      </c>
      <c r="E493" s="3">
        <v>55</v>
      </c>
      <c r="F493" s="3">
        <v>2200000</v>
      </c>
      <c r="G493" t="s">
        <v>159</v>
      </c>
    </row>
    <row r="494" spans="1:7" x14ac:dyDescent="0.35">
      <c r="A494">
        <v>2020</v>
      </c>
      <c r="B494" t="s">
        <v>77</v>
      </c>
      <c r="C494" t="s">
        <v>82</v>
      </c>
      <c r="D494" t="s">
        <v>79</v>
      </c>
      <c r="E494" s="3">
        <v>47997</v>
      </c>
      <c r="F494" s="3">
        <v>1895035605</v>
      </c>
      <c r="G494" t="s">
        <v>127</v>
      </c>
    </row>
    <row r="495" spans="1:7" x14ac:dyDescent="0.35">
      <c r="A495">
        <v>2020</v>
      </c>
      <c r="B495" t="s">
        <v>77</v>
      </c>
      <c r="C495" t="s">
        <v>82</v>
      </c>
      <c r="D495" t="s">
        <v>79</v>
      </c>
      <c r="E495" s="3">
        <v>740</v>
      </c>
      <c r="F495" s="3">
        <v>29230000</v>
      </c>
      <c r="G495" t="s">
        <v>129</v>
      </c>
    </row>
    <row r="496" spans="1:7" x14ac:dyDescent="0.35">
      <c r="A496">
        <v>2020</v>
      </c>
      <c r="B496" t="s">
        <v>77</v>
      </c>
      <c r="C496" t="s">
        <v>82</v>
      </c>
      <c r="D496" t="s">
        <v>79</v>
      </c>
      <c r="E496" s="3">
        <v>7399</v>
      </c>
      <c r="F496" s="3">
        <v>386707522</v>
      </c>
      <c r="G496" t="s">
        <v>128</v>
      </c>
    </row>
    <row r="497" spans="1:7" x14ac:dyDescent="0.35">
      <c r="A497">
        <v>2020</v>
      </c>
      <c r="B497" t="s">
        <v>77</v>
      </c>
      <c r="C497" t="s">
        <v>82</v>
      </c>
      <c r="D497" t="s">
        <v>79</v>
      </c>
      <c r="E497" s="3">
        <v>191134</v>
      </c>
      <c r="F497" s="3">
        <v>7698913592</v>
      </c>
      <c r="G497" t="s">
        <v>130</v>
      </c>
    </row>
    <row r="498" spans="1:7" x14ac:dyDescent="0.35">
      <c r="A498">
        <v>2020</v>
      </c>
      <c r="B498" t="s">
        <v>77</v>
      </c>
      <c r="C498" t="s">
        <v>82</v>
      </c>
      <c r="D498" t="s">
        <v>79</v>
      </c>
      <c r="E498" s="3">
        <v>8616</v>
      </c>
      <c r="F498" s="3">
        <v>337302697</v>
      </c>
      <c r="G498" t="s">
        <v>131</v>
      </c>
    </row>
    <row r="499" spans="1:7" x14ac:dyDescent="0.35">
      <c r="A499">
        <v>2020</v>
      </c>
      <c r="B499" t="s">
        <v>96</v>
      </c>
      <c r="C499" t="s">
        <v>82</v>
      </c>
      <c r="D499" t="s">
        <v>79</v>
      </c>
      <c r="E499" s="3">
        <v>80550</v>
      </c>
      <c r="F499" s="3">
        <v>2949893720</v>
      </c>
      <c r="G499" t="s">
        <v>127</v>
      </c>
    </row>
    <row r="500" spans="1:7" x14ac:dyDescent="0.35">
      <c r="A500">
        <v>2020</v>
      </c>
      <c r="B500" t="s">
        <v>96</v>
      </c>
      <c r="C500" t="s">
        <v>82</v>
      </c>
      <c r="D500" t="s">
        <v>79</v>
      </c>
      <c r="E500" s="3">
        <v>4097</v>
      </c>
      <c r="F500" s="3">
        <v>150315420</v>
      </c>
      <c r="G500" t="s">
        <v>128</v>
      </c>
    </row>
    <row r="501" spans="1:7" x14ac:dyDescent="0.35">
      <c r="A501">
        <v>2020</v>
      </c>
      <c r="B501" t="s">
        <v>96</v>
      </c>
      <c r="C501" t="s">
        <v>82</v>
      </c>
      <c r="D501" t="s">
        <v>79</v>
      </c>
      <c r="E501" s="3">
        <v>316067</v>
      </c>
      <c r="F501" s="3">
        <v>12349792020</v>
      </c>
      <c r="G501" t="s">
        <v>130</v>
      </c>
    </row>
    <row r="502" spans="1:7" x14ac:dyDescent="0.35">
      <c r="A502">
        <v>2020</v>
      </c>
      <c r="B502" t="s">
        <v>77</v>
      </c>
      <c r="C502" t="s">
        <v>97</v>
      </c>
      <c r="D502" t="s">
        <v>79</v>
      </c>
      <c r="E502" s="3">
        <v>226093</v>
      </c>
      <c r="F502" s="3">
        <v>7234987200</v>
      </c>
      <c r="G502" t="s">
        <v>130</v>
      </c>
    </row>
    <row r="503" spans="1:7" x14ac:dyDescent="0.35">
      <c r="A503">
        <v>2020</v>
      </c>
      <c r="B503" t="s">
        <v>77</v>
      </c>
      <c r="C503" t="s">
        <v>197</v>
      </c>
      <c r="D503" t="s">
        <v>15</v>
      </c>
      <c r="E503" t="s">
        <v>15</v>
      </c>
      <c r="F503" s="3">
        <v>5247656</v>
      </c>
      <c r="G503" t="s">
        <v>147</v>
      </c>
    </row>
    <row r="504" spans="1:7" x14ac:dyDescent="0.35">
      <c r="A504">
        <v>2020</v>
      </c>
      <c r="B504" t="s">
        <v>77</v>
      </c>
      <c r="C504" t="s">
        <v>197</v>
      </c>
      <c r="D504" t="s">
        <v>15</v>
      </c>
      <c r="E504" t="s">
        <v>15</v>
      </c>
      <c r="F504" s="3">
        <v>11894800</v>
      </c>
      <c r="G504" t="s">
        <v>130</v>
      </c>
    </row>
    <row r="505" spans="1:7" x14ac:dyDescent="0.35">
      <c r="A505">
        <v>2020</v>
      </c>
      <c r="B505" t="s">
        <v>93</v>
      </c>
      <c r="C505" t="s">
        <v>94</v>
      </c>
      <c r="D505" t="s">
        <v>79</v>
      </c>
      <c r="E505" s="3">
        <v>67092</v>
      </c>
      <c r="F505" s="3">
        <v>2972523698</v>
      </c>
      <c r="G505" t="s">
        <v>151</v>
      </c>
    </row>
    <row r="506" spans="1:7" x14ac:dyDescent="0.35">
      <c r="A506">
        <v>2020</v>
      </c>
      <c r="B506" t="s">
        <v>93</v>
      </c>
      <c r="C506" t="s">
        <v>94</v>
      </c>
      <c r="D506" t="s">
        <v>79</v>
      </c>
      <c r="E506" s="3">
        <v>68552</v>
      </c>
      <c r="F506" s="3">
        <v>3076614293</v>
      </c>
      <c r="G506" t="s">
        <v>147</v>
      </c>
    </row>
    <row r="507" spans="1:7" x14ac:dyDescent="0.35">
      <c r="A507">
        <v>2020</v>
      </c>
      <c r="B507" t="s">
        <v>93</v>
      </c>
      <c r="C507" t="s">
        <v>94</v>
      </c>
      <c r="D507" t="s">
        <v>79</v>
      </c>
      <c r="E507" s="3">
        <v>46688</v>
      </c>
      <c r="F507" s="3">
        <v>2051437212</v>
      </c>
      <c r="G507" t="s">
        <v>144</v>
      </c>
    </row>
    <row r="508" spans="1:7" x14ac:dyDescent="0.35">
      <c r="A508">
        <v>2020</v>
      </c>
      <c r="B508" t="s">
        <v>98</v>
      </c>
      <c r="C508" t="s">
        <v>32</v>
      </c>
      <c r="D508" t="s">
        <v>79</v>
      </c>
      <c r="E508" t="s">
        <v>15</v>
      </c>
      <c r="F508" s="3">
        <v>4149925243</v>
      </c>
      <c r="G508" t="s">
        <v>170</v>
      </c>
    </row>
    <row r="509" spans="1:7" x14ac:dyDescent="0.35">
      <c r="A509">
        <v>2020</v>
      </c>
      <c r="B509" t="s">
        <v>98</v>
      </c>
      <c r="C509" t="s">
        <v>32</v>
      </c>
      <c r="D509" t="s">
        <v>79</v>
      </c>
      <c r="E509" t="s">
        <v>15</v>
      </c>
      <c r="F509" s="3">
        <v>7083605121</v>
      </c>
      <c r="G509" t="s">
        <v>133</v>
      </c>
    </row>
    <row r="510" spans="1:7" x14ac:dyDescent="0.35">
      <c r="A510">
        <v>2020</v>
      </c>
      <c r="B510" t="s">
        <v>99</v>
      </c>
      <c r="C510" t="s">
        <v>32</v>
      </c>
      <c r="D510" t="s">
        <v>79</v>
      </c>
      <c r="E510" s="3">
        <v>21914</v>
      </c>
      <c r="F510" s="3">
        <v>522260835</v>
      </c>
      <c r="G510" t="s">
        <v>149</v>
      </c>
    </row>
    <row r="511" spans="1:7" x14ac:dyDescent="0.35">
      <c r="A511">
        <v>2020</v>
      </c>
      <c r="B511" t="s">
        <v>99</v>
      </c>
      <c r="C511" t="s">
        <v>32</v>
      </c>
      <c r="D511" t="s">
        <v>79</v>
      </c>
      <c r="E511" s="3">
        <v>1215</v>
      </c>
      <c r="F511" s="3">
        <v>68362503</v>
      </c>
      <c r="G511" t="s">
        <v>161</v>
      </c>
    </row>
    <row r="512" spans="1:7" x14ac:dyDescent="0.35">
      <c r="A512">
        <v>2020</v>
      </c>
      <c r="B512" t="s">
        <v>99</v>
      </c>
      <c r="C512" t="s">
        <v>32</v>
      </c>
      <c r="D512" t="s">
        <v>79</v>
      </c>
      <c r="E512" s="3">
        <v>6550</v>
      </c>
      <c r="F512" s="3">
        <v>182076638</v>
      </c>
      <c r="G512" t="s">
        <v>198</v>
      </c>
    </row>
    <row r="513" spans="1:7" x14ac:dyDescent="0.35">
      <c r="A513">
        <v>2020</v>
      </c>
      <c r="B513" t="s">
        <v>99</v>
      </c>
      <c r="C513" t="s">
        <v>32</v>
      </c>
      <c r="D513" t="s">
        <v>79</v>
      </c>
      <c r="E513" s="3">
        <v>28174</v>
      </c>
      <c r="F513" s="3">
        <v>844048602</v>
      </c>
      <c r="G513" t="s">
        <v>176</v>
      </c>
    </row>
    <row r="514" spans="1:7" x14ac:dyDescent="0.35">
      <c r="A514">
        <v>2020</v>
      </c>
      <c r="B514" t="s">
        <v>99</v>
      </c>
      <c r="C514" t="s">
        <v>32</v>
      </c>
      <c r="D514" t="s">
        <v>79</v>
      </c>
      <c r="E514" s="3">
        <v>25</v>
      </c>
      <c r="F514" s="3">
        <v>2100930</v>
      </c>
      <c r="G514" t="s">
        <v>132</v>
      </c>
    </row>
    <row r="515" spans="1:7" x14ac:dyDescent="0.35">
      <c r="A515">
        <v>2020</v>
      </c>
      <c r="B515" t="s">
        <v>99</v>
      </c>
      <c r="C515" t="s">
        <v>32</v>
      </c>
      <c r="D515" t="s">
        <v>79</v>
      </c>
      <c r="E515" s="3">
        <v>432</v>
      </c>
      <c r="F515" s="3">
        <v>19404880</v>
      </c>
      <c r="G515" t="s">
        <v>172</v>
      </c>
    </row>
    <row r="516" spans="1:7" x14ac:dyDescent="0.35">
      <c r="A516">
        <v>2020</v>
      </c>
      <c r="B516" t="s">
        <v>89</v>
      </c>
      <c r="C516" t="s">
        <v>193</v>
      </c>
      <c r="D516" t="s">
        <v>79</v>
      </c>
      <c r="E516" s="3">
        <v>598</v>
      </c>
      <c r="F516" s="3">
        <v>498805389</v>
      </c>
      <c r="G516" t="s">
        <v>145</v>
      </c>
    </row>
    <row r="517" spans="1:7" x14ac:dyDescent="0.35">
      <c r="A517">
        <v>2020</v>
      </c>
      <c r="B517" t="s">
        <v>89</v>
      </c>
      <c r="C517" t="s">
        <v>193</v>
      </c>
      <c r="D517" t="s">
        <v>79</v>
      </c>
      <c r="E517" s="3">
        <v>496</v>
      </c>
      <c r="F517" s="3">
        <v>391062137</v>
      </c>
      <c r="G517" t="s">
        <v>143</v>
      </c>
    </row>
    <row r="518" spans="1:7" x14ac:dyDescent="0.35">
      <c r="A518">
        <v>2020</v>
      </c>
      <c r="B518" t="s">
        <v>89</v>
      </c>
      <c r="C518" t="s">
        <v>193</v>
      </c>
      <c r="D518" t="s">
        <v>79</v>
      </c>
      <c r="E518" s="3">
        <v>93975</v>
      </c>
      <c r="F518" s="3">
        <v>22588939916</v>
      </c>
      <c r="G518" t="s">
        <v>138</v>
      </c>
    </row>
    <row r="519" spans="1:7" x14ac:dyDescent="0.35">
      <c r="A519">
        <v>2020</v>
      </c>
      <c r="B519" t="s">
        <v>89</v>
      </c>
      <c r="C519" t="s">
        <v>193</v>
      </c>
      <c r="D519" t="s">
        <v>79</v>
      </c>
      <c r="E519" s="3">
        <v>2200</v>
      </c>
      <c r="F519" s="3">
        <v>1003919140</v>
      </c>
      <c r="G519" t="s">
        <v>168</v>
      </c>
    </row>
    <row r="520" spans="1:7" x14ac:dyDescent="0.35">
      <c r="A520">
        <v>2020</v>
      </c>
      <c r="B520" t="s">
        <v>89</v>
      </c>
      <c r="C520" t="s">
        <v>193</v>
      </c>
      <c r="D520" t="s">
        <v>79</v>
      </c>
      <c r="E520" s="3">
        <v>1180</v>
      </c>
      <c r="F520" s="3">
        <v>579478970</v>
      </c>
      <c r="G520" t="s">
        <v>151</v>
      </c>
    </row>
    <row r="521" spans="1:7" x14ac:dyDescent="0.35">
      <c r="A521">
        <v>2020</v>
      </c>
      <c r="B521" t="s">
        <v>89</v>
      </c>
      <c r="C521" t="s">
        <v>193</v>
      </c>
      <c r="D521" t="s">
        <v>79</v>
      </c>
      <c r="E521" s="3">
        <v>2509</v>
      </c>
      <c r="F521" s="3">
        <v>2124263915</v>
      </c>
      <c r="G521" t="s">
        <v>147</v>
      </c>
    </row>
    <row r="522" spans="1:7" x14ac:dyDescent="0.35">
      <c r="A522">
        <v>2020</v>
      </c>
      <c r="B522" t="s">
        <v>89</v>
      </c>
      <c r="C522" t="s">
        <v>193</v>
      </c>
      <c r="D522" t="s">
        <v>79</v>
      </c>
      <c r="E522" s="3">
        <v>5248</v>
      </c>
      <c r="F522" s="3">
        <v>4010259387</v>
      </c>
      <c r="G522" t="s">
        <v>142</v>
      </c>
    </row>
    <row r="523" spans="1:7" x14ac:dyDescent="0.35">
      <c r="A523">
        <v>2020</v>
      </c>
      <c r="B523" t="s">
        <v>89</v>
      </c>
      <c r="C523" t="s">
        <v>193</v>
      </c>
      <c r="D523" t="s">
        <v>79</v>
      </c>
      <c r="E523" s="3">
        <v>1978</v>
      </c>
      <c r="F523" s="3">
        <v>1502838129</v>
      </c>
      <c r="G523" t="s">
        <v>158</v>
      </c>
    </row>
    <row r="524" spans="1:7" x14ac:dyDescent="0.35">
      <c r="A524">
        <v>2020</v>
      </c>
      <c r="B524" t="s">
        <v>89</v>
      </c>
      <c r="C524" t="s">
        <v>193</v>
      </c>
      <c r="D524" t="s">
        <v>79</v>
      </c>
      <c r="E524" s="3">
        <v>1388</v>
      </c>
      <c r="F524" s="3">
        <v>995666124</v>
      </c>
      <c r="G524" t="s">
        <v>146</v>
      </c>
    </row>
    <row r="525" spans="1:7" x14ac:dyDescent="0.35">
      <c r="A525">
        <v>2020</v>
      </c>
      <c r="B525" t="s">
        <v>89</v>
      </c>
      <c r="C525" t="s">
        <v>193</v>
      </c>
      <c r="D525" t="s">
        <v>79</v>
      </c>
      <c r="E525" s="3">
        <v>3316</v>
      </c>
      <c r="F525" s="3">
        <v>2784151575</v>
      </c>
      <c r="G525" t="s">
        <v>164</v>
      </c>
    </row>
    <row r="526" spans="1:7" x14ac:dyDescent="0.35">
      <c r="A526">
        <v>2020</v>
      </c>
      <c r="B526" t="s">
        <v>89</v>
      </c>
      <c r="C526" t="s">
        <v>193</v>
      </c>
      <c r="D526" t="s">
        <v>79</v>
      </c>
      <c r="E526" s="3">
        <v>758</v>
      </c>
      <c r="F526" s="3">
        <v>591401281</v>
      </c>
      <c r="G526" t="s">
        <v>161</v>
      </c>
    </row>
    <row r="527" spans="1:7" x14ac:dyDescent="0.35">
      <c r="A527">
        <v>2020</v>
      </c>
      <c r="B527" t="s">
        <v>89</v>
      </c>
      <c r="C527" t="s">
        <v>193</v>
      </c>
      <c r="D527" t="s">
        <v>79</v>
      </c>
      <c r="E527" s="3">
        <v>60115</v>
      </c>
      <c r="F527" s="3">
        <v>8488260636</v>
      </c>
      <c r="G527" t="s">
        <v>148</v>
      </c>
    </row>
    <row r="528" spans="1:7" x14ac:dyDescent="0.35">
      <c r="A528">
        <v>2020</v>
      </c>
      <c r="B528" t="s">
        <v>89</v>
      </c>
      <c r="C528" t="s">
        <v>193</v>
      </c>
      <c r="D528" t="s">
        <v>79</v>
      </c>
      <c r="E528" s="3">
        <v>2562</v>
      </c>
      <c r="F528" s="3">
        <v>1788453170</v>
      </c>
      <c r="G528" t="s">
        <v>144</v>
      </c>
    </row>
    <row r="529" spans="1:7" x14ac:dyDescent="0.35">
      <c r="A529">
        <v>2020</v>
      </c>
      <c r="B529" t="s">
        <v>89</v>
      </c>
      <c r="C529" t="s">
        <v>193</v>
      </c>
      <c r="D529" t="s">
        <v>79</v>
      </c>
      <c r="E529" s="3">
        <v>323629</v>
      </c>
      <c r="F529" s="3">
        <v>33912201300</v>
      </c>
      <c r="G529" t="s">
        <v>139</v>
      </c>
    </row>
    <row r="530" spans="1:7" x14ac:dyDescent="0.35">
      <c r="A530">
        <v>2020</v>
      </c>
      <c r="B530" t="s">
        <v>89</v>
      </c>
      <c r="C530" t="s">
        <v>193</v>
      </c>
      <c r="D530" t="s">
        <v>79</v>
      </c>
      <c r="E530" s="3">
        <v>80</v>
      </c>
      <c r="F530" s="3">
        <v>34014130</v>
      </c>
      <c r="G530" t="s">
        <v>165</v>
      </c>
    </row>
    <row r="531" spans="1:7" x14ac:dyDescent="0.35">
      <c r="A531">
        <v>2020</v>
      </c>
      <c r="B531" t="s">
        <v>89</v>
      </c>
      <c r="C531" t="s">
        <v>193</v>
      </c>
      <c r="D531" t="s">
        <v>79</v>
      </c>
      <c r="E531" s="3">
        <v>3320</v>
      </c>
      <c r="F531" s="3">
        <v>2090982288</v>
      </c>
      <c r="G531" t="s">
        <v>167</v>
      </c>
    </row>
    <row r="532" spans="1:7" x14ac:dyDescent="0.35">
      <c r="A532">
        <v>2020</v>
      </c>
      <c r="B532" t="s">
        <v>89</v>
      </c>
      <c r="C532" t="s">
        <v>193</v>
      </c>
      <c r="D532" t="s">
        <v>79</v>
      </c>
      <c r="E532" s="3">
        <v>21211</v>
      </c>
      <c r="F532" s="3">
        <v>16015469705</v>
      </c>
      <c r="G532" t="s">
        <v>149</v>
      </c>
    </row>
    <row r="533" spans="1:7" x14ac:dyDescent="0.35">
      <c r="A533">
        <v>2020</v>
      </c>
      <c r="B533" t="s">
        <v>89</v>
      </c>
      <c r="C533" t="s">
        <v>193</v>
      </c>
      <c r="D533" t="s">
        <v>79</v>
      </c>
      <c r="E533" s="3">
        <v>3680</v>
      </c>
      <c r="F533" s="3">
        <v>2752602430</v>
      </c>
      <c r="G533" t="s">
        <v>150</v>
      </c>
    </row>
    <row r="534" spans="1:7" x14ac:dyDescent="0.35">
      <c r="A534">
        <v>2020</v>
      </c>
      <c r="B534" t="s">
        <v>89</v>
      </c>
      <c r="C534" t="s">
        <v>193</v>
      </c>
      <c r="D534" t="s">
        <v>79</v>
      </c>
      <c r="E534" s="3">
        <v>76632</v>
      </c>
      <c r="F534" s="3">
        <v>13020571767</v>
      </c>
      <c r="G534" t="s">
        <v>140</v>
      </c>
    </row>
    <row r="535" spans="1:7" x14ac:dyDescent="0.35">
      <c r="A535">
        <v>2020</v>
      </c>
      <c r="B535" t="s">
        <v>95</v>
      </c>
      <c r="C535" t="s">
        <v>34</v>
      </c>
      <c r="D535" t="s">
        <v>79</v>
      </c>
      <c r="E535" s="3">
        <v>96369</v>
      </c>
      <c r="F535" s="3">
        <v>18778762558</v>
      </c>
      <c r="G535" t="s">
        <v>176</v>
      </c>
    </row>
    <row r="536" spans="1:7" x14ac:dyDescent="0.35">
      <c r="A536">
        <v>2020</v>
      </c>
      <c r="B536" t="s">
        <v>95</v>
      </c>
      <c r="C536" t="s">
        <v>34</v>
      </c>
      <c r="D536" t="s">
        <v>79</v>
      </c>
      <c r="E536" s="3">
        <v>54727</v>
      </c>
      <c r="F536" s="3">
        <v>11820442475</v>
      </c>
      <c r="G536" t="s">
        <v>199</v>
      </c>
    </row>
    <row r="537" spans="1:7" x14ac:dyDescent="0.35">
      <c r="A537">
        <v>2020</v>
      </c>
      <c r="B537" t="s">
        <v>95</v>
      </c>
      <c r="C537" t="s">
        <v>34</v>
      </c>
      <c r="D537" t="s">
        <v>79</v>
      </c>
      <c r="E537" s="3">
        <v>8778</v>
      </c>
      <c r="F537" s="3">
        <v>1773669262</v>
      </c>
      <c r="G537" t="s">
        <v>200</v>
      </c>
    </row>
    <row r="538" spans="1:7" x14ac:dyDescent="0.35">
      <c r="A538">
        <v>2020</v>
      </c>
      <c r="B538" t="s">
        <v>95</v>
      </c>
      <c r="C538" t="s">
        <v>107</v>
      </c>
      <c r="D538" t="s">
        <v>79</v>
      </c>
      <c r="E538" s="3">
        <v>9</v>
      </c>
      <c r="F538" s="3">
        <v>4917150</v>
      </c>
      <c r="G538" t="s">
        <v>176</v>
      </c>
    </row>
    <row r="539" spans="1:7" x14ac:dyDescent="0.35">
      <c r="A539">
        <v>2020</v>
      </c>
      <c r="B539" t="s">
        <v>95</v>
      </c>
      <c r="C539" t="s">
        <v>107</v>
      </c>
      <c r="D539" t="s">
        <v>79</v>
      </c>
      <c r="E539" s="3">
        <v>457943</v>
      </c>
      <c r="F539" s="3">
        <v>166008591119</v>
      </c>
      <c r="G539" t="s">
        <v>199</v>
      </c>
    </row>
    <row r="540" spans="1:7" x14ac:dyDescent="0.35">
      <c r="A540">
        <v>2020</v>
      </c>
      <c r="B540" t="s">
        <v>95</v>
      </c>
      <c r="C540" t="s">
        <v>201</v>
      </c>
      <c r="D540" t="s">
        <v>79</v>
      </c>
      <c r="E540" s="3">
        <v>72599410</v>
      </c>
      <c r="F540" s="3">
        <v>448992160</v>
      </c>
      <c r="G540" t="s">
        <v>176</v>
      </c>
    </row>
    <row r="541" spans="1:7" x14ac:dyDescent="0.35">
      <c r="A541">
        <v>2020</v>
      </c>
      <c r="B541" t="s">
        <v>95</v>
      </c>
      <c r="C541" t="s">
        <v>202</v>
      </c>
      <c r="D541" t="s">
        <v>79</v>
      </c>
      <c r="E541" s="3">
        <v>825772</v>
      </c>
      <c r="F541" s="3">
        <v>1238658000</v>
      </c>
      <c r="G541" t="s">
        <v>176</v>
      </c>
    </row>
    <row r="542" spans="1:7" x14ac:dyDescent="0.35">
      <c r="A542">
        <v>2020</v>
      </c>
      <c r="B542" t="s">
        <v>95</v>
      </c>
      <c r="C542" t="s">
        <v>203</v>
      </c>
      <c r="D542" t="s">
        <v>79</v>
      </c>
      <c r="E542" s="3">
        <v>174</v>
      </c>
      <c r="F542" s="3">
        <v>35928900</v>
      </c>
      <c r="G542" t="s">
        <v>176</v>
      </c>
    </row>
    <row r="543" spans="1:7" x14ac:dyDescent="0.35">
      <c r="A543">
        <v>2020</v>
      </c>
      <c r="B543" t="s">
        <v>95</v>
      </c>
      <c r="C543" t="s">
        <v>204</v>
      </c>
      <c r="D543" t="s">
        <v>79</v>
      </c>
      <c r="E543" s="3">
        <v>26774172</v>
      </c>
      <c r="F543" s="3">
        <v>80322516</v>
      </c>
      <c r="G543" t="s">
        <v>176</v>
      </c>
    </row>
    <row r="544" spans="1:7" x14ac:dyDescent="0.35">
      <c r="A544">
        <v>2022</v>
      </c>
      <c r="B544" t="s">
        <v>83</v>
      </c>
      <c r="C544" t="s">
        <v>84</v>
      </c>
      <c r="D544" t="s">
        <v>79</v>
      </c>
      <c r="E544" s="8">
        <v>10.541600000000001</v>
      </c>
      <c r="F544" s="3">
        <v>380045730082</v>
      </c>
      <c r="G544" t="s">
        <v>133</v>
      </c>
    </row>
    <row r="545" spans="1:7" x14ac:dyDescent="0.35">
      <c r="A545">
        <v>2022</v>
      </c>
      <c r="B545" t="s">
        <v>108</v>
      </c>
      <c r="C545" t="s">
        <v>84</v>
      </c>
      <c r="D545" t="s">
        <v>79</v>
      </c>
      <c r="E545" s="8">
        <v>4.0319000000000003</v>
      </c>
      <c r="F545" s="3">
        <v>147954684761</v>
      </c>
      <c r="G545" t="s">
        <v>145</v>
      </c>
    </row>
    <row r="546" spans="1:7" x14ac:dyDescent="0.35">
      <c r="A546">
        <v>2022</v>
      </c>
      <c r="B546" t="s">
        <v>83</v>
      </c>
      <c r="C546" t="s">
        <v>84</v>
      </c>
      <c r="D546" t="s">
        <v>79</v>
      </c>
      <c r="E546" s="8">
        <v>0.34849999999999998</v>
      </c>
      <c r="F546" s="3">
        <v>12540974385</v>
      </c>
      <c r="G546" t="s">
        <v>176</v>
      </c>
    </row>
    <row r="547" spans="1:7" x14ac:dyDescent="0.35">
      <c r="A547">
        <v>2022</v>
      </c>
      <c r="B547" t="s">
        <v>95</v>
      </c>
      <c r="C547" t="s">
        <v>107</v>
      </c>
      <c r="D547" t="s">
        <v>79</v>
      </c>
      <c r="E547" s="3">
        <v>558409</v>
      </c>
      <c r="F547" s="3">
        <v>533842674117</v>
      </c>
      <c r="G547" t="s">
        <v>158</v>
      </c>
    </row>
    <row r="548" spans="1:7" x14ac:dyDescent="0.35">
      <c r="A548">
        <v>2022</v>
      </c>
      <c r="B548" t="s">
        <v>89</v>
      </c>
      <c r="C548" t="s">
        <v>28</v>
      </c>
      <c r="D548" t="s">
        <v>79</v>
      </c>
      <c r="E548" s="3">
        <v>255142</v>
      </c>
      <c r="F548" s="3">
        <v>55201748257</v>
      </c>
      <c r="G548" t="s">
        <v>147</v>
      </c>
    </row>
    <row r="549" spans="1:7" x14ac:dyDescent="0.35">
      <c r="A549">
        <v>2022</v>
      </c>
      <c r="B549" t="s">
        <v>89</v>
      </c>
      <c r="C549" t="s">
        <v>28</v>
      </c>
      <c r="D549" t="s">
        <v>79</v>
      </c>
      <c r="E549" s="3">
        <v>101793</v>
      </c>
      <c r="F549" s="3">
        <v>17574924450</v>
      </c>
      <c r="G549" t="s">
        <v>139</v>
      </c>
    </row>
    <row r="550" spans="1:7" x14ac:dyDescent="0.35">
      <c r="A550">
        <v>2022</v>
      </c>
      <c r="B550" t="s">
        <v>86</v>
      </c>
      <c r="C550" t="s">
        <v>82</v>
      </c>
      <c r="D550" t="s">
        <v>79</v>
      </c>
      <c r="E550" s="3">
        <v>586349</v>
      </c>
      <c r="F550" s="3">
        <v>27805006450</v>
      </c>
      <c r="G550" t="s">
        <v>130</v>
      </c>
    </row>
    <row r="551" spans="1:7" x14ac:dyDescent="0.35">
      <c r="A551">
        <v>2022</v>
      </c>
      <c r="B551" t="s">
        <v>86</v>
      </c>
      <c r="C551" t="s">
        <v>82</v>
      </c>
      <c r="D551" t="s">
        <v>79</v>
      </c>
      <c r="E551" s="3">
        <v>487563</v>
      </c>
      <c r="F551" s="3">
        <v>21800118950</v>
      </c>
      <c r="G551" t="s">
        <v>127</v>
      </c>
    </row>
    <row r="552" spans="1:7" x14ac:dyDescent="0.35">
      <c r="A552">
        <v>2022</v>
      </c>
      <c r="B552" t="s">
        <v>77</v>
      </c>
      <c r="C552" t="s">
        <v>82</v>
      </c>
      <c r="D552" t="s">
        <v>79</v>
      </c>
      <c r="E552" s="3">
        <v>132612</v>
      </c>
      <c r="F552" s="3">
        <v>5920144025</v>
      </c>
      <c r="G552" t="s">
        <v>130</v>
      </c>
    </row>
    <row r="553" spans="1:7" x14ac:dyDescent="0.35">
      <c r="A553">
        <v>2022</v>
      </c>
      <c r="B553" t="s">
        <v>77</v>
      </c>
      <c r="C553" t="s">
        <v>82</v>
      </c>
      <c r="D553" t="s">
        <v>79</v>
      </c>
      <c r="E553" s="3">
        <v>44460</v>
      </c>
      <c r="F553" s="3">
        <v>1994599434</v>
      </c>
      <c r="G553" t="s">
        <v>127</v>
      </c>
    </row>
    <row r="554" spans="1:7" x14ac:dyDescent="0.35">
      <c r="A554">
        <v>2022</v>
      </c>
      <c r="B554" t="s">
        <v>96</v>
      </c>
      <c r="C554" t="s">
        <v>82</v>
      </c>
      <c r="D554" t="s">
        <v>79</v>
      </c>
      <c r="E554" s="3">
        <v>51948</v>
      </c>
      <c r="F554" s="3">
        <v>1949347100</v>
      </c>
      <c r="G554" t="s">
        <v>127</v>
      </c>
    </row>
    <row r="555" spans="1:7" x14ac:dyDescent="0.35">
      <c r="A555">
        <v>2022</v>
      </c>
      <c r="B555" t="s">
        <v>86</v>
      </c>
      <c r="C555" t="s">
        <v>82</v>
      </c>
      <c r="D555" t="s">
        <v>79</v>
      </c>
      <c r="E555" s="3">
        <v>35174</v>
      </c>
      <c r="F555" s="3">
        <v>1572723200</v>
      </c>
      <c r="G555" t="s">
        <v>131</v>
      </c>
    </row>
    <row r="556" spans="1:7" x14ac:dyDescent="0.35">
      <c r="A556">
        <v>2022</v>
      </c>
      <c r="B556" t="s">
        <v>96</v>
      </c>
      <c r="C556" t="s">
        <v>82</v>
      </c>
      <c r="D556" t="s">
        <v>79</v>
      </c>
      <c r="E556" s="3">
        <v>27637</v>
      </c>
      <c r="F556" s="3">
        <v>1094455440</v>
      </c>
      <c r="G556" t="s">
        <v>130</v>
      </c>
    </row>
    <row r="557" spans="1:7" x14ac:dyDescent="0.35">
      <c r="A557">
        <v>2022</v>
      </c>
      <c r="B557" t="s">
        <v>96</v>
      </c>
      <c r="C557" t="s">
        <v>82</v>
      </c>
      <c r="D557" t="s">
        <v>79</v>
      </c>
      <c r="E557" s="3">
        <v>7991</v>
      </c>
      <c r="F557" s="3">
        <v>300244740</v>
      </c>
      <c r="G557" t="s">
        <v>128</v>
      </c>
    </row>
    <row r="558" spans="1:7" x14ac:dyDescent="0.35">
      <c r="A558">
        <v>2022</v>
      </c>
      <c r="B558" t="s">
        <v>86</v>
      </c>
      <c r="C558" t="s">
        <v>82</v>
      </c>
      <c r="D558" t="s">
        <v>79</v>
      </c>
      <c r="E558" s="3">
        <v>2836</v>
      </c>
      <c r="F558" s="3">
        <v>134463000</v>
      </c>
      <c r="G558" t="s">
        <v>128</v>
      </c>
    </row>
    <row r="559" spans="1:7" x14ac:dyDescent="0.35">
      <c r="A559">
        <v>2022</v>
      </c>
      <c r="B559" t="s">
        <v>96</v>
      </c>
      <c r="C559" t="s">
        <v>82</v>
      </c>
      <c r="D559" t="s">
        <v>79</v>
      </c>
      <c r="E559" s="3">
        <v>3396</v>
      </c>
      <c r="F559" s="3">
        <v>130813500</v>
      </c>
      <c r="G559" t="s">
        <v>126</v>
      </c>
    </row>
    <row r="560" spans="1:7" x14ac:dyDescent="0.35">
      <c r="A560">
        <v>2022</v>
      </c>
      <c r="B560" t="s">
        <v>77</v>
      </c>
      <c r="C560" t="s">
        <v>82</v>
      </c>
      <c r="D560" t="s">
        <v>79</v>
      </c>
      <c r="E560" s="3">
        <v>2484</v>
      </c>
      <c r="F560" s="3">
        <v>111807125</v>
      </c>
      <c r="G560" t="s">
        <v>131</v>
      </c>
    </row>
    <row r="561" spans="1:7" x14ac:dyDescent="0.35">
      <c r="A561">
        <v>2022</v>
      </c>
      <c r="B561" t="s">
        <v>77</v>
      </c>
      <c r="C561" t="s">
        <v>82</v>
      </c>
      <c r="D561" t="s">
        <v>79</v>
      </c>
      <c r="E561" s="3">
        <v>1462</v>
      </c>
      <c r="F561" s="3">
        <v>69090250</v>
      </c>
      <c r="G561" t="s">
        <v>129</v>
      </c>
    </row>
    <row r="562" spans="1:7" x14ac:dyDescent="0.35">
      <c r="A562">
        <v>2022</v>
      </c>
      <c r="B562" t="s">
        <v>77</v>
      </c>
      <c r="C562" t="s">
        <v>82</v>
      </c>
      <c r="D562" t="s">
        <v>79</v>
      </c>
      <c r="E562" s="3">
        <v>533</v>
      </c>
      <c r="F562" s="3">
        <v>34820000</v>
      </c>
      <c r="G562" t="s">
        <v>128</v>
      </c>
    </row>
    <row r="563" spans="1:7" x14ac:dyDescent="0.35">
      <c r="A563">
        <v>2022</v>
      </c>
      <c r="B563" t="s">
        <v>86</v>
      </c>
      <c r="C563" t="s">
        <v>82</v>
      </c>
      <c r="D563" t="s">
        <v>79</v>
      </c>
      <c r="E563" s="3">
        <v>384</v>
      </c>
      <c r="F563" s="3">
        <v>18200000</v>
      </c>
      <c r="G563" t="s">
        <v>126</v>
      </c>
    </row>
    <row r="564" spans="1:7" x14ac:dyDescent="0.35">
      <c r="A564">
        <v>2022</v>
      </c>
      <c r="B564" t="s">
        <v>86</v>
      </c>
      <c r="C564" t="s">
        <v>82</v>
      </c>
      <c r="D564" t="s">
        <v>79</v>
      </c>
      <c r="E564" s="3">
        <v>107</v>
      </c>
      <c r="F564" s="3">
        <v>4785000</v>
      </c>
      <c r="G564" t="s">
        <v>129</v>
      </c>
    </row>
    <row r="565" spans="1:7" x14ac:dyDescent="0.35">
      <c r="A565">
        <v>2022</v>
      </c>
      <c r="B565" t="s">
        <v>89</v>
      </c>
      <c r="C565" t="s">
        <v>26</v>
      </c>
      <c r="D565" t="s">
        <v>79</v>
      </c>
      <c r="E565" s="3">
        <v>26783</v>
      </c>
      <c r="F565" s="3">
        <v>37837012342</v>
      </c>
      <c r="G565" t="s">
        <v>147</v>
      </c>
    </row>
    <row r="566" spans="1:7" x14ac:dyDescent="0.35">
      <c r="A566">
        <v>2022</v>
      </c>
      <c r="B566" t="s">
        <v>89</v>
      </c>
      <c r="C566" t="s">
        <v>26</v>
      </c>
      <c r="D566" t="s">
        <v>79</v>
      </c>
      <c r="E566" s="3">
        <v>2241</v>
      </c>
      <c r="F566" s="3">
        <v>2672529707</v>
      </c>
      <c r="G566" t="s">
        <v>140</v>
      </c>
    </row>
    <row r="567" spans="1:7" x14ac:dyDescent="0.35">
      <c r="A567">
        <v>2022</v>
      </c>
      <c r="B567" t="s">
        <v>89</v>
      </c>
      <c r="C567" t="s">
        <v>26</v>
      </c>
      <c r="D567" t="s">
        <v>79</v>
      </c>
      <c r="E567" s="3">
        <v>1763</v>
      </c>
      <c r="F567" s="3">
        <v>2159428247</v>
      </c>
      <c r="G567" t="s">
        <v>149</v>
      </c>
    </row>
    <row r="568" spans="1:7" x14ac:dyDescent="0.35">
      <c r="A568">
        <v>2022</v>
      </c>
      <c r="B568" t="s">
        <v>89</v>
      </c>
      <c r="C568" t="s">
        <v>26</v>
      </c>
      <c r="D568" t="s">
        <v>79</v>
      </c>
      <c r="E568" s="3">
        <v>1553</v>
      </c>
      <c r="F568" s="3">
        <v>1972277908</v>
      </c>
      <c r="G568" t="s">
        <v>138</v>
      </c>
    </row>
    <row r="569" spans="1:7" x14ac:dyDescent="0.35">
      <c r="A569">
        <v>2022</v>
      </c>
      <c r="B569" t="s">
        <v>89</v>
      </c>
      <c r="C569" t="s">
        <v>26</v>
      </c>
      <c r="D569" t="s">
        <v>79</v>
      </c>
      <c r="E569" s="3">
        <v>899</v>
      </c>
      <c r="F569" s="3">
        <v>1151481123</v>
      </c>
      <c r="G569" t="s">
        <v>164</v>
      </c>
    </row>
    <row r="570" spans="1:7" x14ac:dyDescent="0.35">
      <c r="A570">
        <v>2022</v>
      </c>
      <c r="B570" t="s">
        <v>89</v>
      </c>
      <c r="C570" t="s">
        <v>26</v>
      </c>
      <c r="D570" t="s">
        <v>79</v>
      </c>
      <c r="E570" s="3">
        <v>680</v>
      </c>
      <c r="F570" s="3">
        <v>879535090</v>
      </c>
      <c r="G570" t="s">
        <v>145</v>
      </c>
    </row>
    <row r="571" spans="1:7" x14ac:dyDescent="0.35">
      <c r="A571">
        <v>2022</v>
      </c>
      <c r="B571" t="s">
        <v>89</v>
      </c>
      <c r="C571" t="s">
        <v>26</v>
      </c>
      <c r="D571" t="s">
        <v>79</v>
      </c>
      <c r="E571" s="3">
        <v>661</v>
      </c>
      <c r="F571" s="3">
        <v>805310967</v>
      </c>
      <c r="G571" t="s">
        <v>146</v>
      </c>
    </row>
    <row r="572" spans="1:7" x14ac:dyDescent="0.35">
      <c r="A572">
        <v>2022</v>
      </c>
      <c r="B572" t="s">
        <v>89</v>
      </c>
      <c r="C572" t="s">
        <v>26</v>
      </c>
      <c r="D572" t="s">
        <v>79</v>
      </c>
      <c r="E572" s="3">
        <v>595</v>
      </c>
      <c r="F572" s="3">
        <v>738090401</v>
      </c>
      <c r="G572" t="s">
        <v>150</v>
      </c>
    </row>
    <row r="573" spans="1:7" x14ac:dyDescent="0.35">
      <c r="A573">
        <v>2022</v>
      </c>
      <c r="B573" t="s">
        <v>89</v>
      </c>
      <c r="C573" t="s">
        <v>26</v>
      </c>
      <c r="D573" t="s">
        <v>79</v>
      </c>
      <c r="E573" s="3">
        <v>160</v>
      </c>
      <c r="F573" s="3">
        <v>205255608</v>
      </c>
      <c r="G573" t="s">
        <v>151</v>
      </c>
    </row>
    <row r="574" spans="1:7" x14ac:dyDescent="0.35">
      <c r="A574">
        <v>2022</v>
      </c>
      <c r="B574" t="s">
        <v>89</v>
      </c>
      <c r="C574" t="s">
        <v>26</v>
      </c>
      <c r="D574" t="s">
        <v>79</v>
      </c>
      <c r="E574" s="3">
        <v>140</v>
      </c>
      <c r="F574" s="3">
        <v>176061353</v>
      </c>
      <c r="G574" t="s">
        <v>143</v>
      </c>
    </row>
    <row r="575" spans="1:7" x14ac:dyDescent="0.35">
      <c r="A575">
        <v>2022</v>
      </c>
      <c r="B575" t="s">
        <v>89</v>
      </c>
      <c r="C575" t="s">
        <v>26</v>
      </c>
      <c r="D575" t="s">
        <v>79</v>
      </c>
      <c r="E575" s="3">
        <v>110</v>
      </c>
      <c r="F575" s="3">
        <v>137806911</v>
      </c>
      <c r="G575" t="s">
        <v>144</v>
      </c>
    </row>
    <row r="576" spans="1:7" x14ac:dyDescent="0.35">
      <c r="A576">
        <v>2022</v>
      </c>
      <c r="B576" t="s">
        <v>89</v>
      </c>
      <c r="C576" t="s">
        <v>26</v>
      </c>
      <c r="D576" t="s">
        <v>79</v>
      </c>
      <c r="E576" s="3">
        <v>66</v>
      </c>
      <c r="F576" s="3">
        <v>82182071</v>
      </c>
      <c r="G576" t="s">
        <v>142</v>
      </c>
    </row>
    <row r="577" spans="1:7" x14ac:dyDescent="0.35">
      <c r="A577">
        <v>2022</v>
      </c>
      <c r="B577" t="s">
        <v>89</v>
      </c>
      <c r="C577" t="s">
        <v>26</v>
      </c>
      <c r="D577" t="s">
        <v>79</v>
      </c>
      <c r="E577" s="3">
        <v>64</v>
      </c>
      <c r="F577" s="3">
        <v>79007117</v>
      </c>
      <c r="G577" t="s">
        <v>158</v>
      </c>
    </row>
    <row r="578" spans="1:7" x14ac:dyDescent="0.35">
      <c r="A578">
        <v>2022</v>
      </c>
      <c r="B578" t="s">
        <v>89</v>
      </c>
      <c r="C578" t="s">
        <v>26</v>
      </c>
      <c r="D578" t="s">
        <v>79</v>
      </c>
      <c r="E578" s="3">
        <v>16915</v>
      </c>
      <c r="F578" s="3">
        <v>22797650023</v>
      </c>
      <c r="G578" t="s">
        <v>147</v>
      </c>
    </row>
    <row r="579" spans="1:7" x14ac:dyDescent="0.35">
      <c r="A579">
        <v>2022</v>
      </c>
      <c r="B579" t="s">
        <v>89</v>
      </c>
      <c r="C579" t="s">
        <v>26</v>
      </c>
      <c r="D579" t="s">
        <v>79</v>
      </c>
      <c r="E579" s="3">
        <v>3591</v>
      </c>
      <c r="F579" s="3">
        <v>4215746222</v>
      </c>
      <c r="G579" t="s">
        <v>149</v>
      </c>
    </row>
    <row r="580" spans="1:7" x14ac:dyDescent="0.35">
      <c r="A580">
        <v>2022</v>
      </c>
      <c r="B580" t="s">
        <v>89</v>
      </c>
      <c r="C580" t="s">
        <v>26</v>
      </c>
      <c r="D580" t="s">
        <v>79</v>
      </c>
      <c r="E580" s="3">
        <v>1678</v>
      </c>
      <c r="F580" s="3">
        <v>2119199304</v>
      </c>
      <c r="G580" t="s">
        <v>142</v>
      </c>
    </row>
    <row r="581" spans="1:7" x14ac:dyDescent="0.35">
      <c r="A581">
        <v>2022</v>
      </c>
      <c r="B581" t="s">
        <v>89</v>
      </c>
      <c r="C581" t="s">
        <v>26</v>
      </c>
      <c r="D581" t="s">
        <v>79</v>
      </c>
      <c r="E581" s="3">
        <v>463</v>
      </c>
      <c r="F581" s="3">
        <v>569141409</v>
      </c>
      <c r="G581" t="s">
        <v>144</v>
      </c>
    </row>
    <row r="582" spans="1:7" x14ac:dyDescent="0.35">
      <c r="A582">
        <v>2022</v>
      </c>
      <c r="B582" t="s">
        <v>89</v>
      </c>
      <c r="C582" t="s">
        <v>26</v>
      </c>
      <c r="D582" t="s">
        <v>79</v>
      </c>
      <c r="E582" s="3">
        <v>368</v>
      </c>
      <c r="F582" s="3">
        <v>436920695</v>
      </c>
      <c r="G582" t="s">
        <v>138</v>
      </c>
    </row>
    <row r="583" spans="1:7" x14ac:dyDescent="0.35">
      <c r="A583">
        <v>2022</v>
      </c>
      <c r="B583" t="s">
        <v>89</v>
      </c>
      <c r="C583" t="s">
        <v>26</v>
      </c>
      <c r="D583" t="s">
        <v>79</v>
      </c>
      <c r="E583" s="3">
        <v>234</v>
      </c>
      <c r="F583" s="3">
        <v>298525342</v>
      </c>
      <c r="G583" t="s">
        <v>158</v>
      </c>
    </row>
    <row r="584" spans="1:7" x14ac:dyDescent="0.35">
      <c r="A584">
        <v>2022</v>
      </c>
      <c r="B584" t="s">
        <v>89</v>
      </c>
      <c r="C584" t="s">
        <v>26</v>
      </c>
      <c r="D584" t="s">
        <v>79</v>
      </c>
      <c r="E584" s="3">
        <v>132</v>
      </c>
      <c r="F584" s="3">
        <v>158946658</v>
      </c>
      <c r="G584" t="s">
        <v>140</v>
      </c>
    </row>
    <row r="585" spans="1:7" x14ac:dyDescent="0.35">
      <c r="A585">
        <v>2022</v>
      </c>
      <c r="B585" t="s">
        <v>89</v>
      </c>
      <c r="C585" t="s">
        <v>26</v>
      </c>
      <c r="D585" t="s">
        <v>79</v>
      </c>
      <c r="E585" s="3">
        <v>120</v>
      </c>
      <c r="F585" s="3">
        <v>149568411</v>
      </c>
      <c r="G585" t="s">
        <v>164</v>
      </c>
    </row>
    <row r="586" spans="1:7" x14ac:dyDescent="0.35">
      <c r="A586">
        <v>2022</v>
      </c>
      <c r="B586" t="s">
        <v>89</v>
      </c>
      <c r="C586" t="s">
        <v>26</v>
      </c>
      <c r="D586" t="s">
        <v>79</v>
      </c>
      <c r="E586" s="3">
        <v>80</v>
      </c>
      <c r="F586" s="3">
        <v>100225403</v>
      </c>
      <c r="G586" t="s">
        <v>139</v>
      </c>
    </row>
    <row r="587" spans="1:7" x14ac:dyDescent="0.35">
      <c r="A587">
        <v>2022</v>
      </c>
      <c r="B587" t="s">
        <v>89</v>
      </c>
      <c r="C587" t="s">
        <v>28</v>
      </c>
      <c r="D587" t="s">
        <v>79</v>
      </c>
      <c r="E587" s="3">
        <v>105551</v>
      </c>
      <c r="F587" s="3">
        <v>23782278269</v>
      </c>
      <c r="G587" t="s">
        <v>147</v>
      </c>
    </row>
    <row r="588" spans="1:7" x14ac:dyDescent="0.35">
      <c r="A588">
        <v>2022</v>
      </c>
      <c r="B588" t="s">
        <v>89</v>
      </c>
      <c r="C588" t="s">
        <v>28</v>
      </c>
      <c r="D588" t="s">
        <v>79</v>
      </c>
      <c r="E588" s="3">
        <v>29005</v>
      </c>
      <c r="F588" s="3">
        <v>5376147493</v>
      </c>
      <c r="G588" t="s">
        <v>140</v>
      </c>
    </row>
    <row r="589" spans="1:7" x14ac:dyDescent="0.35">
      <c r="A589">
        <v>2022</v>
      </c>
      <c r="B589" t="s">
        <v>89</v>
      </c>
      <c r="C589" t="s">
        <v>28</v>
      </c>
      <c r="D589" t="s">
        <v>79</v>
      </c>
      <c r="E589" s="3">
        <v>40</v>
      </c>
      <c r="F589" s="3">
        <v>23021583</v>
      </c>
      <c r="G589" t="s">
        <v>167</v>
      </c>
    </row>
    <row r="590" spans="1:7" x14ac:dyDescent="0.35">
      <c r="A590">
        <v>2022</v>
      </c>
      <c r="B590" t="s">
        <v>98</v>
      </c>
      <c r="C590" t="s">
        <v>32</v>
      </c>
      <c r="D590" t="s">
        <v>79</v>
      </c>
      <c r="E590" s="3">
        <v>204722</v>
      </c>
      <c r="F590" s="3">
        <v>19685664021</v>
      </c>
      <c r="G590" t="s">
        <v>15</v>
      </c>
    </row>
    <row r="591" spans="1:7" x14ac:dyDescent="0.35">
      <c r="A591">
        <v>2022</v>
      </c>
      <c r="B591" t="s">
        <v>99</v>
      </c>
      <c r="C591" t="s">
        <v>32</v>
      </c>
      <c r="D591" t="s">
        <v>79</v>
      </c>
      <c r="E591" s="3">
        <v>43408</v>
      </c>
      <c r="F591" s="3">
        <v>3655055730</v>
      </c>
      <c r="G591" t="s">
        <v>149</v>
      </c>
    </row>
    <row r="592" spans="1:7" x14ac:dyDescent="0.35">
      <c r="A592">
        <v>2022</v>
      </c>
      <c r="B592" t="s">
        <v>114</v>
      </c>
      <c r="C592" t="s">
        <v>32</v>
      </c>
      <c r="D592" t="s">
        <v>79</v>
      </c>
      <c r="E592" s="3">
        <v>49106</v>
      </c>
      <c r="F592" s="3">
        <v>2483353653</v>
      </c>
      <c r="G592" t="s">
        <v>158</v>
      </c>
    </row>
    <row r="593" spans="1:7" x14ac:dyDescent="0.35">
      <c r="A593">
        <v>2022</v>
      </c>
      <c r="B593" t="s">
        <v>99</v>
      </c>
      <c r="C593" t="s">
        <v>32</v>
      </c>
      <c r="D593" t="s">
        <v>79</v>
      </c>
      <c r="E593" s="3">
        <v>5500</v>
      </c>
      <c r="F593" s="3">
        <v>785469071</v>
      </c>
      <c r="G593" t="s">
        <v>177</v>
      </c>
    </row>
    <row r="594" spans="1:7" x14ac:dyDescent="0.35">
      <c r="A594">
        <v>2022</v>
      </c>
      <c r="B594" t="s">
        <v>99</v>
      </c>
      <c r="C594" t="s">
        <v>32</v>
      </c>
      <c r="D594" t="s">
        <v>79</v>
      </c>
      <c r="E594" s="3">
        <v>3336</v>
      </c>
      <c r="F594" s="3">
        <v>171436989</v>
      </c>
      <c r="G594" t="s">
        <v>176</v>
      </c>
    </row>
    <row r="595" spans="1:7" x14ac:dyDescent="0.35">
      <c r="A595">
        <v>2022</v>
      </c>
      <c r="B595" t="s">
        <v>114</v>
      </c>
      <c r="C595" t="s">
        <v>32</v>
      </c>
      <c r="D595" t="s">
        <v>79</v>
      </c>
      <c r="E595" s="3">
        <v>2565</v>
      </c>
      <c r="F595" s="3">
        <v>146278950</v>
      </c>
      <c r="G595" t="s">
        <v>176</v>
      </c>
    </row>
    <row r="596" spans="1:7" x14ac:dyDescent="0.35">
      <c r="A596">
        <v>2022</v>
      </c>
      <c r="B596" t="s">
        <v>89</v>
      </c>
      <c r="C596" t="s">
        <v>26</v>
      </c>
      <c r="D596" t="s">
        <v>79</v>
      </c>
      <c r="E596" s="3">
        <v>25033</v>
      </c>
      <c r="F596" s="3">
        <v>6221775946</v>
      </c>
      <c r="G596" t="s">
        <v>147</v>
      </c>
    </row>
    <row r="597" spans="1:7" x14ac:dyDescent="0.35">
      <c r="A597">
        <v>2022</v>
      </c>
      <c r="B597" t="s">
        <v>89</v>
      </c>
      <c r="C597" t="s">
        <v>26</v>
      </c>
      <c r="D597" t="s">
        <v>79</v>
      </c>
      <c r="E597" s="3">
        <v>6416</v>
      </c>
      <c r="F597" s="3">
        <v>2188304538</v>
      </c>
      <c r="G597" t="s">
        <v>138</v>
      </c>
    </row>
    <row r="598" spans="1:7" x14ac:dyDescent="0.35">
      <c r="A598">
        <v>2022</v>
      </c>
      <c r="B598" t="s">
        <v>89</v>
      </c>
      <c r="C598" t="s">
        <v>28</v>
      </c>
      <c r="D598" t="s">
        <v>79</v>
      </c>
      <c r="E598" s="3">
        <v>35216</v>
      </c>
      <c r="F598" s="3">
        <v>7578109574</v>
      </c>
      <c r="G598" t="s">
        <v>147</v>
      </c>
    </row>
    <row r="599" spans="1:7" x14ac:dyDescent="0.35">
      <c r="A599">
        <v>2022</v>
      </c>
      <c r="B599" t="s">
        <v>89</v>
      </c>
      <c r="C599" t="s">
        <v>92</v>
      </c>
      <c r="D599" t="s">
        <v>79</v>
      </c>
      <c r="E599" s="3">
        <v>4540</v>
      </c>
      <c r="F599" s="3">
        <v>4153250167</v>
      </c>
      <c r="G599" t="s">
        <v>147</v>
      </c>
    </row>
    <row r="600" spans="1:7" x14ac:dyDescent="0.35">
      <c r="A600">
        <v>2022</v>
      </c>
      <c r="B600" t="s">
        <v>89</v>
      </c>
      <c r="C600" t="s">
        <v>92</v>
      </c>
      <c r="D600" t="s">
        <v>79</v>
      </c>
      <c r="E600" s="3">
        <v>440</v>
      </c>
      <c r="F600" s="3">
        <v>341151279</v>
      </c>
      <c r="G600" t="s">
        <v>168</v>
      </c>
    </row>
    <row r="601" spans="1:7" x14ac:dyDescent="0.35">
      <c r="A601">
        <v>2022</v>
      </c>
      <c r="B601" t="s">
        <v>89</v>
      </c>
      <c r="C601" t="s">
        <v>92</v>
      </c>
      <c r="D601" t="s">
        <v>79</v>
      </c>
      <c r="E601" s="3">
        <v>400</v>
      </c>
      <c r="F601" s="3">
        <v>303853087</v>
      </c>
      <c r="G601" t="s">
        <v>138</v>
      </c>
    </row>
    <row r="602" spans="1:7" x14ac:dyDescent="0.35">
      <c r="A602">
        <v>2022</v>
      </c>
      <c r="B602" t="s">
        <v>89</v>
      </c>
      <c r="C602" t="s">
        <v>92</v>
      </c>
      <c r="D602" t="s">
        <v>79</v>
      </c>
      <c r="E602" s="3">
        <v>400</v>
      </c>
      <c r="F602" s="3">
        <v>298442192</v>
      </c>
      <c r="G602" t="s">
        <v>167</v>
      </c>
    </row>
    <row r="603" spans="1:7" x14ac:dyDescent="0.35">
      <c r="A603">
        <v>2022</v>
      </c>
      <c r="B603" t="s">
        <v>89</v>
      </c>
      <c r="C603" t="s">
        <v>92</v>
      </c>
      <c r="D603" t="s">
        <v>79</v>
      </c>
      <c r="E603" s="3">
        <v>180</v>
      </c>
      <c r="F603" s="3">
        <v>142683113</v>
      </c>
      <c r="G603" t="s">
        <v>144</v>
      </c>
    </row>
    <row r="604" spans="1:7" x14ac:dyDescent="0.35">
      <c r="A604">
        <v>2022</v>
      </c>
      <c r="B604" t="s">
        <v>89</v>
      </c>
      <c r="C604" t="s">
        <v>92</v>
      </c>
      <c r="D604" t="s">
        <v>79</v>
      </c>
      <c r="E604" s="3">
        <v>120</v>
      </c>
      <c r="F604" s="3">
        <v>99738379</v>
      </c>
      <c r="G604" t="s">
        <v>164</v>
      </c>
    </row>
    <row r="605" spans="1:7" x14ac:dyDescent="0.35">
      <c r="A605">
        <v>2022</v>
      </c>
      <c r="B605" t="s">
        <v>89</v>
      </c>
      <c r="C605" t="s">
        <v>92</v>
      </c>
      <c r="D605" t="s">
        <v>79</v>
      </c>
      <c r="E605" s="3">
        <v>120</v>
      </c>
      <c r="F605" s="3">
        <v>87597760</v>
      </c>
      <c r="G605" t="s">
        <v>151</v>
      </c>
    </row>
    <row r="606" spans="1:7" x14ac:dyDescent="0.35">
      <c r="A606">
        <v>2022</v>
      </c>
      <c r="B606" t="s">
        <v>89</v>
      </c>
      <c r="C606" t="s">
        <v>92</v>
      </c>
      <c r="D606" t="s">
        <v>79</v>
      </c>
      <c r="E606" s="3">
        <v>100</v>
      </c>
      <c r="F606" s="3">
        <v>76434262</v>
      </c>
      <c r="G606" t="s">
        <v>165</v>
      </c>
    </row>
    <row r="607" spans="1:7" x14ac:dyDescent="0.35">
      <c r="A607">
        <v>2022</v>
      </c>
      <c r="B607" t="s">
        <v>89</v>
      </c>
      <c r="C607" t="s">
        <v>92</v>
      </c>
      <c r="D607" t="s">
        <v>79</v>
      </c>
      <c r="E607" s="3">
        <v>40</v>
      </c>
      <c r="F607" s="3">
        <v>29664509</v>
      </c>
      <c r="G607" t="s">
        <v>142</v>
      </c>
    </row>
    <row r="608" spans="1:7" x14ac:dyDescent="0.35">
      <c r="A608">
        <v>2022</v>
      </c>
      <c r="B608" t="s">
        <v>89</v>
      </c>
      <c r="C608" t="s">
        <v>91</v>
      </c>
      <c r="D608" t="s">
        <v>79</v>
      </c>
      <c r="E608" s="3">
        <v>2840</v>
      </c>
      <c r="F608" s="3">
        <v>3827194780</v>
      </c>
      <c r="G608" t="s">
        <v>147</v>
      </c>
    </row>
    <row r="609" spans="1:7" x14ac:dyDescent="0.35">
      <c r="A609">
        <v>2022</v>
      </c>
      <c r="B609" t="s">
        <v>89</v>
      </c>
      <c r="C609" t="s">
        <v>91</v>
      </c>
      <c r="D609" t="s">
        <v>79</v>
      </c>
      <c r="E609" s="3">
        <v>580</v>
      </c>
      <c r="F609" s="3">
        <v>634237080</v>
      </c>
      <c r="G609" t="s">
        <v>167</v>
      </c>
    </row>
    <row r="610" spans="1:7" x14ac:dyDescent="0.35">
      <c r="A610">
        <v>2022</v>
      </c>
      <c r="B610" t="s">
        <v>89</v>
      </c>
      <c r="C610" t="s">
        <v>91</v>
      </c>
      <c r="D610" t="s">
        <v>79</v>
      </c>
      <c r="E610" s="3">
        <v>240</v>
      </c>
      <c r="F610" s="3">
        <v>237528598</v>
      </c>
      <c r="G610" t="s">
        <v>164</v>
      </c>
    </row>
    <row r="611" spans="1:7" x14ac:dyDescent="0.35">
      <c r="A611">
        <v>2022</v>
      </c>
      <c r="B611" t="s">
        <v>89</v>
      </c>
      <c r="C611" t="s">
        <v>91</v>
      </c>
      <c r="D611" t="s">
        <v>79</v>
      </c>
      <c r="E611" s="3">
        <v>100</v>
      </c>
      <c r="F611" s="3">
        <v>131314917</v>
      </c>
      <c r="G611" t="s">
        <v>151</v>
      </c>
    </row>
    <row r="612" spans="1:7" x14ac:dyDescent="0.35">
      <c r="A612">
        <v>2022</v>
      </c>
      <c r="B612" t="s">
        <v>89</v>
      </c>
      <c r="C612" t="s">
        <v>91</v>
      </c>
      <c r="D612" t="s">
        <v>79</v>
      </c>
      <c r="E612" s="3">
        <v>100</v>
      </c>
      <c r="F612" s="3">
        <v>126512108</v>
      </c>
      <c r="G612" t="s">
        <v>144</v>
      </c>
    </row>
    <row r="613" spans="1:7" x14ac:dyDescent="0.35">
      <c r="A613">
        <v>2022</v>
      </c>
      <c r="B613" t="s">
        <v>89</v>
      </c>
      <c r="C613" t="s">
        <v>91</v>
      </c>
      <c r="D613" t="s">
        <v>79</v>
      </c>
      <c r="E613" s="3">
        <v>80</v>
      </c>
      <c r="F613" s="3">
        <v>96661461</v>
      </c>
      <c r="G613" t="s">
        <v>138</v>
      </c>
    </row>
    <row r="614" spans="1:7" x14ac:dyDescent="0.35">
      <c r="A614">
        <v>2022</v>
      </c>
      <c r="B614" t="s">
        <v>89</v>
      </c>
      <c r="C614" t="s">
        <v>91</v>
      </c>
      <c r="D614" t="s">
        <v>79</v>
      </c>
      <c r="E614" s="3">
        <v>60</v>
      </c>
      <c r="F614" s="3">
        <v>66222480</v>
      </c>
      <c r="G614" t="s">
        <v>205</v>
      </c>
    </row>
    <row r="615" spans="1:7" x14ac:dyDescent="0.35">
      <c r="A615">
        <v>2022</v>
      </c>
      <c r="B615" t="s">
        <v>89</v>
      </c>
      <c r="C615" t="s">
        <v>91</v>
      </c>
      <c r="D615" t="s">
        <v>79</v>
      </c>
      <c r="E615" s="3">
        <v>60</v>
      </c>
      <c r="F615" s="3">
        <v>64976444</v>
      </c>
      <c r="G615" t="s">
        <v>149</v>
      </c>
    </row>
    <row r="616" spans="1:7" x14ac:dyDescent="0.35">
      <c r="A616">
        <v>2022</v>
      </c>
      <c r="B616" t="s">
        <v>89</v>
      </c>
      <c r="C616" t="s">
        <v>91</v>
      </c>
      <c r="D616" t="s">
        <v>79</v>
      </c>
      <c r="E616" s="3">
        <v>60</v>
      </c>
      <c r="F616" s="3">
        <v>63697902</v>
      </c>
      <c r="G616" t="s">
        <v>168</v>
      </c>
    </row>
    <row r="617" spans="1:7" x14ac:dyDescent="0.35">
      <c r="A617">
        <v>2022</v>
      </c>
      <c r="B617" t="s">
        <v>89</v>
      </c>
      <c r="C617" t="s">
        <v>91</v>
      </c>
      <c r="D617" t="s">
        <v>79</v>
      </c>
      <c r="E617" s="3">
        <v>20</v>
      </c>
      <c r="F617" s="3">
        <v>26978417</v>
      </c>
      <c r="G617" t="s">
        <v>140</v>
      </c>
    </row>
    <row r="618" spans="1:7" x14ac:dyDescent="0.35">
      <c r="A618">
        <v>2022</v>
      </c>
      <c r="B618" t="s">
        <v>89</v>
      </c>
      <c r="C618" t="s">
        <v>91</v>
      </c>
      <c r="D618" t="s">
        <v>79</v>
      </c>
      <c r="E618" s="3">
        <v>20</v>
      </c>
      <c r="F618" s="3">
        <v>15489006</v>
      </c>
      <c r="G618" t="s">
        <v>158</v>
      </c>
    </row>
    <row r="619" spans="1:7" x14ac:dyDescent="0.35">
      <c r="A619">
        <v>2022</v>
      </c>
      <c r="B619" t="s">
        <v>93</v>
      </c>
      <c r="C619" t="s">
        <v>94</v>
      </c>
      <c r="D619" t="s">
        <v>79</v>
      </c>
      <c r="E619" s="3">
        <v>42629</v>
      </c>
      <c r="F619" s="3">
        <v>1283260095</v>
      </c>
      <c r="G619" t="s">
        <v>147</v>
      </c>
    </row>
    <row r="620" spans="1:7" x14ac:dyDescent="0.35">
      <c r="A620">
        <v>2022</v>
      </c>
      <c r="B620" t="s">
        <v>93</v>
      </c>
      <c r="C620" t="s">
        <v>94</v>
      </c>
      <c r="D620" t="s">
        <v>79</v>
      </c>
      <c r="E620" s="3">
        <v>37352</v>
      </c>
      <c r="F620" s="3">
        <v>1050899906</v>
      </c>
      <c r="G620" t="s">
        <v>151</v>
      </c>
    </row>
    <row r="621" spans="1:7" x14ac:dyDescent="0.35">
      <c r="A621">
        <v>2022</v>
      </c>
      <c r="B621" t="s">
        <v>93</v>
      </c>
      <c r="C621" t="s">
        <v>94</v>
      </c>
      <c r="D621" t="s">
        <v>79</v>
      </c>
      <c r="E621" s="3">
        <v>25442</v>
      </c>
      <c r="F621" s="3">
        <v>667908065</v>
      </c>
      <c r="G621" t="s">
        <v>144</v>
      </c>
    </row>
    <row r="622" spans="1:7" x14ac:dyDescent="0.35">
      <c r="A622">
        <v>2022</v>
      </c>
      <c r="B622" t="s">
        <v>93</v>
      </c>
      <c r="C622" t="s">
        <v>94</v>
      </c>
      <c r="D622" t="s">
        <v>79</v>
      </c>
      <c r="E622" s="3">
        <v>3009</v>
      </c>
      <c r="F622" s="3">
        <v>60126370</v>
      </c>
      <c r="G622" t="s">
        <v>151</v>
      </c>
    </row>
    <row r="623" spans="1:7" x14ac:dyDescent="0.35">
      <c r="A623">
        <v>2022</v>
      </c>
      <c r="B623" t="s">
        <v>95</v>
      </c>
      <c r="C623" t="s">
        <v>34</v>
      </c>
      <c r="D623" t="s">
        <v>79</v>
      </c>
      <c r="E623" s="3">
        <v>4477</v>
      </c>
      <c r="F623" s="3">
        <v>1676673578</v>
      </c>
      <c r="G623" t="s">
        <v>15</v>
      </c>
    </row>
    <row r="624" spans="1:7" x14ac:dyDescent="0.35">
      <c r="A624">
        <v>2022</v>
      </c>
      <c r="B624" t="s">
        <v>95</v>
      </c>
      <c r="C624" t="s">
        <v>34</v>
      </c>
      <c r="D624" t="s">
        <v>79</v>
      </c>
      <c r="E624" s="3">
        <v>4349</v>
      </c>
      <c r="F624" s="3">
        <v>471203100</v>
      </c>
      <c r="G624" t="s">
        <v>130</v>
      </c>
    </row>
    <row r="625" spans="1:7" x14ac:dyDescent="0.35">
      <c r="A625">
        <v>2022</v>
      </c>
      <c r="B625" t="s">
        <v>95</v>
      </c>
      <c r="C625" t="s">
        <v>34</v>
      </c>
      <c r="D625" t="s">
        <v>79</v>
      </c>
      <c r="E625" s="3">
        <v>47</v>
      </c>
      <c r="F625" s="3">
        <v>6063200</v>
      </c>
      <c r="G625" t="s">
        <v>126</v>
      </c>
    </row>
    <row r="626" spans="1:7" x14ac:dyDescent="0.35">
      <c r="A626">
        <v>2022</v>
      </c>
      <c r="B626" t="s">
        <v>95</v>
      </c>
      <c r="C626" t="s">
        <v>34</v>
      </c>
      <c r="D626" t="s">
        <v>79</v>
      </c>
      <c r="E626" s="3">
        <v>2455</v>
      </c>
      <c r="F626" s="3">
        <v>795369377</v>
      </c>
      <c r="G626" t="s">
        <v>127</v>
      </c>
    </row>
    <row r="627" spans="1:7" x14ac:dyDescent="0.35">
      <c r="A627">
        <v>2022</v>
      </c>
      <c r="B627" t="s">
        <v>95</v>
      </c>
      <c r="C627" t="s">
        <v>34</v>
      </c>
      <c r="D627" t="s">
        <v>79</v>
      </c>
      <c r="E627" s="3">
        <v>990</v>
      </c>
      <c r="F627" s="3">
        <v>379655625</v>
      </c>
      <c r="G627" t="s">
        <v>129</v>
      </c>
    </row>
    <row r="628" spans="1:7" x14ac:dyDescent="0.35">
      <c r="A628">
        <v>2022</v>
      </c>
      <c r="B628" t="s">
        <v>105</v>
      </c>
      <c r="C628" t="s">
        <v>102</v>
      </c>
      <c r="D628" t="s">
        <v>79</v>
      </c>
      <c r="E628" t="s">
        <v>15</v>
      </c>
      <c r="F628" s="3">
        <v>752749640</v>
      </c>
      <c r="G628" t="s">
        <v>127</v>
      </c>
    </row>
    <row r="629" spans="1:7" x14ac:dyDescent="0.35">
      <c r="A629">
        <v>2022</v>
      </c>
      <c r="B629" t="s">
        <v>83</v>
      </c>
      <c r="C629" t="s">
        <v>85</v>
      </c>
      <c r="D629" t="s">
        <v>79</v>
      </c>
      <c r="E629" s="8">
        <v>0.84909380999999995</v>
      </c>
      <c r="F629" s="3">
        <v>374908490</v>
      </c>
      <c r="G629" t="s">
        <v>133</v>
      </c>
    </row>
    <row r="630" spans="1:7" x14ac:dyDescent="0.35">
      <c r="A630">
        <v>2022</v>
      </c>
      <c r="B630" t="s">
        <v>108</v>
      </c>
      <c r="C630" t="s">
        <v>85</v>
      </c>
      <c r="D630" t="s">
        <v>79</v>
      </c>
      <c r="E630" s="8">
        <v>0.35442412000000001</v>
      </c>
      <c r="F630" s="3">
        <v>143623609</v>
      </c>
      <c r="G630" t="s">
        <v>145</v>
      </c>
    </row>
    <row r="631" spans="1:7" x14ac:dyDescent="0.35">
      <c r="A631">
        <v>2022</v>
      </c>
      <c r="B631" t="s">
        <v>77</v>
      </c>
      <c r="C631" t="s">
        <v>97</v>
      </c>
      <c r="D631" t="s">
        <v>79</v>
      </c>
      <c r="E631" s="3">
        <v>13646</v>
      </c>
      <c r="F631" s="3">
        <v>504794510</v>
      </c>
      <c r="G631" t="s">
        <v>130</v>
      </c>
    </row>
    <row r="632" spans="1:7" x14ac:dyDescent="0.35">
      <c r="A632">
        <v>2022</v>
      </c>
      <c r="B632" t="s">
        <v>95</v>
      </c>
      <c r="C632" t="s">
        <v>201</v>
      </c>
      <c r="D632" t="s">
        <v>79</v>
      </c>
      <c r="E632" s="3">
        <v>1020</v>
      </c>
      <c r="F632" s="3">
        <v>6117000</v>
      </c>
      <c r="G632" t="s">
        <v>130</v>
      </c>
    </row>
    <row r="633" spans="1:7" x14ac:dyDescent="0.35">
      <c r="A633">
        <v>2022</v>
      </c>
      <c r="B633" t="s">
        <v>95</v>
      </c>
      <c r="C633" t="s">
        <v>201</v>
      </c>
      <c r="D633" t="s">
        <v>79</v>
      </c>
      <c r="E633" s="3">
        <v>778950</v>
      </c>
      <c r="F633" s="3">
        <v>4673700</v>
      </c>
      <c r="G633" t="s">
        <v>128</v>
      </c>
    </row>
    <row r="634" spans="1:7" x14ac:dyDescent="0.35">
      <c r="A634">
        <v>2022</v>
      </c>
      <c r="B634" t="s">
        <v>77</v>
      </c>
      <c r="C634" t="s">
        <v>197</v>
      </c>
      <c r="D634" t="s">
        <v>15</v>
      </c>
      <c r="E634" t="s">
        <v>15</v>
      </c>
      <c r="F634" s="3">
        <v>20438660</v>
      </c>
      <c r="G634" t="s">
        <v>127</v>
      </c>
    </row>
    <row r="635" spans="1:7" x14ac:dyDescent="0.35">
      <c r="A635">
        <v>2022</v>
      </c>
      <c r="B635" t="s">
        <v>95</v>
      </c>
      <c r="C635" t="s">
        <v>203</v>
      </c>
      <c r="D635" t="s">
        <v>79</v>
      </c>
      <c r="E635" s="3">
        <v>1</v>
      </c>
      <c r="F635" s="3">
        <v>205000</v>
      </c>
      <c r="G635" t="s">
        <v>128</v>
      </c>
    </row>
    <row r="636" spans="1:7" x14ac:dyDescent="0.35">
      <c r="A636">
        <v>2023</v>
      </c>
      <c r="B636" t="s">
        <v>83</v>
      </c>
      <c r="C636" t="s">
        <v>84</v>
      </c>
      <c r="D636" t="s">
        <v>79</v>
      </c>
      <c r="E636" s="8">
        <v>8.9794804399999997</v>
      </c>
      <c r="F636" s="3">
        <v>344273384269</v>
      </c>
      <c r="G636" t="s">
        <v>133</v>
      </c>
    </row>
    <row r="637" spans="1:7" x14ac:dyDescent="0.35">
      <c r="A637">
        <v>2023</v>
      </c>
      <c r="B637" t="s">
        <v>108</v>
      </c>
      <c r="C637" t="s">
        <v>84</v>
      </c>
      <c r="D637" t="s">
        <v>79</v>
      </c>
      <c r="E637" s="8">
        <v>3.7308620399999999</v>
      </c>
      <c r="F637" s="3">
        <v>138107655558</v>
      </c>
      <c r="G637" t="s">
        <v>145</v>
      </c>
    </row>
    <row r="638" spans="1:7" x14ac:dyDescent="0.35">
      <c r="A638">
        <v>2023</v>
      </c>
      <c r="B638" t="s">
        <v>83</v>
      </c>
      <c r="C638" t="s">
        <v>84</v>
      </c>
      <c r="D638" t="s">
        <v>79</v>
      </c>
      <c r="E638" s="8">
        <v>0.24882781000000001</v>
      </c>
      <c r="F638" s="3">
        <v>9494006760</v>
      </c>
      <c r="G638" t="s">
        <v>176</v>
      </c>
    </row>
    <row r="639" spans="1:7" x14ac:dyDescent="0.35">
      <c r="A639">
        <v>2023</v>
      </c>
      <c r="B639" t="s">
        <v>95</v>
      </c>
      <c r="C639" t="s">
        <v>107</v>
      </c>
      <c r="D639" t="s">
        <v>79</v>
      </c>
      <c r="E639" s="3">
        <v>484798</v>
      </c>
      <c r="F639" s="3">
        <v>286195769501</v>
      </c>
      <c r="G639" t="s">
        <v>158</v>
      </c>
    </row>
    <row r="640" spans="1:7" x14ac:dyDescent="0.35">
      <c r="A640">
        <v>2023</v>
      </c>
      <c r="B640" t="s">
        <v>95</v>
      </c>
      <c r="C640" t="s">
        <v>107</v>
      </c>
      <c r="D640" t="s">
        <v>79</v>
      </c>
      <c r="E640" s="3">
        <v>14376</v>
      </c>
      <c r="F640" s="3">
        <v>8684769776</v>
      </c>
      <c r="G640" t="s">
        <v>168</v>
      </c>
    </row>
    <row r="641" spans="1:7" x14ac:dyDescent="0.35">
      <c r="A641">
        <v>2023</v>
      </c>
      <c r="B641" t="s">
        <v>95</v>
      </c>
      <c r="C641" t="s">
        <v>107</v>
      </c>
      <c r="D641" t="s">
        <v>79</v>
      </c>
      <c r="E641" s="3">
        <v>9504</v>
      </c>
      <c r="F641" s="3">
        <v>5852241986</v>
      </c>
      <c r="G641" t="s">
        <v>133</v>
      </c>
    </row>
    <row r="642" spans="1:7" x14ac:dyDescent="0.35">
      <c r="A642">
        <v>2023</v>
      </c>
      <c r="B642" t="s">
        <v>86</v>
      </c>
      <c r="C642" t="s">
        <v>82</v>
      </c>
      <c r="D642" t="s">
        <v>79</v>
      </c>
      <c r="E642" s="3">
        <v>867211</v>
      </c>
      <c r="F642" s="3">
        <v>42392387900</v>
      </c>
      <c r="G642" t="s">
        <v>130</v>
      </c>
    </row>
    <row r="643" spans="1:7" x14ac:dyDescent="0.35">
      <c r="A643">
        <v>2023</v>
      </c>
      <c r="B643" t="s">
        <v>86</v>
      </c>
      <c r="C643" t="s">
        <v>82</v>
      </c>
      <c r="D643" t="s">
        <v>79</v>
      </c>
      <c r="E643" s="3">
        <v>619499</v>
      </c>
      <c r="F643" s="3">
        <v>30125944745</v>
      </c>
      <c r="G643" t="s">
        <v>127</v>
      </c>
    </row>
    <row r="644" spans="1:7" x14ac:dyDescent="0.35">
      <c r="A644">
        <v>2023</v>
      </c>
      <c r="B644" t="s">
        <v>96</v>
      </c>
      <c r="C644" t="s">
        <v>82</v>
      </c>
      <c r="D644" t="s">
        <v>79</v>
      </c>
      <c r="E644" s="3">
        <v>240860</v>
      </c>
      <c r="F644" s="3">
        <v>11879649100</v>
      </c>
      <c r="G644" t="s">
        <v>130</v>
      </c>
    </row>
    <row r="645" spans="1:7" x14ac:dyDescent="0.35">
      <c r="A645">
        <v>2023</v>
      </c>
      <c r="B645" t="s">
        <v>77</v>
      </c>
      <c r="C645" t="s">
        <v>82</v>
      </c>
      <c r="D645" t="s">
        <v>79</v>
      </c>
      <c r="E645" s="3">
        <v>131698</v>
      </c>
      <c r="F645" s="3">
        <v>6669016479</v>
      </c>
      <c r="G645" t="s">
        <v>130</v>
      </c>
    </row>
    <row r="646" spans="1:7" x14ac:dyDescent="0.35">
      <c r="A646">
        <v>2023</v>
      </c>
      <c r="B646" t="s">
        <v>96</v>
      </c>
      <c r="C646" t="s">
        <v>82</v>
      </c>
      <c r="D646" t="s">
        <v>79</v>
      </c>
      <c r="E646" s="3">
        <v>41410</v>
      </c>
      <c r="F646" s="3">
        <v>1982066100</v>
      </c>
      <c r="G646" t="s">
        <v>127</v>
      </c>
    </row>
    <row r="647" spans="1:7" x14ac:dyDescent="0.35">
      <c r="A647">
        <v>2023</v>
      </c>
      <c r="B647" t="s">
        <v>77</v>
      </c>
      <c r="C647" t="s">
        <v>82</v>
      </c>
      <c r="D647" t="s">
        <v>79</v>
      </c>
      <c r="E647" s="3">
        <v>36362</v>
      </c>
      <c r="F647" s="3">
        <v>1769500108</v>
      </c>
      <c r="G647" t="s">
        <v>127</v>
      </c>
    </row>
    <row r="648" spans="1:7" x14ac:dyDescent="0.35">
      <c r="A648">
        <v>2023</v>
      </c>
      <c r="B648" t="s">
        <v>86</v>
      </c>
      <c r="C648" t="s">
        <v>82</v>
      </c>
      <c r="D648" t="s">
        <v>79</v>
      </c>
      <c r="E648" s="3">
        <v>23769</v>
      </c>
      <c r="F648" s="3">
        <v>1138912000</v>
      </c>
      <c r="G648" t="s">
        <v>131</v>
      </c>
    </row>
    <row r="649" spans="1:7" x14ac:dyDescent="0.35">
      <c r="A649">
        <v>2023</v>
      </c>
      <c r="B649" t="s">
        <v>96</v>
      </c>
      <c r="C649" t="s">
        <v>82</v>
      </c>
      <c r="D649" t="s">
        <v>79</v>
      </c>
      <c r="E649" s="3">
        <v>7597</v>
      </c>
      <c r="F649" s="3">
        <v>361075100</v>
      </c>
      <c r="G649" t="s">
        <v>128</v>
      </c>
    </row>
    <row r="650" spans="1:7" x14ac:dyDescent="0.35">
      <c r="A650">
        <v>2023</v>
      </c>
      <c r="B650" t="s">
        <v>77</v>
      </c>
      <c r="C650" t="s">
        <v>82</v>
      </c>
      <c r="D650" t="s">
        <v>79</v>
      </c>
      <c r="E650" s="3">
        <v>2818</v>
      </c>
      <c r="F650" s="3">
        <v>164045385</v>
      </c>
      <c r="G650" t="s">
        <v>131</v>
      </c>
    </row>
    <row r="651" spans="1:7" x14ac:dyDescent="0.35">
      <c r="A651">
        <v>2023</v>
      </c>
      <c r="B651" t="s">
        <v>86</v>
      </c>
      <c r="C651" t="s">
        <v>82</v>
      </c>
      <c r="D651" t="s">
        <v>79</v>
      </c>
      <c r="E651" s="3">
        <v>1883</v>
      </c>
      <c r="F651" s="3">
        <v>91769600</v>
      </c>
      <c r="G651" t="s">
        <v>128</v>
      </c>
    </row>
    <row r="652" spans="1:7" x14ac:dyDescent="0.35">
      <c r="A652">
        <v>2023</v>
      </c>
      <c r="B652" t="s">
        <v>77</v>
      </c>
      <c r="C652" t="s">
        <v>82</v>
      </c>
      <c r="D652" t="s">
        <v>79</v>
      </c>
      <c r="E652" s="3">
        <v>1232</v>
      </c>
      <c r="F652" s="3">
        <v>66124850</v>
      </c>
      <c r="G652" t="s">
        <v>129</v>
      </c>
    </row>
    <row r="653" spans="1:7" x14ac:dyDescent="0.35">
      <c r="A653">
        <v>2023</v>
      </c>
      <c r="B653" t="s">
        <v>77</v>
      </c>
      <c r="C653" t="s">
        <v>82</v>
      </c>
      <c r="D653" t="s">
        <v>79</v>
      </c>
      <c r="E653" s="3">
        <v>615</v>
      </c>
      <c r="F653" s="3">
        <v>36205000</v>
      </c>
      <c r="G653" t="s">
        <v>128</v>
      </c>
    </row>
    <row r="654" spans="1:7" x14ac:dyDescent="0.35">
      <c r="A654">
        <v>2023</v>
      </c>
      <c r="B654" t="s">
        <v>89</v>
      </c>
      <c r="C654" t="s">
        <v>28</v>
      </c>
      <c r="D654" t="s">
        <v>79</v>
      </c>
      <c r="E654" s="3">
        <v>292907</v>
      </c>
      <c r="F654" s="3">
        <v>53758549874</v>
      </c>
      <c r="G654" t="s">
        <v>147</v>
      </c>
    </row>
    <row r="655" spans="1:7" x14ac:dyDescent="0.35">
      <c r="A655">
        <v>2023</v>
      </c>
      <c r="B655" t="s">
        <v>98</v>
      </c>
      <c r="C655" t="s">
        <v>32</v>
      </c>
      <c r="D655" t="s">
        <v>79</v>
      </c>
      <c r="E655" s="3">
        <v>147924</v>
      </c>
      <c r="F655" s="3">
        <v>14379992965</v>
      </c>
      <c r="G655" t="s">
        <v>133</v>
      </c>
    </row>
    <row r="656" spans="1:7" x14ac:dyDescent="0.35">
      <c r="A656">
        <v>2023</v>
      </c>
      <c r="B656" t="s">
        <v>98</v>
      </c>
      <c r="C656" t="s">
        <v>32</v>
      </c>
      <c r="D656" t="s">
        <v>79</v>
      </c>
      <c r="E656" s="3">
        <v>137653</v>
      </c>
      <c r="F656" s="3">
        <v>13479732099</v>
      </c>
      <c r="G656" t="s">
        <v>133</v>
      </c>
    </row>
    <row r="657" spans="1:7" x14ac:dyDescent="0.35">
      <c r="A657">
        <v>2023</v>
      </c>
      <c r="B657" t="s">
        <v>99</v>
      </c>
      <c r="C657" t="s">
        <v>32</v>
      </c>
      <c r="D657" t="s">
        <v>79</v>
      </c>
      <c r="E657" s="3">
        <v>107973</v>
      </c>
      <c r="F657" s="3">
        <v>8991701556</v>
      </c>
      <c r="G657" t="s">
        <v>158</v>
      </c>
    </row>
    <row r="658" spans="1:7" x14ac:dyDescent="0.35">
      <c r="A658">
        <v>2023</v>
      </c>
      <c r="B658" t="s">
        <v>114</v>
      </c>
      <c r="C658" t="s">
        <v>32</v>
      </c>
      <c r="D658" t="s">
        <v>79</v>
      </c>
      <c r="E658" s="3">
        <v>120731</v>
      </c>
      <c r="F658" s="3">
        <v>7003407888</v>
      </c>
      <c r="G658" t="s">
        <v>158</v>
      </c>
    </row>
    <row r="659" spans="1:7" x14ac:dyDescent="0.35">
      <c r="A659">
        <v>2023</v>
      </c>
      <c r="B659" t="s">
        <v>98</v>
      </c>
      <c r="C659" t="s">
        <v>32</v>
      </c>
      <c r="D659" t="s">
        <v>79</v>
      </c>
      <c r="E659" s="3">
        <v>50000</v>
      </c>
      <c r="F659" s="3">
        <v>4820622150</v>
      </c>
      <c r="G659" t="s">
        <v>176</v>
      </c>
    </row>
    <row r="660" spans="1:7" x14ac:dyDescent="0.35">
      <c r="A660">
        <v>2023</v>
      </c>
      <c r="B660" t="s">
        <v>98</v>
      </c>
      <c r="C660" t="s">
        <v>32</v>
      </c>
      <c r="D660" t="s">
        <v>79</v>
      </c>
      <c r="E660" s="3">
        <v>19359</v>
      </c>
      <c r="F660" s="3">
        <v>2288489144</v>
      </c>
      <c r="G660" t="s">
        <v>206</v>
      </c>
    </row>
    <row r="661" spans="1:7" x14ac:dyDescent="0.35">
      <c r="A661">
        <v>2023</v>
      </c>
      <c r="B661" t="s">
        <v>98</v>
      </c>
      <c r="C661" t="s">
        <v>32</v>
      </c>
      <c r="D661" t="s">
        <v>79</v>
      </c>
      <c r="E661" s="3">
        <v>15000</v>
      </c>
      <c r="F661" s="3">
        <v>900789900</v>
      </c>
      <c r="G661" t="s">
        <v>130</v>
      </c>
    </row>
    <row r="662" spans="1:7" x14ac:dyDescent="0.35">
      <c r="A662">
        <v>2023</v>
      </c>
      <c r="B662" t="s">
        <v>99</v>
      </c>
      <c r="C662" t="s">
        <v>32</v>
      </c>
      <c r="D662" t="s">
        <v>79</v>
      </c>
      <c r="E662" s="3">
        <v>4829</v>
      </c>
      <c r="F662" s="3">
        <v>250924635</v>
      </c>
      <c r="G662" t="s">
        <v>176</v>
      </c>
    </row>
    <row r="663" spans="1:7" x14ac:dyDescent="0.35">
      <c r="A663">
        <v>2023</v>
      </c>
      <c r="B663" t="s">
        <v>99</v>
      </c>
      <c r="C663" t="s">
        <v>32</v>
      </c>
      <c r="D663" t="s">
        <v>79</v>
      </c>
      <c r="E663" s="3">
        <v>1600</v>
      </c>
      <c r="F663" s="3">
        <v>224599677</v>
      </c>
      <c r="G663" t="s">
        <v>160</v>
      </c>
    </row>
    <row r="664" spans="1:7" x14ac:dyDescent="0.35">
      <c r="A664">
        <v>2023</v>
      </c>
      <c r="B664" t="s">
        <v>99</v>
      </c>
      <c r="C664" t="s">
        <v>32</v>
      </c>
      <c r="D664" t="s">
        <v>79</v>
      </c>
      <c r="E664" s="3">
        <v>500</v>
      </c>
      <c r="F664" s="3">
        <v>82322604</v>
      </c>
      <c r="G664" t="s">
        <v>177</v>
      </c>
    </row>
    <row r="665" spans="1:7" x14ac:dyDescent="0.35">
      <c r="A665">
        <v>2023</v>
      </c>
      <c r="B665" t="s">
        <v>89</v>
      </c>
      <c r="C665" t="s">
        <v>26</v>
      </c>
      <c r="D665" t="s">
        <v>79</v>
      </c>
      <c r="E665" s="3">
        <v>28177</v>
      </c>
      <c r="F665" s="3">
        <v>32884062478</v>
      </c>
      <c r="G665" t="s">
        <v>147</v>
      </c>
    </row>
    <row r="666" spans="1:7" x14ac:dyDescent="0.35">
      <c r="A666">
        <v>2023</v>
      </c>
      <c r="B666" t="s">
        <v>89</v>
      </c>
      <c r="C666" t="s">
        <v>26</v>
      </c>
      <c r="D666" t="s">
        <v>79</v>
      </c>
      <c r="E666" s="3">
        <v>19379</v>
      </c>
      <c r="F666" s="3">
        <v>20872789482</v>
      </c>
      <c r="G666" t="s">
        <v>147</v>
      </c>
    </row>
    <row r="667" spans="1:7" x14ac:dyDescent="0.35">
      <c r="A667">
        <v>2023</v>
      </c>
      <c r="B667" t="s">
        <v>89</v>
      </c>
      <c r="C667" t="s">
        <v>28</v>
      </c>
      <c r="D667" t="s">
        <v>79</v>
      </c>
      <c r="E667" s="3">
        <v>111716</v>
      </c>
      <c r="F667" s="3">
        <v>19733612738</v>
      </c>
      <c r="G667" t="s">
        <v>147</v>
      </c>
    </row>
    <row r="668" spans="1:7" x14ac:dyDescent="0.35">
      <c r="A668">
        <v>2023</v>
      </c>
      <c r="B668" t="s">
        <v>95</v>
      </c>
      <c r="C668" t="s">
        <v>34</v>
      </c>
      <c r="D668" t="s">
        <v>79</v>
      </c>
      <c r="E668" s="3">
        <v>30297</v>
      </c>
      <c r="F668" s="3">
        <v>13498798140</v>
      </c>
      <c r="G668" t="s">
        <v>130</v>
      </c>
    </row>
    <row r="669" spans="1:7" x14ac:dyDescent="0.35">
      <c r="A669">
        <v>2023</v>
      </c>
      <c r="B669" t="s">
        <v>95</v>
      </c>
      <c r="C669" t="s">
        <v>34</v>
      </c>
      <c r="D669" t="s">
        <v>79</v>
      </c>
      <c r="E669" s="3">
        <v>17143</v>
      </c>
      <c r="F669" s="3">
        <v>6081250780</v>
      </c>
      <c r="G669" t="s">
        <v>127</v>
      </c>
    </row>
    <row r="670" spans="1:7" x14ac:dyDescent="0.35">
      <c r="A670">
        <v>2023</v>
      </c>
      <c r="B670" t="s">
        <v>93</v>
      </c>
      <c r="C670" t="s">
        <v>94</v>
      </c>
      <c r="D670" t="s">
        <v>79</v>
      </c>
      <c r="E670" s="3">
        <v>63715</v>
      </c>
      <c r="F670" s="3">
        <v>1713440839</v>
      </c>
      <c r="G670" t="s">
        <v>147</v>
      </c>
    </row>
    <row r="671" spans="1:7" x14ac:dyDescent="0.35">
      <c r="A671">
        <v>2023</v>
      </c>
      <c r="B671" t="s">
        <v>93</v>
      </c>
      <c r="C671" t="s">
        <v>94</v>
      </c>
      <c r="D671" t="s">
        <v>79</v>
      </c>
      <c r="E671" s="3">
        <v>70975</v>
      </c>
      <c r="F671" s="3">
        <v>1667182560</v>
      </c>
      <c r="G671" t="s">
        <v>151</v>
      </c>
    </row>
    <row r="672" spans="1:7" x14ac:dyDescent="0.35">
      <c r="A672">
        <v>2023</v>
      </c>
      <c r="B672" t="s">
        <v>93</v>
      </c>
      <c r="C672" t="s">
        <v>94</v>
      </c>
      <c r="D672" t="s">
        <v>79</v>
      </c>
      <c r="E672" s="3">
        <v>41485</v>
      </c>
      <c r="F672" s="3">
        <v>1096623757</v>
      </c>
      <c r="G672" t="s">
        <v>144</v>
      </c>
    </row>
    <row r="673" spans="1:7" x14ac:dyDescent="0.35">
      <c r="A673">
        <v>2023</v>
      </c>
      <c r="B673" t="s">
        <v>93</v>
      </c>
      <c r="C673" t="s">
        <v>94</v>
      </c>
      <c r="D673" t="s">
        <v>79</v>
      </c>
      <c r="E673" s="3">
        <v>4585</v>
      </c>
      <c r="F673" s="3">
        <v>249606882</v>
      </c>
      <c r="G673" t="s">
        <v>176</v>
      </c>
    </row>
    <row r="674" spans="1:7" x14ac:dyDescent="0.35">
      <c r="A674">
        <v>2023</v>
      </c>
      <c r="B674" t="s">
        <v>89</v>
      </c>
      <c r="C674" t="s">
        <v>92</v>
      </c>
      <c r="D674" t="s">
        <v>79</v>
      </c>
      <c r="E674" s="3">
        <v>4820</v>
      </c>
      <c r="F674" s="3">
        <v>3842041029</v>
      </c>
      <c r="G674" t="s">
        <v>147</v>
      </c>
    </row>
    <row r="675" spans="1:7" x14ac:dyDescent="0.35">
      <c r="A675">
        <v>2023</v>
      </c>
      <c r="B675" t="s">
        <v>89</v>
      </c>
      <c r="C675" t="s">
        <v>91</v>
      </c>
      <c r="D675" t="s">
        <v>79</v>
      </c>
      <c r="E675" s="3">
        <v>3062</v>
      </c>
      <c r="F675" s="3">
        <v>3610313079</v>
      </c>
      <c r="G675" t="s">
        <v>147</v>
      </c>
    </row>
    <row r="676" spans="1:7" x14ac:dyDescent="0.35">
      <c r="A676">
        <v>2023</v>
      </c>
      <c r="B676" t="s">
        <v>89</v>
      </c>
      <c r="C676" t="s">
        <v>26</v>
      </c>
      <c r="D676" t="s">
        <v>79</v>
      </c>
      <c r="E676" s="3">
        <v>24987</v>
      </c>
      <c r="F676" s="3">
        <v>3353671528</v>
      </c>
      <c r="G676" t="s">
        <v>147</v>
      </c>
    </row>
    <row r="677" spans="1:7" x14ac:dyDescent="0.35">
      <c r="A677">
        <v>2023</v>
      </c>
      <c r="B677" t="s">
        <v>104</v>
      </c>
      <c r="C677" t="s">
        <v>102</v>
      </c>
      <c r="D677" t="s">
        <v>79</v>
      </c>
      <c r="E677" s="3">
        <v>22058</v>
      </c>
      <c r="F677" s="3">
        <v>46887495</v>
      </c>
      <c r="G677" t="s">
        <v>15</v>
      </c>
    </row>
    <row r="678" spans="1:7" x14ac:dyDescent="0.35">
      <c r="A678">
        <v>2023</v>
      </c>
      <c r="B678" t="s">
        <v>115</v>
      </c>
      <c r="C678" t="s">
        <v>102</v>
      </c>
      <c r="D678" t="s">
        <v>79</v>
      </c>
      <c r="E678" t="s">
        <v>15</v>
      </c>
      <c r="F678" s="3">
        <v>2526487480</v>
      </c>
      <c r="G678" t="s">
        <v>176</v>
      </c>
    </row>
    <row r="679" spans="1:7" x14ac:dyDescent="0.35">
      <c r="A679">
        <v>2023</v>
      </c>
      <c r="B679" t="s">
        <v>105</v>
      </c>
      <c r="C679" t="s">
        <v>102</v>
      </c>
      <c r="D679" t="s">
        <v>79</v>
      </c>
      <c r="E679" s="3">
        <v>65839</v>
      </c>
      <c r="F679" s="3">
        <v>566744852</v>
      </c>
      <c r="G679" t="s">
        <v>127</v>
      </c>
    </row>
    <row r="680" spans="1:7" x14ac:dyDescent="0.35">
      <c r="A680">
        <v>2023</v>
      </c>
      <c r="B680" t="s">
        <v>115</v>
      </c>
      <c r="C680" t="s">
        <v>102</v>
      </c>
      <c r="D680" t="s">
        <v>79</v>
      </c>
      <c r="E680" t="s">
        <v>15</v>
      </c>
      <c r="F680" s="3">
        <v>97587866</v>
      </c>
      <c r="G680" t="s">
        <v>127</v>
      </c>
    </row>
    <row r="681" spans="1:7" x14ac:dyDescent="0.35">
      <c r="A681">
        <v>2023</v>
      </c>
      <c r="B681" t="s">
        <v>89</v>
      </c>
      <c r="C681" t="s">
        <v>28</v>
      </c>
      <c r="D681" t="s">
        <v>79</v>
      </c>
      <c r="E681" s="3">
        <v>17001</v>
      </c>
      <c r="F681" s="3">
        <v>2471147154</v>
      </c>
      <c r="G681" t="s">
        <v>147</v>
      </c>
    </row>
    <row r="682" spans="1:7" x14ac:dyDescent="0.35">
      <c r="A682">
        <v>2023</v>
      </c>
      <c r="B682" t="s">
        <v>83</v>
      </c>
      <c r="C682" t="s">
        <v>85</v>
      </c>
      <c r="D682" t="s">
        <v>79</v>
      </c>
      <c r="E682" s="8">
        <v>0.67874007000000003</v>
      </c>
      <c r="F682" s="3">
        <v>307938113</v>
      </c>
      <c r="G682" t="s">
        <v>133</v>
      </c>
    </row>
    <row r="683" spans="1:7" x14ac:dyDescent="0.35">
      <c r="A683">
        <v>2023</v>
      </c>
      <c r="B683" t="s">
        <v>108</v>
      </c>
      <c r="C683" t="s">
        <v>85</v>
      </c>
      <c r="D683" t="s">
        <v>79</v>
      </c>
      <c r="E683" s="8">
        <v>0.27595005</v>
      </c>
      <c r="F683" s="3">
        <v>122375993</v>
      </c>
      <c r="G683" t="s">
        <v>145</v>
      </c>
    </row>
    <row r="684" spans="1:7" x14ac:dyDescent="0.35">
      <c r="A684">
        <v>2023</v>
      </c>
      <c r="B684" t="s">
        <v>95</v>
      </c>
      <c r="C684" t="s">
        <v>34</v>
      </c>
      <c r="D684" t="s">
        <v>79</v>
      </c>
      <c r="E684" s="3">
        <v>4084</v>
      </c>
      <c r="F684" s="3">
        <v>358740500</v>
      </c>
      <c r="G684" t="s">
        <v>130</v>
      </c>
    </row>
    <row r="685" spans="1:7" x14ac:dyDescent="0.35">
      <c r="A685">
        <v>2023</v>
      </c>
      <c r="B685" t="s">
        <v>77</v>
      </c>
      <c r="C685" t="s">
        <v>97</v>
      </c>
      <c r="D685" t="s">
        <v>79</v>
      </c>
      <c r="E685" s="3">
        <v>3599</v>
      </c>
      <c r="F685" s="3">
        <v>134973750</v>
      </c>
      <c r="G685" t="s">
        <v>130</v>
      </c>
    </row>
    <row r="686" spans="1:7" x14ac:dyDescent="0.35">
      <c r="A686">
        <v>2023</v>
      </c>
      <c r="B686" t="s">
        <v>95</v>
      </c>
      <c r="C686" t="s">
        <v>201</v>
      </c>
      <c r="D686" t="s">
        <v>79</v>
      </c>
      <c r="E686" s="3">
        <v>1412</v>
      </c>
      <c r="F686" s="3">
        <v>8472900</v>
      </c>
      <c r="G686" t="s">
        <v>130</v>
      </c>
    </row>
    <row r="687" spans="1:7" x14ac:dyDescent="0.35">
      <c r="A687">
        <v>2023</v>
      </c>
      <c r="B687" t="s">
        <v>95</v>
      </c>
      <c r="C687" t="s">
        <v>201</v>
      </c>
      <c r="D687" t="s">
        <v>79</v>
      </c>
      <c r="E687" s="3">
        <v>1352</v>
      </c>
      <c r="F687" s="3">
        <v>8114700</v>
      </c>
      <c r="G687" t="s">
        <v>128</v>
      </c>
    </row>
    <row r="688" spans="1:7" x14ac:dyDescent="0.35">
      <c r="A688">
        <v>2023</v>
      </c>
      <c r="B688" t="s">
        <v>95</v>
      </c>
      <c r="C688" t="s">
        <v>201</v>
      </c>
      <c r="D688" t="s">
        <v>79</v>
      </c>
      <c r="E688" s="3">
        <v>100</v>
      </c>
      <c r="F688" s="3">
        <v>600000</v>
      </c>
      <c r="G688" t="s">
        <v>126</v>
      </c>
    </row>
    <row r="689" spans="1:7" x14ac:dyDescent="0.35">
      <c r="A689">
        <v>2023</v>
      </c>
      <c r="B689" t="s">
        <v>95</v>
      </c>
      <c r="C689" t="s">
        <v>32</v>
      </c>
      <c r="D689" t="s">
        <v>79</v>
      </c>
      <c r="E689" s="3">
        <v>99</v>
      </c>
      <c r="F689" s="3">
        <v>12309259</v>
      </c>
      <c r="G689" t="s">
        <v>158</v>
      </c>
    </row>
    <row r="690" spans="1:7" x14ac:dyDescent="0.35">
      <c r="A690">
        <v>2024</v>
      </c>
      <c r="B690" t="s">
        <v>108</v>
      </c>
      <c r="C690" t="s">
        <v>84</v>
      </c>
      <c r="D690" t="s">
        <v>79</v>
      </c>
      <c r="E690" s="8">
        <v>3.7828981599999998</v>
      </c>
      <c r="F690" s="3">
        <v>176892827875</v>
      </c>
      <c r="G690" t="s">
        <v>145</v>
      </c>
    </row>
    <row r="691" spans="1:7" x14ac:dyDescent="0.35">
      <c r="A691">
        <v>2024</v>
      </c>
      <c r="B691" t="s">
        <v>83</v>
      </c>
      <c r="C691" t="s">
        <v>84</v>
      </c>
      <c r="D691" t="s">
        <v>79</v>
      </c>
      <c r="E691" s="8">
        <v>3.6210045599999998</v>
      </c>
      <c r="F691" s="3">
        <v>171988995312</v>
      </c>
      <c r="G691" t="s">
        <v>168</v>
      </c>
    </row>
    <row r="692" spans="1:7" x14ac:dyDescent="0.35">
      <c r="A692">
        <v>2024</v>
      </c>
      <c r="B692" t="s">
        <v>83</v>
      </c>
      <c r="C692" t="s">
        <v>84</v>
      </c>
      <c r="D692" t="s">
        <v>79</v>
      </c>
      <c r="E692" s="8">
        <v>3.26589617</v>
      </c>
      <c r="F692" s="3">
        <v>153070817850</v>
      </c>
      <c r="G692" t="s">
        <v>133</v>
      </c>
    </row>
    <row r="693" spans="1:7" x14ac:dyDescent="0.35">
      <c r="A693">
        <v>2024</v>
      </c>
      <c r="B693" t="s">
        <v>95</v>
      </c>
      <c r="C693" t="s">
        <v>107</v>
      </c>
      <c r="D693" t="s">
        <v>79</v>
      </c>
      <c r="E693" s="3">
        <v>470216</v>
      </c>
      <c r="F693" s="3">
        <v>279802568290</v>
      </c>
      <c r="G693" t="s">
        <v>158</v>
      </c>
    </row>
    <row r="694" spans="1:7" x14ac:dyDescent="0.35">
      <c r="A694">
        <v>2024</v>
      </c>
      <c r="B694" t="s">
        <v>95</v>
      </c>
      <c r="C694" t="s">
        <v>107</v>
      </c>
      <c r="D694" t="s">
        <v>79</v>
      </c>
      <c r="E694" s="3">
        <v>13177</v>
      </c>
      <c r="F694" s="3">
        <v>7716598633</v>
      </c>
      <c r="G694" t="s">
        <v>168</v>
      </c>
    </row>
    <row r="695" spans="1:7" x14ac:dyDescent="0.35">
      <c r="A695">
        <v>2024</v>
      </c>
      <c r="B695" t="s">
        <v>86</v>
      </c>
      <c r="C695" t="s">
        <v>82</v>
      </c>
      <c r="D695" t="s">
        <v>79</v>
      </c>
      <c r="E695" s="3">
        <v>1196672</v>
      </c>
      <c r="F695" s="3">
        <v>56914606200</v>
      </c>
      <c r="G695" t="s">
        <v>134</v>
      </c>
    </row>
    <row r="696" spans="1:7" x14ac:dyDescent="0.35">
      <c r="A696">
        <v>2024</v>
      </c>
      <c r="B696" t="s">
        <v>86</v>
      </c>
      <c r="C696" t="s">
        <v>82</v>
      </c>
      <c r="D696" t="s">
        <v>79</v>
      </c>
      <c r="E696" s="3">
        <v>320386</v>
      </c>
      <c r="F696" s="3">
        <v>15314992585</v>
      </c>
      <c r="G696" t="s">
        <v>135</v>
      </c>
    </row>
    <row r="697" spans="1:7" x14ac:dyDescent="0.35">
      <c r="A697">
        <v>2024</v>
      </c>
      <c r="B697" t="s">
        <v>96</v>
      </c>
      <c r="C697" t="s">
        <v>82</v>
      </c>
      <c r="D697" t="s">
        <v>79</v>
      </c>
      <c r="E697" s="3">
        <v>99563</v>
      </c>
      <c r="F697" s="3">
        <v>10819242900</v>
      </c>
      <c r="G697" t="s">
        <v>130</v>
      </c>
    </row>
    <row r="698" spans="1:7" x14ac:dyDescent="0.35">
      <c r="A698">
        <v>2024</v>
      </c>
      <c r="B698" t="s">
        <v>77</v>
      </c>
      <c r="C698" t="s">
        <v>82</v>
      </c>
      <c r="D698" t="s">
        <v>79</v>
      </c>
      <c r="E698" s="3">
        <v>102356</v>
      </c>
      <c r="F698" s="3">
        <v>5152601247</v>
      </c>
      <c r="G698" t="s">
        <v>130</v>
      </c>
    </row>
    <row r="699" spans="1:7" x14ac:dyDescent="0.35">
      <c r="A699">
        <v>2024</v>
      </c>
      <c r="B699" t="s">
        <v>77</v>
      </c>
      <c r="C699" t="s">
        <v>82</v>
      </c>
      <c r="D699" t="s">
        <v>79</v>
      </c>
      <c r="E699" s="3">
        <v>21001</v>
      </c>
      <c r="F699" s="3">
        <v>1023768387</v>
      </c>
      <c r="G699" t="s">
        <v>127</v>
      </c>
    </row>
    <row r="700" spans="1:7" x14ac:dyDescent="0.35">
      <c r="A700">
        <v>2024</v>
      </c>
      <c r="B700" t="s">
        <v>96</v>
      </c>
      <c r="C700" t="s">
        <v>82</v>
      </c>
      <c r="D700" t="s">
        <v>79</v>
      </c>
      <c r="E700" s="3">
        <v>16340</v>
      </c>
      <c r="F700" s="3">
        <v>498575000</v>
      </c>
      <c r="G700" t="s">
        <v>127</v>
      </c>
    </row>
    <row r="701" spans="1:7" x14ac:dyDescent="0.35">
      <c r="A701">
        <v>2024</v>
      </c>
      <c r="B701" t="s">
        <v>77</v>
      </c>
      <c r="C701" t="s">
        <v>82</v>
      </c>
      <c r="D701" t="s">
        <v>79</v>
      </c>
      <c r="E701" s="3">
        <v>7013</v>
      </c>
      <c r="F701" s="3">
        <v>410459933</v>
      </c>
      <c r="G701" t="s">
        <v>131</v>
      </c>
    </row>
    <row r="702" spans="1:7" x14ac:dyDescent="0.35">
      <c r="A702">
        <v>2024</v>
      </c>
      <c r="B702" t="s">
        <v>96</v>
      </c>
      <c r="C702" t="s">
        <v>82</v>
      </c>
      <c r="D702" t="s">
        <v>79</v>
      </c>
      <c r="E702" s="3">
        <v>25717</v>
      </c>
      <c r="F702" s="3">
        <v>227326200</v>
      </c>
      <c r="G702" t="s">
        <v>128</v>
      </c>
    </row>
    <row r="703" spans="1:7" x14ac:dyDescent="0.35">
      <c r="A703">
        <v>2024</v>
      </c>
      <c r="B703" t="s">
        <v>77</v>
      </c>
      <c r="C703" t="s">
        <v>82</v>
      </c>
      <c r="D703" t="s">
        <v>79</v>
      </c>
      <c r="E703" s="3">
        <v>3989</v>
      </c>
      <c r="F703" s="3">
        <v>191512400</v>
      </c>
      <c r="G703" t="s">
        <v>189</v>
      </c>
    </row>
    <row r="704" spans="1:7" x14ac:dyDescent="0.35">
      <c r="A704">
        <v>2024</v>
      </c>
      <c r="B704" t="s">
        <v>77</v>
      </c>
      <c r="C704" t="s">
        <v>82</v>
      </c>
      <c r="D704" t="s">
        <v>79</v>
      </c>
      <c r="E704" s="3">
        <v>320</v>
      </c>
      <c r="F704" s="3">
        <v>15360000</v>
      </c>
      <c r="G704" t="s">
        <v>129</v>
      </c>
    </row>
    <row r="705" spans="1:7" x14ac:dyDescent="0.35">
      <c r="A705">
        <v>2024</v>
      </c>
      <c r="B705" t="s">
        <v>98</v>
      </c>
      <c r="C705" t="s">
        <v>32</v>
      </c>
      <c r="D705" t="s">
        <v>79</v>
      </c>
      <c r="E705" s="3">
        <v>121573</v>
      </c>
      <c r="F705" s="3">
        <v>10898420355</v>
      </c>
      <c r="G705" t="s">
        <v>133</v>
      </c>
    </row>
    <row r="706" spans="1:7" x14ac:dyDescent="0.35">
      <c r="A706">
        <v>2024</v>
      </c>
      <c r="B706" t="s">
        <v>99</v>
      </c>
      <c r="C706" t="s">
        <v>32</v>
      </c>
      <c r="D706" t="s">
        <v>79</v>
      </c>
      <c r="E706" s="3">
        <v>94451</v>
      </c>
      <c r="F706" s="3">
        <v>7691623558</v>
      </c>
      <c r="G706" t="s">
        <v>158</v>
      </c>
    </row>
    <row r="707" spans="1:7" x14ac:dyDescent="0.35">
      <c r="A707">
        <v>2024</v>
      </c>
      <c r="B707" t="s">
        <v>98</v>
      </c>
      <c r="C707" t="s">
        <v>32</v>
      </c>
      <c r="D707" t="s">
        <v>79</v>
      </c>
      <c r="E707" s="3">
        <v>72510</v>
      </c>
      <c r="F707" s="3">
        <v>6046547100</v>
      </c>
      <c r="G707" t="s">
        <v>133</v>
      </c>
    </row>
    <row r="708" spans="1:7" x14ac:dyDescent="0.35">
      <c r="A708">
        <v>2024</v>
      </c>
      <c r="B708" t="s">
        <v>98</v>
      </c>
      <c r="C708" t="s">
        <v>32</v>
      </c>
      <c r="D708" t="s">
        <v>79</v>
      </c>
      <c r="E708" s="3">
        <v>30152</v>
      </c>
      <c r="F708" s="3">
        <v>2643705806</v>
      </c>
      <c r="G708" t="s">
        <v>144</v>
      </c>
    </row>
    <row r="709" spans="1:7" x14ac:dyDescent="0.35">
      <c r="A709">
        <v>2024</v>
      </c>
      <c r="B709" t="s">
        <v>99</v>
      </c>
      <c r="C709" t="s">
        <v>32</v>
      </c>
      <c r="D709" t="s">
        <v>79</v>
      </c>
      <c r="E709" s="3">
        <v>29612</v>
      </c>
      <c r="F709" s="3">
        <v>1885932032</v>
      </c>
      <c r="G709" t="s">
        <v>171</v>
      </c>
    </row>
    <row r="710" spans="1:7" x14ac:dyDescent="0.35">
      <c r="A710">
        <v>2024</v>
      </c>
      <c r="B710" t="s">
        <v>99</v>
      </c>
      <c r="C710" t="s">
        <v>32</v>
      </c>
      <c r="D710" t="s">
        <v>79</v>
      </c>
      <c r="E710" s="3">
        <v>25084</v>
      </c>
      <c r="F710" s="3">
        <v>1493949967</v>
      </c>
      <c r="G710" t="s">
        <v>143</v>
      </c>
    </row>
    <row r="711" spans="1:7" x14ac:dyDescent="0.35">
      <c r="A711">
        <v>2024</v>
      </c>
      <c r="B711" t="s">
        <v>99</v>
      </c>
      <c r="C711" t="s">
        <v>32</v>
      </c>
      <c r="D711" t="s">
        <v>79</v>
      </c>
      <c r="E711" s="3">
        <v>21169</v>
      </c>
      <c r="F711" s="3">
        <v>1227500356</v>
      </c>
      <c r="G711" t="s">
        <v>149</v>
      </c>
    </row>
    <row r="712" spans="1:7" x14ac:dyDescent="0.35">
      <c r="A712">
        <v>2024</v>
      </c>
      <c r="B712" t="s">
        <v>99</v>
      </c>
      <c r="C712" t="s">
        <v>32</v>
      </c>
      <c r="D712" t="s">
        <v>79</v>
      </c>
      <c r="E712" s="3">
        <v>2925</v>
      </c>
      <c r="F712" s="3">
        <v>358792082</v>
      </c>
      <c r="G712" t="s">
        <v>160</v>
      </c>
    </row>
    <row r="713" spans="1:7" x14ac:dyDescent="0.35">
      <c r="A713">
        <v>2024</v>
      </c>
      <c r="B713" t="s">
        <v>98</v>
      </c>
      <c r="C713" t="s">
        <v>32</v>
      </c>
      <c r="D713" t="s">
        <v>79</v>
      </c>
      <c r="E713" s="3">
        <v>6183</v>
      </c>
      <c r="F713" s="3">
        <v>327709600</v>
      </c>
      <c r="G713" t="s">
        <v>130</v>
      </c>
    </row>
    <row r="714" spans="1:7" x14ac:dyDescent="0.35">
      <c r="A714">
        <v>2024</v>
      </c>
      <c r="B714" t="s">
        <v>99</v>
      </c>
      <c r="C714" t="s">
        <v>32</v>
      </c>
      <c r="D714" t="s">
        <v>79</v>
      </c>
      <c r="E714" s="3">
        <v>3888</v>
      </c>
      <c r="F714" s="3">
        <v>150018417</v>
      </c>
      <c r="G714" t="s">
        <v>146</v>
      </c>
    </row>
    <row r="715" spans="1:7" x14ac:dyDescent="0.35">
      <c r="A715">
        <v>2024</v>
      </c>
      <c r="B715" t="s">
        <v>95</v>
      </c>
      <c r="C715" t="s">
        <v>34</v>
      </c>
      <c r="D715" t="s">
        <v>79</v>
      </c>
      <c r="E715" s="3">
        <v>32978</v>
      </c>
      <c r="F715" s="3">
        <v>14570824067</v>
      </c>
      <c r="G715" t="s">
        <v>140</v>
      </c>
    </row>
    <row r="716" spans="1:7" x14ac:dyDescent="0.35">
      <c r="A716">
        <v>2024</v>
      </c>
      <c r="B716" t="s">
        <v>95</v>
      </c>
      <c r="C716" t="s">
        <v>34</v>
      </c>
      <c r="D716" t="s">
        <v>79</v>
      </c>
      <c r="E716" s="3">
        <v>27124</v>
      </c>
      <c r="F716" s="3">
        <v>9936719933</v>
      </c>
      <c r="G716" t="s">
        <v>133</v>
      </c>
    </row>
    <row r="717" spans="1:7" x14ac:dyDescent="0.35">
      <c r="A717">
        <v>2024</v>
      </c>
      <c r="B717" t="s">
        <v>95</v>
      </c>
      <c r="C717" t="s">
        <v>34</v>
      </c>
      <c r="D717" t="s">
        <v>79</v>
      </c>
      <c r="E717" s="3">
        <v>13504</v>
      </c>
      <c r="F717" s="3">
        <v>5078254628</v>
      </c>
      <c r="G717" t="s">
        <v>168</v>
      </c>
    </row>
    <row r="718" spans="1:7" x14ac:dyDescent="0.35">
      <c r="A718">
        <v>2024</v>
      </c>
      <c r="B718" t="s">
        <v>89</v>
      </c>
      <c r="C718" t="s">
        <v>28</v>
      </c>
      <c r="D718" t="s">
        <v>79</v>
      </c>
      <c r="E718" s="3">
        <v>387783</v>
      </c>
      <c r="F718" s="3">
        <v>57119016447</v>
      </c>
      <c r="G718" t="s">
        <v>147</v>
      </c>
    </row>
    <row r="719" spans="1:7" x14ac:dyDescent="0.35">
      <c r="A719">
        <v>2024</v>
      </c>
      <c r="B719" t="s">
        <v>114</v>
      </c>
      <c r="C719" t="s">
        <v>32</v>
      </c>
      <c r="D719" t="s">
        <v>79</v>
      </c>
      <c r="E719" s="3">
        <v>147335</v>
      </c>
      <c r="F719" s="3">
        <v>10100020161</v>
      </c>
      <c r="G719" t="s">
        <v>15</v>
      </c>
    </row>
    <row r="720" spans="1:7" x14ac:dyDescent="0.35">
      <c r="A720">
        <v>2024</v>
      </c>
      <c r="B720" t="s">
        <v>95</v>
      </c>
      <c r="C720" t="s">
        <v>34</v>
      </c>
      <c r="D720" t="s">
        <v>79</v>
      </c>
      <c r="E720" s="3">
        <v>14658</v>
      </c>
      <c r="F720" s="3">
        <v>4644684890</v>
      </c>
      <c r="G720" t="s">
        <v>130</v>
      </c>
    </row>
    <row r="721" spans="1:7" x14ac:dyDescent="0.35">
      <c r="A721">
        <v>2024</v>
      </c>
      <c r="B721" t="s">
        <v>95</v>
      </c>
      <c r="C721" t="s">
        <v>34</v>
      </c>
      <c r="D721" t="s">
        <v>79</v>
      </c>
      <c r="E721" s="3">
        <v>5005</v>
      </c>
      <c r="F721" s="3">
        <v>1611501778</v>
      </c>
      <c r="G721" t="s">
        <v>127</v>
      </c>
    </row>
    <row r="722" spans="1:7" x14ac:dyDescent="0.35">
      <c r="A722">
        <v>2024</v>
      </c>
      <c r="B722" t="s">
        <v>93</v>
      </c>
      <c r="C722" t="s">
        <v>94</v>
      </c>
      <c r="D722" t="s">
        <v>79</v>
      </c>
      <c r="E722" s="3">
        <v>59499</v>
      </c>
      <c r="F722" s="3">
        <v>1642761360</v>
      </c>
      <c r="G722" t="s">
        <v>147</v>
      </c>
    </row>
    <row r="723" spans="1:7" x14ac:dyDescent="0.35">
      <c r="A723">
        <v>2024</v>
      </c>
      <c r="B723" t="s">
        <v>93</v>
      </c>
      <c r="C723" t="s">
        <v>94</v>
      </c>
      <c r="D723" t="s">
        <v>79</v>
      </c>
      <c r="E723" s="3">
        <v>66541</v>
      </c>
      <c r="F723" s="3">
        <v>1622901908</v>
      </c>
      <c r="G723" t="s">
        <v>151</v>
      </c>
    </row>
    <row r="724" spans="1:7" x14ac:dyDescent="0.35">
      <c r="A724">
        <v>2024</v>
      </c>
      <c r="B724" t="s">
        <v>93</v>
      </c>
      <c r="C724" t="s">
        <v>94</v>
      </c>
      <c r="D724" t="s">
        <v>79</v>
      </c>
      <c r="E724" s="3">
        <v>30502</v>
      </c>
      <c r="F724" s="3">
        <v>918624505</v>
      </c>
      <c r="G724" t="s">
        <v>144</v>
      </c>
    </row>
    <row r="725" spans="1:7" x14ac:dyDescent="0.35">
      <c r="A725">
        <v>2024</v>
      </c>
      <c r="B725" t="s">
        <v>105</v>
      </c>
      <c r="C725" t="s">
        <v>102</v>
      </c>
      <c r="D725" t="s">
        <v>79</v>
      </c>
      <c r="E725" s="3">
        <v>340661</v>
      </c>
      <c r="F725" s="3">
        <v>3071169676</v>
      </c>
      <c r="G725" t="s">
        <v>127</v>
      </c>
    </row>
    <row r="726" spans="1:7" x14ac:dyDescent="0.35">
      <c r="A726">
        <v>2024</v>
      </c>
      <c r="B726" t="s">
        <v>115</v>
      </c>
      <c r="C726" t="s">
        <v>102</v>
      </c>
      <c r="D726" t="s">
        <v>79</v>
      </c>
      <c r="E726" t="s">
        <v>15</v>
      </c>
      <c r="F726" s="3">
        <v>358807621</v>
      </c>
      <c r="G726" t="s">
        <v>127</v>
      </c>
    </row>
    <row r="727" spans="1:7" x14ac:dyDescent="0.35">
      <c r="A727">
        <v>2024</v>
      </c>
      <c r="B727" t="s">
        <v>104</v>
      </c>
      <c r="C727" t="s">
        <v>102</v>
      </c>
      <c r="D727" t="s">
        <v>79</v>
      </c>
      <c r="E727" s="3">
        <v>25201</v>
      </c>
      <c r="F727" s="3">
        <v>63184603</v>
      </c>
      <c r="G727" t="s">
        <v>127</v>
      </c>
    </row>
    <row r="728" spans="1:7" x14ac:dyDescent="0.35">
      <c r="A728">
        <v>2024</v>
      </c>
      <c r="B728" t="s">
        <v>89</v>
      </c>
      <c r="C728" t="s">
        <v>26</v>
      </c>
      <c r="D728" t="s">
        <v>79</v>
      </c>
      <c r="E728" s="3">
        <v>31443</v>
      </c>
      <c r="F728" s="3">
        <v>4311499782</v>
      </c>
      <c r="G728" t="s">
        <v>147</v>
      </c>
    </row>
    <row r="729" spans="1:7" x14ac:dyDescent="0.35">
      <c r="A729">
        <v>2024</v>
      </c>
      <c r="B729" t="s">
        <v>89</v>
      </c>
      <c r="C729" t="s">
        <v>92</v>
      </c>
      <c r="D729" t="s">
        <v>79</v>
      </c>
      <c r="E729" s="3">
        <v>6092</v>
      </c>
      <c r="F729" s="3">
        <v>4539903428</v>
      </c>
      <c r="G729" t="s">
        <v>147</v>
      </c>
    </row>
    <row r="730" spans="1:7" x14ac:dyDescent="0.35">
      <c r="A730">
        <v>2024</v>
      </c>
      <c r="B730" t="s">
        <v>89</v>
      </c>
      <c r="C730" t="s">
        <v>91</v>
      </c>
      <c r="D730" t="s">
        <v>79</v>
      </c>
      <c r="E730" s="3">
        <v>2640</v>
      </c>
      <c r="F730" s="3">
        <v>2861618508</v>
      </c>
      <c r="G730" t="s">
        <v>147</v>
      </c>
    </row>
    <row r="731" spans="1:7" x14ac:dyDescent="0.35">
      <c r="A731">
        <v>2024</v>
      </c>
      <c r="B731" t="s">
        <v>89</v>
      </c>
      <c r="C731" t="s">
        <v>28</v>
      </c>
      <c r="D731" t="s">
        <v>79</v>
      </c>
      <c r="E731" s="3">
        <v>20001</v>
      </c>
      <c r="F731" s="3">
        <v>2761143939</v>
      </c>
      <c r="G731" t="s">
        <v>147</v>
      </c>
    </row>
    <row r="732" spans="1:7" x14ac:dyDescent="0.35">
      <c r="A732">
        <v>2024</v>
      </c>
      <c r="B732" t="s">
        <v>89</v>
      </c>
      <c r="C732" t="s">
        <v>26</v>
      </c>
      <c r="D732" t="s">
        <v>79</v>
      </c>
      <c r="E732" s="3">
        <v>39376</v>
      </c>
      <c r="F732" s="3">
        <v>43681219368</v>
      </c>
      <c r="G732" t="s">
        <v>147</v>
      </c>
    </row>
    <row r="733" spans="1:7" x14ac:dyDescent="0.35">
      <c r="A733">
        <v>2024</v>
      </c>
      <c r="B733" t="s">
        <v>89</v>
      </c>
      <c r="C733" t="s">
        <v>26</v>
      </c>
      <c r="D733" t="s">
        <v>79</v>
      </c>
      <c r="E733" s="3">
        <v>27523</v>
      </c>
      <c r="F733" s="3">
        <v>28804344792</v>
      </c>
      <c r="G733" t="s">
        <v>147</v>
      </c>
    </row>
    <row r="734" spans="1:7" x14ac:dyDescent="0.35">
      <c r="A734">
        <v>2024</v>
      </c>
      <c r="B734" t="s">
        <v>89</v>
      </c>
      <c r="C734" t="s">
        <v>28</v>
      </c>
      <c r="D734" t="s">
        <v>79</v>
      </c>
      <c r="E734" s="3">
        <v>153286</v>
      </c>
      <c r="F734" s="3">
        <v>26445296560</v>
      </c>
      <c r="G734" t="s">
        <v>147</v>
      </c>
    </row>
    <row r="735" spans="1:7" x14ac:dyDescent="0.35">
      <c r="A735">
        <v>2024</v>
      </c>
      <c r="B735" t="s">
        <v>95</v>
      </c>
      <c r="C735" t="s">
        <v>34</v>
      </c>
      <c r="D735" t="s">
        <v>79</v>
      </c>
      <c r="E735" s="3">
        <v>1980</v>
      </c>
      <c r="F735" s="3">
        <v>792000000</v>
      </c>
      <c r="G735" t="s">
        <v>130</v>
      </c>
    </row>
    <row r="736" spans="1:7" x14ac:dyDescent="0.35">
      <c r="A736">
        <v>2024</v>
      </c>
      <c r="B736" t="s">
        <v>108</v>
      </c>
      <c r="C736" t="s">
        <v>85</v>
      </c>
      <c r="D736" t="s">
        <v>79</v>
      </c>
      <c r="E736" s="8">
        <v>0.31398959999999998</v>
      </c>
      <c r="F736" s="3">
        <v>169980320</v>
      </c>
      <c r="G736" t="s">
        <v>145</v>
      </c>
    </row>
    <row r="737" spans="1:7" x14ac:dyDescent="0.35">
      <c r="A737">
        <v>2024</v>
      </c>
      <c r="B737" t="s">
        <v>83</v>
      </c>
      <c r="C737" t="s">
        <v>85</v>
      </c>
      <c r="D737" t="s">
        <v>79</v>
      </c>
      <c r="E737" s="8">
        <v>0.27694535999999997</v>
      </c>
      <c r="F737" s="3">
        <v>156146734</v>
      </c>
      <c r="G737" t="s">
        <v>168</v>
      </c>
    </row>
    <row r="738" spans="1:7" x14ac:dyDescent="0.35">
      <c r="A738">
        <v>2024</v>
      </c>
      <c r="B738" t="s">
        <v>83</v>
      </c>
      <c r="C738" t="s">
        <v>85</v>
      </c>
      <c r="D738" t="s">
        <v>79</v>
      </c>
      <c r="E738" s="8">
        <v>0.25445753999999998</v>
      </c>
      <c r="F738" s="3">
        <v>140740539</v>
      </c>
      <c r="G738" t="s">
        <v>133</v>
      </c>
    </row>
    <row r="739" spans="1:7" x14ac:dyDescent="0.35">
      <c r="A739">
        <v>2024</v>
      </c>
      <c r="B739" t="s">
        <v>95</v>
      </c>
      <c r="C739" t="s">
        <v>34</v>
      </c>
      <c r="D739" t="s">
        <v>79</v>
      </c>
      <c r="E739" s="3">
        <v>1061</v>
      </c>
      <c r="F739" s="3">
        <v>90185000</v>
      </c>
      <c r="G739" t="s">
        <v>130</v>
      </c>
    </row>
    <row r="740" spans="1:7" x14ac:dyDescent="0.35">
      <c r="A740">
        <v>2021</v>
      </c>
      <c r="B740" t="s">
        <v>108</v>
      </c>
      <c r="C740" t="s">
        <v>84</v>
      </c>
      <c r="D740" t="s">
        <v>79</v>
      </c>
      <c r="E740" s="8">
        <v>3.9934687000000002</v>
      </c>
      <c r="F740" s="3">
        <v>123373225492</v>
      </c>
      <c r="G740" t="s">
        <v>145</v>
      </c>
    </row>
    <row r="741" spans="1:7" x14ac:dyDescent="0.35">
      <c r="A741">
        <v>2021</v>
      </c>
      <c r="B741" t="s">
        <v>83</v>
      </c>
      <c r="C741" t="s">
        <v>84</v>
      </c>
      <c r="D741" t="s">
        <v>79</v>
      </c>
      <c r="E741" s="8">
        <v>11.87975524</v>
      </c>
      <c r="F741" s="3">
        <v>381693870501</v>
      </c>
      <c r="G741" t="s">
        <v>133</v>
      </c>
    </row>
    <row r="742" spans="1:7" x14ac:dyDescent="0.35">
      <c r="A742">
        <v>2021</v>
      </c>
      <c r="B742" t="s">
        <v>108</v>
      </c>
      <c r="C742" t="s">
        <v>85</v>
      </c>
      <c r="D742" t="s">
        <v>79</v>
      </c>
      <c r="E742" s="8">
        <v>0.28792487999999999</v>
      </c>
      <c r="F742" s="3">
        <v>129692515</v>
      </c>
      <c r="G742" t="s">
        <v>145</v>
      </c>
    </row>
    <row r="743" spans="1:7" x14ac:dyDescent="0.35">
      <c r="A743">
        <v>2021</v>
      </c>
      <c r="B743" t="s">
        <v>83</v>
      </c>
      <c r="C743" t="s">
        <v>85</v>
      </c>
      <c r="D743" t="s">
        <v>79</v>
      </c>
      <c r="E743" s="8">
        <v>1.0267257700000001</v>
      </c>
      <c r="F743" s="3">
        <v>453060509</v>
      </c>
      <c r="G743" t="s">
        <v>133</v>
      </c>
    </row>
    <row r="744" spans="1:7" x14ac:dyDescent="0.35">
      <c r="A744">
        <v>2021</v>
      </c>
      <c r="B744" t="s">
        <v>86</v>
      </c>
      <c r="C744" t="s">
        <v>82</v>
      </c>
      <c r="D744" t="s">
        <v>79</v>
      </c>
      <c r="E744" s="3">
        <v>287525</v>
      </c>
      <c r="F744" s="3">
        <v>11945492350</v>
      </c>
      <c r="G744" t="s">
        <v>135</v>
      </c>
    </row>
    <row r="745" spans="1:7" x14ac:dyDescent="0.35">
      <c r="A745">
        <v>2021</v>
      </c>
      <c r="B745" t="s">
        <v>86</v>
      </c>
      <c r="C745" t="s">
        <v>82</v>
      </c>
      <c r="D745" t="s">
        <v>79</v>
      </c>
      <c r="E745" s="3">
        <v>764612</v>
      </c>
      <c r="F745" s="3">
        <v>30414632250</v>
      </c>
      <c r="G745" t="s">
        <v>134</v>
      </c>
    </row>
    <row r="746" spans="1:7" x14ac:dyDescent="0.35">
      <c r="A746">
        <v>2021</v>
      </c>
      <c r="B746" t="s">
        <v>96</v>
      </c>
      <c r="C746" t="s">
        <v>82</v>
      </c>
      <c r="D746" t="s">
        <v>79</v>
      </c>
      <c r="E746" s="3">
        <v>74400</v>
      </c>
      <c r="F746" s="3">
        <v>2741372940</v>
      </c>
      <c r="G746" t="s">
        <v>127</v>
      </c>
    </row>
    <row r="747" spans="1:7" x14ac:dyDescent="0.35">
      <c r="A747">
        <v>2021</v>
      </c>
      <c r="B747" t="s">
        <v>96</v>
      </c>
      <c r="C747" t="s">
        <v>82</v>
      </c>
      <c r="D747" t="s">
        <v>79</v>
      </c>
      <c r="E747" s="3">
        <v>6513</v>
      </c>
      <c r="F747" s="3">
        <v>235924920</v>
      </c>
      <c r="G747" t="s">
        <v>128</v>
      </c>
    </row>
    <row r="748" spans="1:7" x14ac:dyDescent="0.35">
      <c r="A748">
        <v>2021</v>
      </c>
      <c r="B748" t="s">
        <v>96</v>
      </c>
      <c r="C748" t="s">
        <v>82</v>
      </c>
      <c r="D748" t="s">
        <v>79</v>
      </c>
      <c r="E748" s="3">
        <v>282786</v>
      </c>
      <c r="F748" s="3">
        <v>10759288560</v>
      </c>
      <c r="G748" t="s">
        <v>130</v>
      </c>
    </row>
    <row r="749" spans="1:7" x14ac:dyDescent="0.35">
      <c r="A749">
        <v>2021</v>
      </c>
      <c r="B749" t="s">
        <v>77</v>
      </c>
      <c r="C749" t="s">
        <v>82</v>
      </c>
      <c r="D749" t="s">
        <v>79</v>
      </c>
      <c r="E749" s="3">
        <v>82744</v>
      </c>
      <c r="F749" s="3">
        <v>3315486212</v>
      </c>
      <c r="G749" t="s">
        <v>127</v>
      </c>
    </row>
    <row r="750" spans="1:7" x14ac:dyDescent="0.35">
      <c r="A750">
        <v>2021</v>
      </c>
      <c r="B750" t="s">
        <v>77</v>
      </c>
      <c r="C750" t="s">
        <v>82</v>
      </c>
      <c r="D750" t="s">
        <v>79</v>
      </c>
      <c r="E750" s="3">
        <v>83</v>
      </c>
      <c r="F750" s="3">
        <v>3320000</v>
      </c>
      <c r="G750" t="s">
        <v>129</v>
      </c>
    </row>
    <row r="751" spans="1:7" x14ac:dyDescent="0.35">
      <c r="A751">
        <v>2021</v>
      </c>
      <c r="B751" t="s">
        <v>77</v>
      </c>
      <c r="C751" t="s">
        <v>82</v>
      </c>
      <c r="D751" t="s">
        <v>79</v>
      </c>
      <c r="E751" s="3">
        <v>1395</v>
      </c>
      <c r="F751" s="3">
        <v>74945010</v>
      </c>
      <c r="G751" t="s">
        <v>128</v>
      </c>
    </row>
    <row r="752" spans="1:7" x14ac:dyDescent="0.35">
      <c r="A752">
        <v>2021</v>
      </c>
      <c r="B752" t="s">
        <v>77</v>
      </c>
      <c r="C752" t="s">
        <v>82</v>
      </c>
      <c r="D752" t="s">
        <v>79</v>
      </c>
      <c r="E752" s="3">
        <v>287290</v>
      </c>
      <c r="F752" s="3">
        <v>11860403976</v>
      </c>
      <c r="G752" t="s">
        <v>130</v>
      </c>
    </row>
    <row r="753" spans="1:7" x14ac:dyDescent="0.35">
      <c r="A753">
        <v>2021</v>
      </c>
      <c r="B753" t="s">
        <v>77</v>
      </c>
      <c r="C753" t="s">
        <v>82</v>
      </c>
      <c r="D753" t="s">
        <v>79</v>
      </c>
      <c r="E753" s="3">
        <v>6359</v>
      </c>
      <c r="F753" s="3">
        <v>249126052</v>
      </c>
      <c r="G753" t="s">
        <v>131</v>
      </c>
    </row>
    <row r="754" spans="1:7" x14ac:dyDescent="0.35">
      <c r="A754">
        <v>2021</v>
      </c>
      <c r="B754" t="s">
        <v>99</v>
      </c>
      <c r="C754" t="s">
        <v>32</v>
      </c>
      <c r="D754" t="s">
        <v>79</v>
      </c>
      <c r="E754" s="3">
        <v>1750</v>
      </c>
      <c r="F754" s="3">
        <v>163194866</v>
      </c>
      <c r="G754" t="s">
        <v>177</v>
      </c>
    </row>
    <row r="755" spans="1:7" x14ac:dyDescent="0.35">
      <c r="A755">
        <v>2021</v>
      </c>
      <c r="B755" t="s">
        <v>99</v>
      </c>
      <c r="C755" t="s">
        <v>32</v>
      </c>
      <c r="D755" t="s">
        <v>79</v>
      </c>
      <c r="E755" s="3">
        <v>32999</v>
      </c>
      <c r="F755" s="3">
        <v>1001766115</v>
      </c>
      <c r="G755" t="s">
        <v>158</v>
      </c>
    </row>
    <row r="756" spans="1:7" x14ac:dyDescent="0.35">
      <c r="A756">
        <v>2021</v>
      </c>
      <c r="B756" t="s">
        <v>99</v>
      </c>
      <c r="C756" t="s">
        <v>32</v>
      </c>
      <c r="D756" t="s">
        <v>79</v>
      </c>
      <c r="E756" s="3">
        <v>1809</v>
      </c>
      <c r="F756" s="3">
        <v>101859978</v>
      </c>
      <c r="G756" t="s">
        <v>161</v>
      </c>
    </row>
    <row r="757" spans="1:7" x14ac:dyDescent="0.35">
      <c r="A757">
        <v>2021</v>
      </c>
      <c r="B757" t="s">
        <v>114</v>
      </c>
      <c r="C757" t="s">
        <v>32</v>
      </c>
      <c r="D757" t="s">
        <v>79</v>
      </c>
      <c r="E757" s="3">
        <v>52576</v>
      </c>
      <c r="F757" s="3">
        <v>1597344925</v>
      </c>
      <c r="G757" t="s">
        <v>158</v>
      </c>
    </row>
    <row r="758" spans="1:7" x14ac:dyDescent="0.35">
      <c r="A758">
        <v>2021</v>
      </c>
      <c r="B758" t="s">
        <v>114</v>
      </c>
      <c r="C758" t="s">
        <v>32</v>
      </c>
      <c r="D758" t="s">
        <v>79</v>
      </c>
      <c r="E758" s="3">
        <v>178205</v>
      </c>
      <c r="F758" s="3">
        <v>7334738566</v>
      </c>
      <c r="G758" t="s">
        <v>170</v>
      </c>
    </row>
    <row r="759" spans="1:7" x14ac:dyDescent="0.35">
      <c r="A759">
        <v>2021</v>
      </c>
      <c r="B759" t="s">
        <v>98</v>
      </c>
      <c r="C759" t="s">
        <v>32</v>
      </c>
      <c r="D759" t="s">
        <v>79</v>
      </c>
      <c r="E759" s="3">
        <v>5000</v>
      </c>
      <c r="F759" s="3">
        <v>210000000</v>
      </c>
      <c r="G759" t="s">
        <v>130</v>
      </c>
    </row>
    <row r="760" spans="1:7" x14ac:dyDescent="0.35">
      <c r="A760">
        <v>2021</v>
      </c>
      <c r="B760" t="s">
        <v>98</v>
      </c>
      <c r="C760" t="s">
        <v>32</v>
      </c>
      <c r="D760" t="s">
        <v>79</v>
      </c>
      <c r="E760" s="3">
        <v>239029</v>
      </c>
      <c r="F760" s="3">
        <v>10462469110</v>
      </c>
      <c r="G760" t="s">
        <v>133</v>
      </c>
    </row>
    <row r="761" spans="1:7" x14ac:dyDescent="0.35">
      <c r="A761">
        <v>2021</v>
      </c>
      <c r="B761" t="s">
        <v>99</v>
      </c>
      <c r="C761" t="s">
        <v>32</v>
      </c>
      <c r="D761" t="s">
        <v>79</v>
      </c>
      <c r="E761" s="3">
        <v>3750</v>
      </c>
      <c r="F761" s="3">
        <v>416856193</v>
      </c>
      <c r="G761" t="s">
        <v>177</v>
      </c>
    </row>
    <row r="762" spans="1:7" x14ac:dyDescent="0.35">
      <c r="A762">
        <v>2021</v>
      </c>
      <c r="B762" t="s">
        <v>99</v>
      </c>
      <c r="C762" t="s">
        <v>32</v>
      </c>
      <c r="D762" t="s">
        <v>79</v>
      </c>
      <c r="E762" s="3">
        <v>24929</v>
      </c>
      <c r="F762" s="3">
        <v>842275201</v>
      </c>
      <c r="G762" t="s">
        <v>149</v>
      </c>
    </row>
    <row r="763" spans="1:7" x14ac:dyDescent="0.35">
      <c r="A763">
        <v>2021</v>
      </c>
      <c r="B763" t="s">
        <v>99</v>
      </c>
      <c r="C763" t="s">
        <v>32</v>
      </c>
      <c r="D763" t="s">
        <v>79</v>
      </c>
      <c r="E763" s="3">
        <v>32999</v>
      </c>
      <c r="F763" s="3">
        <v>1639481515</v>
      </c>
      <c r="G763" t="s">
        <v>158</v>
      </c>
    </row>
    <row r="764" spans="1:7" x14ac:dyDescent="0.35">
      <c r="A764">
        <v>2021</v>
      </c>
      <c r="B764" t="s">
        <v>99</v>
      </c>
      <c r="C764" t="s">
        <v>32</v>
      </c>
      <c r="D764" t="s">
        <v>79</v>
      </c>
      <c r="E764" s="3">
        <v>50</v>
      </c>
      <c r="F764" s="3">
        <v>5990462</v>
      </c>
      <c r="G764" t="s">
        <v>132</v>
      </c>
    </row>
    <row r="765" spans="1:7" x14ac:dyDescent="0.35">
      <c r="A765">
        <v>2021</v>
      </c>
      <c r="B765" t="s">
        <v>93</v>
      </c>
      <c r="C765" t="s">
        <v>94</v>
      </c>
      <c r="D765" t="s">
        <v>79</v>
      </c>
      <c r="E765" s="3">
        <v>55777</v>
      </c>
      <c r="F765" s="3">
        <v>2293900410</v>
      </c>
      <c r="G765" t="s">
        <v>151</v>
      </c>
    </row>
    <row r="766" spans="1:7" x14ac:dyDescent="0.35">
      <c r="A766">
        <v>2021</v>
      </c>
      <c r="B766" t="s">
        <v>93</v>
      </c>
      <c r="C766" t="s">
        <v>94</v>
      </c>
      <c r="D766" t="s">
        <v>79</v>
      </c>
      <c r="E766" s="3">
        <v>56840</v>
      </c>
      <c r="F766" s="3">
        <v>2129663085</v>
      </c>
      <c r="G766" t="s">
        <v>147</v>
      </c>
    </row>
    <row r="767" spans="1:7" x14ac:dyDescent="0.35">
      <c r="A767">
        <v>2021</v>
      </c>
      <c r="B767" t="s">
        <v>93</v>
      </c>
      <c r="C767" t="s">
        <v>94</v>
      </c>
      <c r="D767" t="s">
        <v>79</v>
      </c>
      <c r="E767" s="3">
        <v>41217</v>
      </c>
      <c r="F767" s="3">
        <v>1466544796</v>
      </c>
      <c r="G767" t="s">
        <v>144</v>
      </c>
    </row>
    <row r="768" spans="1:7" x14ac:dyDescent="0.35">
      <c r="A768">
        <v>2021</v>
      </c>
      <c r="B768" t="s">
        <v>93</v>
      </c>
      <c r="C768" t="s">
        <v>94</v>
      </c>
      <c r="D768" t="s">
        <v>79</v>
      </c>
      <c r="E768" s="3">
        <v>4964</v>
      </c>
      <c r="F768" s="3">
        <v>235415450</v>
      </c>
      <c r="G768" t="s">
        <v>151</v>
      </c>
    </row>
    <row r="769" spans="1:7" x14ac:dyDescent="0.35">
      <c r="A769">
        <v>2021</v>
      </c>
      <c r="B769" t="s">
        <v>93</v>
      </c>
      <c r="C769" t="s">
        <v>94</v>
      </c>
      <c r="D769" t="s">
        <v>79</v>
      </c>
      <c r="E769" s="3">
        <v>5619</v>
      </c>
      <c r="F769" s="3">
        <v>379652804</v>
      </c>
      <c r="G769" t="s">
        <v>147</v>
      </c>
    </row>
    <row r="770" spans="1:7" x14ac:dyDescent="0.35">
      <c r="A770">
        <v>2021</v>
      </c>
      <c r="B770" t="s">
        <v>93</v>
      </c>
      <c r="C770" t="s">
        <v>94</v>
      </c>
      <c r="D770" t="s">
        <v>79</v>
      </c>
      <c r="E770" s="3">
        <v>2223</v>
      </c>
      <c r="F770" s="3">
        <v>155257971</v>
      </c>
      <c r="G770" t="s">
        <v>144</v>
      </c>
    </row>
    <row r="771" spans="1:7" x14ac:dyDescent="0.35">
      <c r="A771">
        <v>2021</v>
      </c>
      <c r="B771" t="s">
        <v>77</v>
      </c>
      <c r="C771" t="s">
        <v>97</v>
      </c>
      <c r="D771" t="s">
        <v>79</v>
      </c>
      <c r="E771" s="3">
        <v>341083</v>
      </c>
      <c r="F771" s="3">
        <v>8940942095</v>
      </c>
      <c r="G771" t="s">
        <v>130</v>
      </c>
    </row>
    <row r="772" spans="1:7" x14ac:dyDescent="0.35">
      <c r="A772">
        <v>2021</v>
      </c>
      <c r="B772" t="s">
        <v>105</v>
      </c>
      <c r="C772" t="s">
        <v>102</v>
      </c>
      <c r="D772" t="s">
        <v>79</v>
      </c>
      <c r="E772" t="s">
        <v>15</v>
      </c>
      <c r="F772" s="3">
        <v>752749640</v>
      </c>
      <c r="G772" t="s">
        <v>127</v>
      </c>
    </row>
    <row r="773" spans="1:7" x14ac:dyDescent="0.35">
      <c r="A773">
        <v>2021</v>
      </c>
      <c r="B773" t="s">
        <v>115</v>
      </c>
      <c r="C773" t="s">
        <v>102</v>
      </c>
      <c r="D773" t="s">
        <v>79</v>
      </c>
      <c r="E773" s="3">
        <v>8030</v>
      </c>
      <c r="F773" s="3">
        <v>73700000</v>
      </c>
      <c r="G773" t="s">
        <v>127</v>
      </c>
    </row>
    <row r="774" spans="1:7" x14ac:dyDescent="0.35">
      <c r="A774">
        <v>2021</v>
      </c>
      <c r="B774" t="s">
        <v>89</v>
      </c>
      <c r="C774" t="s">
        <v>28</v>
      </c>
      <c r="D774" t="s">
        <v>79</v>
      </c>
      <c r="E774" s="3">
        <v>61505</v>
      </c>
      <c r="F774" s="3">
        <v>14280263539</v>
      </c>
      <c r="G774" t="s">
        <v>138</v>
      </c>
    </row>
    <row r="775" spans="1:7" x14ac:dyDescent="0.35">
      <c r="A775">
        <v>2021</v>
      </c>
      <c r="B775" t="s">
        <v>89</v>
      </c>
      <c r="C775" t="s">
        <v>28</v>
      </c>
      <c r="D775" t="s">
        <v>79</v>
      </c>
      <c r="E775" s="3">
        <v>324075</v>
      </c>
      <c r="F775" s="3">
        <v>39921467482</v>
      </c>
      <c r="G775" t="s">
        <v>139</v>
      </c>
    </row>
    <row r="776" spans="1:7" x14ac:dyDescent="0.35">
      <c r="A776">
        <v>2021</v>
      </c>
      <c r="B776" t="s">
        <v>89</v>
      </c>
      <c r="C776" t="s">
        <v>28</v>
      </c>
      <c r="D776" t="s">
        <v>79</v>
      </c>
      <c r="E776" s="3">
        <v>40</v>
      </c>
      <c r="F776" s="3">
        <v>15210448</v>
      </c>
      <c r="G776" t="s">
        <v>167</v>
      </c>
    </row>
    <row r="777" spans="1:7" x14ac:dyDescent="0.35">
      <c r="A777">
        <v>2021</v>
      </c>
      <c r="B777" t="s">
        <v>89</v>
      </c>
      <c r="C777" t="s">
        <v>28</v>
      </c>
      <c r="D777" t="s">
        <v>79</v>
      </c>
      <c r="E777" s="3">
        <v>19600</v>
      </c>
      <c r="F777" s="3">
        <v>3690588362</v>
      </c>
      <c r="G777" t="s">
        <v>138</v>
      </c>
    </row>
    <row r="778" spans="1:7" x14ac:dyDescent="0.35">
      <c r="A778">
        <v>2021</v>
      </c>
      <c r="B778" t="s">
        <v>89</v>
      </c>
      <c r="C778" t="s">
        <v>28</v>
      </c>
      <c r="D778" t="s">
        <v>79</v>
      </c>
      <c r="E778" t="s">
        <v>15</v>
      </c>
      <c r="F778" s="3">
        <v>11114681</v>
      </c>
      <c r="G778" t="s">
        <v>138</v>
      </c>
    </row>
    <row r="779" spans="1:7" x14ac:dyDescent="0.35">
      <c r="A779">
        <v>2021</v>
      </c>
      <c r="B779" t="s">
        <v>89</v>
      </c>
      <c r="C779" t="s">
        <v>28</v>
      </c>
      <c r="D779" t="s">
        <v>79</v>
      </c>
      <c r="E779" t="s">
        <v>15</v>
      </c>
      <c r="F779" s="3">
        <v>1429388</v>
      </c>
      <c r="G779" t="s">
        <v>164</v>
      </c>
    </row>
    <row r="780" spans="1:7" x14ac:dyDescent="0.35">
      <c r="A780">
        <v>2021</v>
      </c>
      <c r="B780" t="s">
        <v>89</v>
      </c>
      <c r="C780" t="s">
        <v>28</v>
      </c>
      <c r="D780" t="s">
        <v>79</v>
      </c>
      <c r="E780" s="3">
        <v>17009</v>
      </c>
      <c r="F780" s="3">
        <v>2156851555</v>
      </c>
      <c r="G780" t="s">
        <v>148</v>
      </c>
    </row>
    <row r="781" spans="1:7" x14ac:dyDescent="0.35">
      <c r="A781">
        <v>2021</v>
      </c>
      <c r="B781" t="s">
        <v>89</v>
      </c>
      <c r="C781" t="s">
        <v>28</v>
      </c>
      <c r="D781" t="s">
        <v>79</v>
      </c>
      <c r="E781" s="3">
        <v>20</v>
      </c>
      <c r="F781" s="3">
        <v>8844666</v>
      </c>
      <c r="G781" t="s">
        <v>167</v>
      </c>
    </row>
    <row r="782" spans="1:7" x14ac:dyDescent="0.35">
      <c r="A782">
        <v>2021</v>
      </c>
      <c r="B782" t="s">
        <v>89</v>
      </c>
      <c r="C782" t="s">
        <v>28</v>
      </c>
      <c r="D782" t="s">
        <v>79</v>
      </c>
      <c r="E782" s="3">
        <v>134156</v>
      </c>
      <c r="F782" s="3">
        <v>18572613619</v>
      </c>
      <c r="G782" t="s">
        <v>140</v>
      </c>
    </row>
    <row r="783" spans="1:7" x14ac:dyDescent="0.35">
      <c r="A783">
        <v>2021</v>
      </c>
      <c r="B783" t="s">
        <v>89</v>
      </c>
      <c r="C783" t="s">
        <v>92</v>
      </c>
      <c r="D783" t="s">
        <v>79</v>
      </c>
      <c r="E783" s="3">
        <v>1680</v>
      </c>
      <c r="F783" s="3">
        <v>824410018</v>
      </c>
      <c r="G783" t="s">
        <v>138</v>
      </c>
    </row>
    <row r="784" spans="1:7" x14ac:dyDescent="0.35">
      <c r="A784">
        <v>2021</v>
      </c>
      <c r="B784" t="s">
        <v>89</v>
      </c>
      <c r="C784" t="s">
        <v>92</v>
      </c>
      <c r="D784" t="s">
        <v>79</v>
      </c>
      <c r="E784" s="3">
        <v>1740</v>
      </c>
      <c r="F784" s="3">
        <v>867223278</v>
      </c>
      <c r="G784" t="s">
        <v>168</v>
      </c>
    </row>
    <row r="785" spans="1:7" x14ac:dyDescent="0.35">
      <c r="A785">
        <v>2021</v>
      </c>
      <c r="B785" t="s">
        <v>89</v>
      </c>
      <c r="C785" t="s">
        <v>92</v>
      </c>
      <c r="D785" t="s">
        <v>79</v>
      </c>
      <c r="E785" s="3">
        <v>580</v>
      </c>
      <c r="F785" s="3">
        <v>304557730</v>
      </c>
      <c r="G785" t="s">
        <v>151</v>
      </c>
    </row>
    <row r="786" spans="1:7" x14ac:dyDescent="0.35">
      <c r="A786">
        <v>2021</v>
      </c>
      <c r="B786" t="s">
        <v>89</v>
      </c>
      <c r="C786" t="s">
        <v>92</v>
      </c>
      <c r="D786" t="s">
        <v>79</v>
      </c>
      <c r="E786" s="3">
        <v>20</v>
      </c>
      <c r="F786" s="3">
        <v>11875694</v>
      </c>
      <c r="G786" t="s">
        <v>142</v>
      </c>
    </row>
    <row r="787" spans="1:7" x14ac:dyDescent="0.35">
      <c r="A787">
        <v>2021</v>
      </c>
      <c r="B787" t="s">
        <v>89</v>
      </c>
      <c r="C787" t="s">
        <v>92</v>
      </c>
      <c r="D787" t="s">
        <v>79</v>
      </c>
      <c r="E787" s="3">
        <v>260</v>
      </c>
      <c r="F787" s="3">
        <v>139195752</v>
      </c>
      <c r="G787" t="s">
        <v>164</v>
      </c>
    </row>
    <row r="788" spans="1:7" x14ac:dyDescent="0.35">
      <c r="A788">
        <v>2021</v>
      </c>
      <c r="B788" t="s">
        <v>89</v>
      </c>
      <c r="C788" t="s">
        <v>92</v>
      </c>
      <c r="D788" t="s">
        <v>79</v>
      </c>
      <c r="E788" s="3">
        <v>840</v>
      </c>
      <c r="F788" s="3">
        <v>491357265</v>
      </c>
      <c r="G788" t="s">
        <v>144</v>
      </c>
    </row>
    <row r="789" spans="1:7" x14ac:dyDescent="0.35">
      <c r="A789">
        <v>2021</v>
      </c>
      <c r="B789" t="s">
        <v>89</v>
      </c>
      <c r="C789" t="s">
        <v>92</v>
      </c>
      <c r="D789" t="s">
        <v>79</v>
      </c>
      <c r="E789" s="3">
        <v>40</v>
      </c>
      <c r="F789" s="3">
        <v>27335640</v>
      </c>
      <c r="G789" t="s">
        <v>207</v>
      </c>
    </row>
    <row r="790" spans="1:7" x14ac:dyDescent="0.35">
      <c r="A790">
        <v>2021</v>
      </c>
      <c r="B790" t="s">
        <v>89</v>
      </c>
      <c r="C790" t="s">
        <v>92</v>
      </c>
      <c r="D790" t="s">
        <v>79</v>
      </c>
      <c r="E790" s="3">
        <v>460</v>
      </c>
      <c r="F790" s="3">
        <v>246666868</v>
      </c>
      <c r="G790" t="s">
        <v>165</v>
      </c>
    </row>
    <row r="791" spans="1:7" x14ac:dyDescent="0.35">
      <c r="A791">
        <v>2021</v>
      </c>
      <c r="B791" t="s">
        <v>89</v>
      </c>
      <c r="C791" t="s">
        <v>92</v>
      </c>
      <c r="D791" t="s">
        <v>79</v>
      </c>
      <c r="E791" s="3">
        <v>1340</v>
      </c>
      <c r="F791" s="3">
        <v>683278780</v>
      </c>
      <c r="G791" t="s">
        <v>167</v>
      </c>
    </row>
    <row r="792" spans="1:7" x14ac:dyDescent="0.35">
      <c r="A792">
        <v>2021</v>
      </c>
      <c r="B792" t="s">
        <v>89</v>
      </c>
      <c r="C792" t="s">
        <v>26</v>
      </c>
      <c r="D792" t="s">
        <v>79</v>
      </c>
      <c r="E792" s="3">
        <v>1691</v>
      </c>
      <c r="F792" s="3">
        <v>1568034252</v>
      </c>
      <c r="G792" t="s">
        <v>138</v>
      </c>
    </row>
    <row r="793" spans="1:7" x14ac:dyDescent="0.35">
      <c r="A793">
        <v>2021</v>
      </c>
      <c r="B793" t="s">
        <v>89</v>
      </c>
      <c r="C793" t="s">
        <v>26</v>
      </c>
      <c r="D793" t="s">
        <v>79</v>
      </c>
      <c r="E793" s="3">
        <v>6040</v>
      </c>
      <c r="F793" s="3">
        <v>5143625643</v>
      </c>
      <c r="G793" t="s">
        <v>142</v>
      </c>
    </row>
    <row r="794" spans="1:7" x14ac:dyDescent="0.35">
      <c r="A794">
        <v>2021</v>
      </c>
      <c r="B794" t="s">
        <v>89</v>
      </c>
      <c r="C794" t="s">
        <v>26</v>
      </c>
      <c r="D794" t="s">
        <v>79</v>
      </c>
      <c r="E794" s="3">
        <v>598</v>
      </c>
      <c r="F794" s="3">
        <v>577716577</v>
      </c>
      <c r="G794" t="s">
        <v>158</v>
      </c>
    </row>
    <row r="795" spans="1:7" x14ac:dyDescent="0.35">
      <c r="A795">
        <v>2021</v>
      </c>
      <c r="B795" t="s">
        <v>89</v>
      </c>
      <c r="C795" t="s">
        <v>26</v>
      </c>
      <c r="D795" t="s">
        <v>79</v>
      </c>
      <c r="E795" t="s">
        <v>15</v>
      </c>
      <c r="F795" s="3">
        <v>70622155</v>
      </c>
      <c r="G795" t="s">
        <v>146</v>
      </c>
    </row>
    <row r="796" spans="1:7" x14ac:dyDescent="0.35">
      <c r="A796">
        <v>2021</v>
      </c>
      <c r="B796" t="s">
        <v>89</v>
      </c>
      <c r="C796" t="s">
        <v>26</v>
      </c>
      <c r="D796" t="s">
        <v>79</v>
      </c>
      <c r="E796" s="3">
        <v>180</v>
      </c>
      <c r="F796" s="3">
        <v>183074773</v>
      </c>
      <c r="G796" t="s">
        <v>164</v>
      </c>
    </row>
    <row r="797" spans="1:7" x14ac:dyDescent="0.35">
      <c r="A797">
        <v>2021</v>
      </c>
      <c r="B797" t="s">
        <v>89</v>
      </c>
      <c r="C797" t="s">
        <v>26</v>
      </c>
      <c r="D797" t="s">
        <v>79</v>
      </c>
      <c r="E797" s="3">
        <v>529</v>
      </c>
      <c r="F797" s="3">
        <v>465574992</v>
      </c>
      <c r="G797" t="s">
        <v>148</v>
      </c>
    </row>
    <row r="798" spans="1:7" x14ac:dyDescent="0.35">
      <c r="A798">
        <v>2021</v>
      </c>
      <c r="B798" t="s">
        <v>89</v>
      </c>
      <c r="C798" t="s">
        <v>26</v>
      </c>
      <c r="D798" t="s">
        <v>79</v>
      </c>
      <c r="E798" s="3">
        <v>1894</v>
      </c>
      <c r="F798" s="3">
        <v>1619586818</v>
      </c>
      <c r="G798" t="s">
        <v>144</v>
      </c>
    </row>
    <row r="799" spans="1:7" x14ac:dyDescent="0.35">
      <c r="A799">
        <v>2021</v>
      </c>
      <c r="B799" t="s">
        <v>89</v>
      </c>
      <c r="C799" t="s">
        <v>26</v>
      </c>
      <c r="D799" t="s">
        <v>79</v>
      </c>
      <c r="E799" s="3">
        <v>120</v>
      </c>
      <c r="F799" s="3">
        <v>120119879</v>
      </c>
      <c r="G799" t="s">
        <v>139</v>
      </c>
    </row>
    <row r="800" spans="1:7" x14ac:dyDescent="0.35">
      <c r="A800">
        <v>2021</v>
      </c>
      <c r="B800" t="s">
        <v>89</v>
      </c>
      <c r="C800" t="s">
        <v>26</v>
      </c>
      <c r="D800" t="s">
        <v>79</v>
      </c>
      <c r="E800" s="3">
        <v>13857</v>
      </c>
      <c r="F800" s="3">
        <v>10967953845</v>
      </c>
      <c r="G800" t="s">
        <v>149</v>
      </c>
    </row>
    <row r="801" spans="1:7" x14ac:dyDescent="0.35">
      <c r="A801">
        <v>2021</v>
      </c>
      <c r="B801" t="s">
        <v>89</v>
      </c>
      <c r="C801" t="s">
        <v>26</v>
      </c>
      <c r="D801" t="s">
        <v>79</v>
      </c>
      <c r="E801" t="s">
        <v>15</v>
      </c>
      <c r="F801" s="3">
        <v>3771951</v>
      </c>
      <c r="G801" t="s">
        <v>150</v>
      </c>
    </row>
    <row r="802" spans="1:7" x14ac:dyDescent="0.35">
      <c r="A802">
        <v>2021</v>
      </c>
      <c r="B802" t="s">
        <v>89</v>
      </c>
      <c r="C802" t="s">
        <v>26</v>
      </c>
      <c r="D802" t="s">
        <v>79</v>
      </c>
      <c r="E802" s="3">
        <v>573</v>
      </c>
      <c r="F802" s="3">
        <v>465361281</v>
      </c>
      <c r="G802" t="s">
        <v>140</v>
      </c>
    </row>
    <row r="803" spans="1:7" x14ac:dyDescent="0.35">
      <c r="A803">
        <v>2021</v>
      </c>
      <c r="B803" t="s">
        <v>89</v>
      </c>
      <c r="C803" t="s">
        <v>26</v>
      </c>
      <c r="D803" t="s">
        <v>79</v>
      </c>
      <c r="E803" s="3">
        <v>317</v>
      </c>
      <c r="F803" s="3">
        <v>106160902</v>
      </c>
      <c r="G803" t="s">
        <v>145</v>
      </c>
    </row>
    <row r="804" spans="1:7" x14ac:dyDescent="0.35">
      <c r="A804">
        <v>2021</v>
      </c>
      <c r="B804" t="s">
        <v>89</v>
      </c>
      <c r="C804" t="s">
        <v>26</v>
      </c>
      <c r="D804" t="s">
        <v>79</v>
      </c>
      <c r="E804" s="3">
        <v>26464</v>
      </c>
      <c r="F804" s="3">
        <v>6590625131</v>
      </c>
      <c r="G804" t="s">
        <v>138</v>
      </c>
    </row>
    <row r="805" spans="1:7" x14ac:dyDescent="0.35">
      <c r="A805">
        <v>2021</v>
      </c>
      <c r="B805" t="s">
        <v>89</v>
      </c>
      <c r="C805" t="s">
        <v>26</v>
      </c>
      <c r="D805" t="s">
        <v>79</v>
      </c>
      <c r="E805" s="3">
        <v>1993</v>
      </c>
      <c r="F805" s="3">
        <v>1894965567</v>
      </c>
      <c r="G805" t="s">
        <v>145</v>
      </c>
    </row>
    <row r="806" spans="1:7" x14ac:dyDescent="0.35">
      <c r="A806">
        <v>2021</v>
      </c>
      <c r="B806" t="s">
        <v>89</v>
      </c>
      <c r="C806" t="s">
        <v>26</v>
      </c>
      <c r="D806" t="s">
        <v>79</v>
      </c>
      <c r="E806" s="3">
        <v>619</v>
      </c>
      <c r="F806" s="3">
        <v>558707988</v>
      </c>
      <c r="G806" t="s">
        <v>143</v>
      </c>
    </row>
    <row r="807" spans="1:7" x14ac:dyDescent="0.35">
      <c r="A807">
        <v>2021</v>
      </c>
      <c r="B807" t="s">
        <v>89</v>
      </c>
      <c r="C807" t="s">
        <v>26</v>
      </c>
      <c r="D807" t="s">
        <v>79</v>
      </c>
      <c r="E807" s="3">
        <v>7404</v>
      </c>
      <c r="F807" s="3">
        <v>6743468852</v>
      </c>
      <c r="G807" t="s">
        <v>138</v>
      </c>
    </row>
    <row r="808" spans="1:7" x14ac:dyDescent="0.35">
      <c r="A808">
        <v>2021</v>
      </c>
      <c r="B808" t="s">
        <v>89</v>
      </c>
      <c r="C808" t="s">
        <v>26</v>
      </c>
      <c r="D808" t="s">
        <v>79</v>
      </c>
      <c r="E808" s="3">
        <v>300</v>
      </c>
      <c r="F808" s="3">
        <v>351597185</v>
      </c>
      <c r="G808" t="s">
        <v>151</v>
      </c>
    </row>
    <row r="809" spans="1:7" x14ac:dyDescent="0.35">
      <c r="A809">
        <v>2021</v>
      </c>
      <c r="B809" t="s">
        <v>89</v>
      </c>
      <c r="C809" t="s">
        <v>26</v>
      </c>
      <c r="D809" t="s">
        <v>79</v>
      </c>
      <c r="E809" s="3">
        <v>1119</v>
      </c>
      <c r="F809" s="3">
        <v>1109867797</v>
      </c>
      <c r="G809" t="s">
        <v>147</v>
      </c>
    </row>
    <row r="810" spans="1:7" x14ac:dyDescent="0.35">
      <c r="A810">
        <v>2021</v>
      </c>
      <c r="B810" t="s">
        <v>89</v>
      </c>
      <c r="C810" t="s">
        <v>26</v>
      </c>
      <c r="D810" t="s">
        <v>79</v>
      </c>
      <c r="E810" s="3">
        <v>441</v>
      </c>
      <c r="F810" s="3">
        <v>414173449</v>
      </c>
      <c r="G810" t="s">
        <v>142</v>
      </c>
    </row>
    <row r="811" spans="1:7" x14ac:dyDescent="0.35">
      <c r="A811">
        <v>2021</v>
      </c>
      <c r="B811" t="s">
        <v>89</v>
      </c>
      <c r="C811" t="s">
        <v>26</v>
      </c>
      <c r="D811" t="s">
        <v>79</v>
      </c>
      <c r="E811" s="3">
        <v>441</v>
      </c>
      <c r="F811" s="3">
        <v>464436589</v>
      </c>
      <c r="G811" t="s">
        <v>158</v>
      </c>
    </row>
    <row r="812" spans="1:7" x14ac:dyDescent="0.35">
      <c r="A812">
        <v>2021</v>
      </c>
      <c r="B812" t="s">
        <v>89</v>
      </c>
      <c r="C812" t="s">
        <v>26</v>
      </c>
      <c r="D812" t="s">
        <v>79</v>
      </c>
      <c r="E812" s="3">
        <v>2886</v>
      </c>
      <c r="F812" s="3">
        <v>2647054796</v>
      </c>
      <c r="G812" t="s">
        <v>146</v>
      </c>
    </row>
    <row r="813" spans="1:7" x14ac:dyDescent="0.35">
      <c r="A813">
        <v>2021</v>
      </c>
      <c r="B813" t="s">
        <v>89</v>
      </c>
      <c r="C813" t="s">
        <v>26</v>
      </c>
      <c r="D813" t="s">
        <v>79</v>
      </c>
      <c r="E813" s="3">
        <v>2700</v>
      </c>
      <c r="F813" s="3">
        <v>2575028229</v>
      </c>
      <c r="G813" t="s">
        <v>164</v>
      </c>
    </row>
    <row r="814" spans="1:7" x14ac:dyDescent="0.35">
      <c r="A814">
        <v>2021</v>
      </c>
      <c r="B814" t="s">
        <v>89</v>
      </c>
      <c r="C814" t="s">
        <v>26</v>
      </c>
      <c r="D814" t="s">
        <v>79</v>
      </c>
      <c r="E814" s="3">
        <v>2247</v>
      </c>
      <c r="F814" s="3">
        <v>1879078157</v>
      </c>
      <c r="G814" t="s">
        <v>148</v>
      </c>
    </row>
    <row r="815" spans="1:7" x14ac:dyDescent="0.35">
      <c r="A815">
        <v>2021</v>
      </c>
      <c r="B815" t="s">
        <v>89</v>
      </c>
      <c r="C815" t="s">
        <v>26</v>
      </c>
      <c r="D815" t="s">
        <v>79</v>
      </c>
      <c r="E815" s="3">
        <v>683</v>
      </c>
      <c r="F815" s="3">
        <v>661515133</v>
      </c>
      <c r="G815" t="s">
        <v>144</v>
      </c>
    </row>
    <row r="816" spans="1:7" x14ac:dyDescent="0.35">
      <c r="A816">
        <v>2021</v>
      </c>
      <c r="B816" t="s">
        <v>89</v>
      </c>
      <c r="C816" t="s">
        <v>26</v>
      </c>
      <c r="D816" t="s">
        <v>79</v>
      </c>
      <c r="E816" s="3">
        <v>60</v>
      </c>
      <c r="F816" s="3">
        <v>80951319</v>
      </c>
      <c r="G816" t="s">
        <v>165</v>
      </c>
    </row>
    <row r="817" spans="1:7" x14ac:dyDescent="0.35">
      <c r="A817">
        <v>2021</v>
      </c>
      <c r="B817" t="s">
        <v>89</v>
      </c>
      <c r="C817" t="s">
        <v>26</v>
      </c>
      <c r="D817" t="s">
        <v>79</v>
      </c>
      <c r="E817" s="3">
        <v>7007</v>
      </c>
      <c r="F817" s="3">
        <v>5672811820</v>
      </c>
      <c r="G817" t="s">
        <v>149</v>
      </c>
    </row>
    <row r="818" spans="1:7" x14ac:dyDescent="0.35">
      <c r="A818">
        <v>2021</v>
      </c>
      <c r="B818" t="s">
        <v>89</v>
      </c>
      <c r="C818" t="s">
        <v>26</v>
      </c>
      <c r="D818" t="s">
        <v>79</v>
      </c>
      <c r="E818" s="3">
        <v>2159</v>
      </c>
      <c r="F818" s="3">
        <v>1760981781</v>
      </c>
      <c r="G818" t="s">
        <v>150</v>
      </c>
    </row>
    <row r="819" spans="1:7" x14ac:dyDescent="0.35">
      <c r="A819">
        <v>2021</v>
      </c>
      <c r="B819" t="s">
        <v>89</v>
      </c>
      <c r="C819" t="s">
        <v>26</v>
      </c>
      <c r="D819" t="s">
        <v>79</v>
      </c>
      <c r="E819" s="3">
        <v>7878</v>
      </c>
      <c r="F819" s="3">
        <v>7053284342</v>
      </c>
      <c r="G819" t="s">
        <v>140</v>
      </c>
    </row>
    <row r="820" spans="1:7" x14ac:dyDescent="0.35">
      <c r="A820">
        <v>2021</v>
      </c>
      <c r="B820" t="s">
        <v>89</v>
      </c>
      <c r="C820" t="s">
        <v>91</v>
      </c>
      <c r="D820" t="s">
        <v>79</v>
      </c>
      <c r="E820" s="3">
        <v>340</v>
      </c>
      <c r="F820" s="3">
        <v>305068612</v>
      </c>
      <c r="G820" t="s">
        <v>138</v>
      </c>
    </row>
    <row r="821" spans="1:7" x14ac:dyDescent="0.35">
      <c r="A821">
        <v>2021</v>
      </c>
      <c r="B821" t="s">
        <v>89</v>
      </c>
      <c r="C821" t="s">
        <v>91</v>
      </c>
      <c r="D821" t="s">
        <v>79</v>
      </c>
      <c r="E821" s="3">
        <v>180</v>
      </c>
      <c r="F821" s="3">
        <v>148071383</v>
      </c>
      <c r="G821" t="s">
        <v>168</v>
      </c>
    </row>
    <row r="822" spans="1:7" x14ac:dyDescent="0.35">
      <c r="A822">
        <v>2021</v>
      </c>
      <c r="B822" t="s">
        <v>89</v>
      </c>
      <c r="C822" t="s">
        <v>91</v>
      </c>
      <c r="D822" t="s">
        <v>79</v>
      </c>
      <c r="E822" s="3">
        <v>400</v>
      </c>
      <c r="F822" s="3">
        <v>328109075</v>
      </c>
      <c r="G822" t="s">
        <v>151</v>
      </c>
    </row>
    <row r="823" spans="1:7" x14ac:dyDescent="0.35">
      <c r="A823">
        <v>2021</v>
      </c>
      <c r="B823" t="s">
        <v>89</v>
      </c>
      <c r="C823" t="s">
        <v>91</v>
      </c>
      <c r="D823" t="s">
        <v>79</v>
      </c>
      <c r="E823" s="3">
        <v>22</v>
      </c>
      <c r="F823" s="3">
        <v>17871618</v>
      </c>
      <c r="G823" t="s">
        <v>142</v>
      </c>
    </row>
    <row r="824" spans="1:7" x14ac:dyDescent="0.35">
      <c r="A824">
        <v>2021</v>
      </c>
      <c r="B824" t="s">
        <v>89</v>
      </c>
      <c r="C824" t="s">
        <v>91</v>
      </c>
      <c r="D824" t="s">
        <v>79</v>
      </c>
      <c r="E824" s="3">
        <v>760</v>
      </c>
      <c r="F824" s="3">
        <v>602427692</v>
      </c>
      <c r="G824" t="s">
        <v>164</v>
      </c>
    </row>
    <row r="825" spans="1:7" x14ac:dyDescent="0.35">
      <c r="A825">
        <v>2021</v>
      </c>
      <c r="B825" t="s">
        <v>89</v>
      </c>
      <c r="C825" t="s">
        <v>91</v>
      </c>
      <c r="D825" t="s">
        <v>79</v>
      </c>
      <c r="E825" s="3">
        <v>40</v>
      </c>
      <c r="F825" s="3">
        <v>36020011</v>
      </c>
      <c r="G825" t="s">
        <v>144</v>
      </c>
    </row>
    <row r="826" spans="1:7" x14ac:dyDescent="0.35">
      <c r="A826">
        <v>2021</v>
      </c>
      <c r="B826" t="s">
        <v>89</v>
      </c>
      <c r="C826" t="s">
        <v>91</v>
      </c>
      <c r="D826" t="s">
        <v>79</v>
      </c>
      <c r="E826" s="3">
        <v>2420</v>
      </c>
      <c r="F826" s="3">
        <v>1963190098</v>
      </c>
      <c r="G826" t="s">
        <v>167</v>
      </c>
    </row>
    <row r="827" spans="1:7" x14ac:dyDescent="0.35">
      <c r="A827">
        <v>2021</v>
      </c>
      <c r="B827" t="s">
        <v>89</v>
      </c>
      <c r="C827" t="s">
        <v>91</v>
      </c>
      <c r="D827" t="s">
        <v>79</v>
      </c>
      <c r="E827" s="3">
        <v>220</v>
      </c>
      <c r="F827" s="3">
        <v>155358532</v>
      </c>
      <c r="G827" t="s">
        <v>149</v>
      </c>
    </row>
    <row r="828" spans="1:7" x14ac:dyDescent="0.35">
      <c r="A828">
        <v>2021</v>
      </c>
      <c r="B828" t="s">
        <v>89</v>
      </c>
      <c r="C828" t="s">
        <v>91</v>
      </c>
      <c r="D828" t="s">
        <v>79</v>
      </c>
      <c r="E828" s="3">
        <v>80</v>
      </c>
      <c r="F828" s="3">
        <v>73560968</v>
      </c>
      <c r="G828" t="s">
        <v>205</v>
      </c>
    </row>
    <row r="829" spans="1:7" x14ac:dyDescent="0.35">
      <c r="A829">
        <v>2021</v>
      </c>
      <c r="B829" t="s">
        <v>77</v>
      </c>
      <c r="C829" t="s">
        <v>197</v>
      </c>
      <c r="D829" t="s">
        <v>15</v>
      </c>
      <c r="E829" s="3">
        <v>0</v>
      </c>
      <c r="F829" s="3">
        <v>4591699</v>
      </c>
      <c r="G829" t="s">
        <v>147</v>
      </c>
    </row>
    <row r="830" spans="1:7" x14ac:dyDescent="0.35">
      <c r="A830">
        <v>2021</v>
      </c>
      <c r="B830" t="s">
        <v>77</v>
      </c>
      <c r="C830" t="s">
        <v>197</v>
      </c>
      <c r="D830" t="s">
        <v>15</v>
      </c>
      <c r="E830" s="3">
        <v>0</v>
      </c>
      <c r="F830" s="3">
        <v>110880000</v>
      </c>
      <c r="G830" t="s">
        <v>130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DCC598-6320-4BA9-A7A9-C87DCA12E1CD}">
  <dimension ref="A1"/>
  <sheetViews>
    <sheetView workbookViewId="0"/>
  </sheetViews>
  <sheetFormatPr baseColWidth="10" defaultRowHeight="14.5" x14ac:dyDescent="0.3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A106F-EC66-4C41-8F43-8AA071355B67}">
  <dimension ref="A1:G1"/>
  <sheetViews>
    <sheetView workbookViewId="0">
      <selection activeCell="G2" sqref="G2"/>
    </sheetView>
  </sheetViews>
  <sheetFormatPr baseColWidth="10" defaultRowHeight="14.5" x14ac:dyDescent="0.35"/>
  <sheetData>
    <row r="1" spans="1:7" x14ac:dyDescent="0.35">
      <c r="A1" t="s">
        <v>71</v>
      </c>
      <c r="B1" t="s">
        <v>70</v>
      </c>
      <c r="C1" t="s">
        <v>216</v>
      </c>
      <c r="D1" t="s">
        <v>217</v>
      </c>
      <c r="E1" t="s">
        <v>215</v>
      </c>
      <c r="F1" t="s">
        <v>218</v>
      </c>
      <c r="G1" t="s">
        <v>219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B93EB-4314-4215-A207-2533D3D2FDDB}">
  <dimension ref="A1"/>
  <sheetViews>
    <sheetView workbookViewId="0">
      <selection activeCell="D13" sqref="D13"/>
    </sheetView>
  </sheetViews>
  <sheetFormatPr baseColWidth="10"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Notes</vt:lpstr>
      <vt:lpstr>Production</vt:lpstr>
      <vt:lpstr>Exportation</vt:lpstr>
      <vt:lpstr>Paiements sociaux</vt:lpstr>
      <vt:lpstr>Emplois</vt:lpstr>
      <vt:lpstr>Flux financiers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sie rachid traore</dc:creator>
  <cp:lastModifiedBy>sie rachid traore</cp:lastModifiedBy>
  <dcterms:created xsi:type="dcterms:W3CDTF">2026-06-15T15:13:29Z</dcterms:created>
  <dcterms:modified xsi:type="dcterms:W3CDTF">2026-07-13T17:07:25Z</dcterms:modified>
</cp:coreProperties>
</file>