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Notes" sheetId="1" state="visible" r:id="rId1"/>
    <sheet name="Production" sheetId="2" state="visible" r:id="rId2"/>
    <sheet name="Exportation" sheetId="3" state="visible" r:id="rId3"/>
    <sheet name="Emplois" sheetId="4" state="visible" r:id="rId4"/>
    <sheet name="Flux financiers" sheetId="5" state="visible" r:id="rId5"/>
    <sheet name="Paiements sociaux" sheetId="6" state="visible" r:id="rId6"/>
  </sheets>
  <definedNames/>
  <calcPr calcId="191029" fullCalcOnLoad="1"/>
  <pivotCaches>
    <pivotCache cacheId="7" r:id="rId7"/>
  </pivotCaches>
</workbook>
</file>

<file path=xl/styles.xml><?xml version="1.0" encoding="utf-8"?>
<styleSheet xmlns="http://schemas.openxmlformats.org/spreadsheetml/2006/main">
  <numFmts count="7">
    <numFmt numFmtId="164" formatCode="#,##0.####"/>
    <numFmt numFmtId="165" formatCode="#,##0.######"/>
    <numFmt numFmtId="166" formatCode="#,##0.########"/>
    <numFmt numFmtId="167" formatCode="_-* #,##0_-;\-* #,##0_-;_-* &quot;-&quot;_-;_-@_-"/>
    <numFmt numFmtId="168" formatCode="#,##0.##"/>
    <numFmt numFmtId="169" formatCode="DD/MM/YYYY"/>
    <numFmt numFmtId="170" formatCode="#,##0.000"/>
  </numFmts>
  <fonts count="9">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b val="1"/>
    </font>
    <font>
      <b val="1"/>
      <sz val="11"/>
    </font>
    <font>
      <b val="1"/>
      <i val="1"/>
      <sz val="10"/>
    </font>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2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1" quotePrefix="0" xfId="0"/>
    <xf numFmtId="167" fontId="0" fillId="0" borderId="0" pivotButton="0" quotePrefix="0" xfId="0"/>
    <xf numFmtId="167" fontId="0" fillId="0" borderId="0" applyAlignment="1" pivotButton="0" quotePrefix="0" xfId="0">
      <alignment horizontal="left"/>
    </xf>
    <xf numFmtId="167" fontId="0" fillId="0" borderId="0" pivotButton="0" quotePrefix="0" xfId="1"/>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168" fontId="0" fillId="0" borderId="0" pivotButton="0" quotePrefix="0" xfId="0"/>
    <xf numFmtId="169"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69" fontId="0" fillId="0" borderId="0" pivotButton="0" quotePrefix="0" xfId="0"/>
    <xf numFmtId="170"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cellXfs>
  <cellStyles count="2">
    <cellStyle name="Normal" xfId="0" builtinId="0"/>
    <cellStyle name="Milliers [0]" xfId="1" builtinId="6"/>
  </cellStyles>
  <dxfs count="25">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 formatCode="#,##0"/>
    </dxf>
    <dxf>
      <numFmt numFmtId="3" formatCode="#,##0"/>
    </dxf>
    <dxf>
      <numFmt numFmtId="3" formatCode="#,##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pivotCacheDefinition" Target="/xl/pivotCache/pivotCacheDefinition1.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7"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21">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I338">
    <filterColumn colId="1" hiddenButton="0" showButton="1">
      <filters>
        <filter val="SORED MINES"/>
      </filters>
    </filterColumn>
  </autoFilter>
  <tableColumns count="10">
    <tableColumn id="1" name="Année"/>
    <tableColumn id="2" name="Société"/>
    <tableColumn id="3" name="Type du minérai"/>
    <tableColumn id="4" name="Unité"/>
    <tableColumn id="5" name="Volume produit" dataDxfId="24"/>
    <tableColumn id="6" name="Valeur produite "/>
    <tableColumn id="7" name="Devise"/>
    <tableColumn id="8" name="Taux de change"/>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G830"/>
  <tableColumns count="10">
    <tableColumn id="1" name="Année"/>
    <tableColumn id="2" name="Société"/>
    <tableColumn id="3" name="Type du minérai"/>
    <tableColumn id="4" name="Unité"/>
    <tableColumn id="5" name="Volume exporté" dataDxfId="23"/>
    <tableColumn id="6" name="Valeur exportée(FCFA)" dataDxfId="22"/>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B75"/>
  <sheetViews>
    <sheetView tabSelected="1"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20" t="inlineStr">
        <is>
          <t>Feuille "Paiements sociaux"</t>
        </is>
      </c>
    </row>
    <row r="54">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c r="A55" s="2" t="inlineStr">
        <is>
          <t>Le libellé de société "Talix Mines" a été renommé "TALIX" pour rester cohérent avec les feuilles Production/Exportation. Les autres sociétés du fichier source (AGEM, BARRICK GOLD, CSE, G-PHOS, IAM GOLD BOTO, MIFERSO, SMC...) n'apparaissant pas dans Production/Exportation ont été conservées telles quelles, aucune correspondance fiable n'ayant pu être établie sans information supplémentaire.</t>
        </is>
      </c>
    </row>
    <row r="57">
      <c r="A57" s="21" t="inlineStr">
        <is>
          <t>À noter (en cours de construction par ailleurs)</t>
        </is>
      </c>
    </row>
    <row r="58">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7" t="n"/>
    </row>
    <row r="60">
      <c r="A60" s="20" t="inlineStr">
        <is>
          <t>Valeurs harmonisées en USD et en FCFA (Production et Exportation)</t>
        </is>
      </c>
    </row>
    <row r="6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c r="A63" s="28"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c r="A64" s="21"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7" t="inlineStr">
        <is>
          <t>Taux de change (FCFA/USD)</t>
        </is>
      </c>
      <c r="I1" s="17" t="inlineStr">
        <is>
          <t>Valeur produite (FCFA)</t>
        </is>
      </c>
      <c r="J1" s="17"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4" t="n">
        <v>493.631</v>
      </c>
    </row>
    <row r="3" hidden="1">
      <c r="A3" t="n">
        <v>2014</v>
      </c>
      <c r="B3" t="inlineStr">
        <is>
          <t>SOCOCIM</t>
        </is>
      </c>
      <c r="C3" t="inlineStr">
        <is>
          <t>Calcaire</t>
        </is>
      </c>
      <c r="D3" t="inlineStr">
        <is>
          <t>Tonne</t>
        </is>
      </c>
      <c r="E3" s="3" t="n">
        <v>1456686</v>
      </c>
      <c r="F3" t="inlineStr">
        <is>
          <t>N/A</t>
        </is>
      </c>
      <c r="G3" t="inlineStr">
        <is>
          <t>FCFA</t>
        </is>
      </c>
      <c r="H3" s="24" t="n">
        <v>493.631</v>
      </c>
    </row>
    <row r="4" hidden="1">
      <c r="A4" t="n">
        <v>2014</v>
      </c>
      <c r="B4" t="inlineStr">
        <is>
          <t>SOCOCIM</t>
        </is>
      </c>
      <c r="C4" t="inlineStr">
        <is>
          <t>Ciment</t>
        </is>
      </c>
      <c r="D4" t="inlineStr">
        <is>
          <t>Tonne</t>
        </is>
      </c>
      <c r="E4" s="3" t="n">
        <v>2909032</v>
      </c>
      <c r="F4" s="3" t="n">
        <v>127315781182</v>
      </c>
      <c r="G4" t="inlineStr">
        <is>
          <t>FCFA</t>
        </is>
      </c>
      <c r="H4" s="24" t="n">
        <v>493.631</v>
      </c>
      <c r="I4" s="25" t="n">
        <v>127315781182</v>
      </c>
      <c r="J4" s="25" t="n">
        <v>257916907.94</v>
      </c>
    </row>
    <row r="5" hidden="1">
      <c r="A5" t="n">
        <v>2014</v>
      </c>
      <c r="B5" t="inlineStr">
        <is>
          <t>SGO</t>
        </is>
      </c>
      <c r="C5" t="inlineStr">
        <is>
          <t>Or</t>
        </is>
      </c>
      <c r="D5" t="inlineStr">
        <is>
          <t>Tonne</t>
        </is>
      </c>
      <c r="E5" s="8" t="n">
        <v>6.58843177</v>
      </c>
      <c r="F5" s="3" t="n">
        <v>132680295481</v>
      </c>
      <c r="G5" t="inlineStr">
        <is>
          <t>FCFA</t>
        </is>
      </c>
      <c r="H5" s="24" t="n">
        <v>493.631</v>
      </c>
      <c r="I5" s="25" t="n">
        <v>132680295481</v>
      </c>
      <c r="J5" s="25" t="n">
        <v>268784366.22</v>
      </c>
    </row>
    <row r="6" hidden="1">
      <c r="A6" t="n">
        <v>2014</v>
      </c>
      <c r="B6" t="inlineStr">
        <is>
          <t>SGO</t>
        </is>
      </c>
      <c r="C6" t="inlineStr">
        <is>
          <t>Argent</t>
        </is>
      </c>
      <c r="D6" t="inlineStr">
        <is>
          <t>Tonne</t>
        </is>
      </c>
      <c r="E6" t="inlineStr">
        <is>
          <t>NC</t>
        </is>
      </c>
      <c r="F6" t="inlineStr">
        <is>
          <t>NC</t>
        </is>
      </c>
      <c r="G6" t="inlineStr">
        <is>
          <t>FCFA</t>
        </is>
      </c>
      <c r="H6" s="24" t="n">
        <v>493.631</v>
      </c>
      <c r="K6" s="13" t="n"/>
      <c r="L6" s="14" t="inlineStr">
        <is>
          <t>Étiquettes de colonnes</t>
        </is>
      </c>
      <c r="M6" s="13" t="n"/>
    </row>
    <row r="7" hidden="1">
      <c r="A7" t="n">
        <v>2014</v>
      </c>
      <c r="B7" t="inlineStr">
        <is>
          <t>CDS</t>
        </is>
      </c>
      <c r="C7" t="inlineStr">
        <is>
          <t>Calcaire</t>
        </is>
      </c>
      <c r="D7" t="inlineStr">
        <is>
          <t>Tonne</t>
        </is>
      </c>
      <c r="E7" s="3" t="n">
        <v>2867917</v>
      </c>
      <c r="F7" t="inlineStr">
        <is>
          <t>N/A</t>
        </is>
      </c>
      <c r="G7" t="inlineStr">
        <is>
          <t>FCFA</t>
        </is>
      </c>
      <c r="H7" s="24" t="n">
        <v>493.631</v>
      </c>
      <c r="K7" s="13" t="n"/>
      <c r="L7" s="13" t="inlineStr">
        <is>
          <t>Zircon</t>
        </is>
      </c>
      <c r="M7" s="13" t="n"/>
    </row>
    <row r="8" hidden="1">
      <c r="A8" t="n">
        <v>2014</v>
      </c>
      <c r="B8" t="inlineStr">
        <is>
          <t>CDS</t>
        </is>
      </c>
      <c r="C8" t="inlineStr">
        <is>
          <t>Argile</t>
        </is>
      </c>
      <c r="D8" t="inlineStr">
        <is>
          <t>Tonne</t>
        </is>
      </c>
      <c r="E8" s="3" t="n">
        <v>458092</v>
      </c>
      <c r="F8" t="inlineStr">
        <is>
          <t>N/A</t>
        </is>
      </c>
      <c r="G8" t="inlineStr">
        <is>
          <t>FCFA</t>
        </is>
      </c>
      <c r="H8" s="24" t="n">
        <v>493.631</v>
      </c>
      <c r="K8" s="14" t="inlineStr">
        <is>
          <t>Étiquettes de lignes</t>
        </is>
      </c>
      <c r="L8" s="13" t="inlineStr">
        <is>
          <t>Somme de Volume produit</t>
        </is>
      </c>
      <c r="M8" s="13"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4" t="n">
        <v>493.631</v>
      </c>
      <c r="K9" s="15" t="n">
        <v>2014</v>
      </c>
      <c r="L9" s="13" t="n">
        <v>9040</v>
      </c>
      <c r="M9" s="13" t="n">
        <v>6493637</v>
      </c>
      <c r="N9" s="16">
        <f>M9/L9</f>
        <v/>
      </c>
    </row>
    <row r="10" hidden="1">
      <c r="A10" t="n">
        <v>2014</v>
      </c>
      <c r="B10" t="inlineStr">
        <is>
          <t>GCO</t>
        </is>
      </c>
      <c r="C10" t="inlineStr">
        <is>
          <t>Ilménite</t>
        </is>
      </c>
      <c r="D10" t="inlineStr">
        <is>
          <t>Tonne</t>
        </is>
      </c>
      <c r="E10" s="3" t="n">
        <v>72470</v>
      </c>
      <c r="F10" s="3" t="n">
        <v>15163578</v>
      </c>
      <c r="G10" t="inlineStr">
        <is>
          <t>USD</t>
        </is>
      </c>
      <c r="H10" s="24" t="n">
        <v>493.631</v>
      </c>
      <c r="I10" s="25" t="n">
        <v>7485212171.72</v>
      </c>
      <c r="J10" s="25" t="n">
        <v>15163578</v>
      </c>
      <c r="K10" s="15" t="n">
        <v>2015</v>
      </c>
      <c r="L10" s="13" t="n">
        <v>45248</v>
      </c>
      <c r="M10" s="13" t="n">
        <v>47869719</v>
      </c>
      <c r="N10" s="16">
        <f>M10/L10</f>
        <v/>
      </c>
    </row>
    <row r="11" hidden="1">
      <c r="A11" t="n">
        <v>2014</v>
      </c>
      <c r="B11" t="inlineStr">
        <is>
          <t>GCO</t>
        </is>
      </c>
      <c r="C11" t="inlineStr">
        <is>
          <t>Ilménite</t>
        </is>
      </c>
      <c r="D11" t="inlineStr">
        <is>
          <t>Tonne</t>
        </is>
      </c>
      <c r="E11" s="3" t="n">
        <v>16657</v>
      </c>
      <c r="F11" s="3" t="n">
        <v>5248771</v>
      </c>
      <c r="G11" t="inlineStr">
        <is>
          <t>USD</t>
        </is>
      </c>
      <c r="H11" s="24" t="n">
        <v>493.631</v>
      </c>
      <c r="I11" s="25" t="n">
        <v>2590956077.5</v>
      </c>
      <c r="J11" s="25" t="n">
        <v>5248771</v>
      </c>
      <c r="K11" s="15" t="n">
        <v>2016</v>
      </c>
      <c r="L11" s="13" t="n">
        <v>61919</v>
      </c>
      <c r="M11" s="13" t="n">
        <v>52728439</v>
      </c>
      <c r="N11" s="16">
        <f>M11/L11</f>
        <v/>
      </c>
    </row>
    <row r="12" hidden="1">
      <c r="A12" t="n">
        <v>2014</v>
      </c>
      <c r="B12" t="inlineStr">
        <is>
          <t>GCO</t>
        </is>
      </c>
      <c r="C12" t="inlineStr">
        <is>
          <t>Zircon</t>
        </is>
      </c>
      <c r="D12" t="inlineStr">
        <is>
          <t>Tonne</t>
        </is>
      </c>
      <c r="E12" s="3" t="n">
        <v>763</v>
      </c>
      <c r="F12" s="3" t="n">
        <v>576251</v>
      </c>
      <c r="G12" t="inlineStr">
        <is>
          <t>USD</t>
        </is>
      </c>
      <c r="H12" s="24" t="n">
        <v>493.631</v>
      </c>
      <c r="I12" s="25" t="n">
        <v>284455357.38</v>
      </c>
      <c r="J12" s="25" t="n">
        <v>576251</v>
      </c>
      <c r="K12" s="15" t="n">
        <v>2017</v>
      </c>
      <c r="L12" s="13" t="n">
        <v>81748</v>
      </c>
      <c r="M12" s="13" t="n">
        <v>40208500106</v>
      </c>
      <c r="N12" s="16">
        <f>M12/L12</f>
        <v/>
      </c>
    </row>
    <row r="13" hidden="1">
      <c r="A13" t="n">
        <v>2014</v>
      </c>
      <c r="B13" t="inlineStr">
        <is>
          <t>GCO</t>
        </is>
      </c>
      <c r="C13" t="inlineStr">
        <is>
          <t>Zircon</t>
        </is>
      </c>
      <c r="D13" t="inlineStr">
        <is>
          <t>Tonne</t>
        </is>
      </c>
      <c r="E13" s="3" t="n">
        <v>8277</v>
      </c>
      <c r="F13" s="3" t="n">
        <v>5917386</v>
      </c>
      <c r="G13" t="inlineStr">
        <is>
          <t>USD</t>
        </is>
      </c>
      <c r="H13" s="24" t="n">
        <v>493.631</v>
      </c>
      <c r="I13" s="25" t="n">
        <v>2921005168.57</v>
      </c>
      <c r="J13" s="25" t="n">
        <v>5917386</v>
      </c>
      <c r="K13" s="15" t="n">
        <v>2018</v>
      </c>
      <c r="L13" s="13" t="n">
        <v>93569</v>
      </c>
      <c r="M13" s="13" t="n">
        <v>61606680958</v>
      </c>
      <c r="N13" s="16">
        <f>M13/L13</f>
        <v/>
      </c>
    </row>
    <row r="14" hidden="1">
      <c r="A14" t="n">
        <v>2014</v>
      </c>
      <c r="B14" t="inlineStr">
        <is>
          <t>GCO</t>
        </is>
      </c>
      <c r="C14" t="inlineStr">
        <is>
          <t>Rutile</t>
        </is>
      </c>
      <c r="D14" t="inlineStr">
        <is>
          <t>Tonne</t>
        </is>
      </c>
      <c r="E14" s="3" t="n">
        <v>262</v>
      </c>
      <c r="F14" s="4" t="n">
        <v>301127.2</v>
      </c>
      <c r="G14" t="inlineStr">
        <is>
          <t>USD</t>
        </is>
      </c>
      <c r="H14" s="24" t="n">
        <v>493.631</v>
      </c>
      <c r="I14" s="25" t="n">
        <v>148645720.86</v>
      </c>
      <c r="J14" s="25" t="n">
        <v>301127.2</v>
      </c>
      <c r="K14" s="15" t="n">
        <v>2019</v>
      </c>
      <c r="L14" s="13" t="n">
        <v>80747</v>
      </c>
      <c r="M14" s="13" t="n">
        <v>57754905652</v>
      </c>
      <c r="N14" s="16">
        <f>M14/L14</f>
        <v/>
      </c>
    </row>
    <row r="15" hidden="1">
      <c r="A15" t="n">
        <v>2014</v>
      </c>
      <c r="B15" t="inlineStr">
        <is>
          <t>GCO</t>
        </is>
      </c>
      <c r="C15" t="inlineStr">
        <is>
          <t>Leucoxène</t>
        </is>
      </c>
      <c r="D15" t="inlineStr">
        <is>
          <t>Tonne</t>
        </is>
      </c>
      <c r="E15" s="3" t="n">
        <v>591</v>
      </c>
      <c r="F15" s="3" t="n">
        <v>571200</v>
      </c>
      <c r="G15" t="inlineStr">
        <is>
          <t>USD</t>
        </is>
      </c>
      <c r="H15" s="24" t="n">
        <v>493.631</v>
      </c>
      <c r="I15" s="25" t="n">
        <v>281962027.2</v>
      </c>
      <c r="J15" s="25" t="n">
        <v>571200</v>
      </c>
      <c r="K15" s="15" t="n">
        <v>2020</v>
      </c>
      <c r="L15" s="13" t="n">
        <v>83257.10000000001</v>
      </c>
      <c r="M15" s="13" t="n">
        <v>51930000000</v>
      </c>
      <c r="N15" s="16">
        <f>M15/L15</f>
        <v/>
      </c>
    </row>
    <row r="16" hidden="1">
      <c r="A16" t="n">
        <v>2014</v>
      </c>
      <c r="B16" t="inlineStr">
        <is>
          <t>SSPT</t>
        </is>
      </c>
      <c r="C16" t="inlineStr">
        <is>
          <t>Attapulgite</t>
        </is>
      </c>
      <c r="D16" t="inlineStr">
        <is>
          <t>Tonne</t>
        </is>
      </c>
      <c r="E16" s="3" t="n">
        <v>195668</v>
      </c>
      <c r="F16" s="3" t="n">
        <v>2907039476</v>
      </c>
      <c r="G16" t="inlineStr">
        <is>
          <t>FCFA</t>
        </is>
      </c>
      <c r="H16" s="24" t="n">
        <v>493.631</v>
      </c>
      <c r="I16" s="25" t="n">
        <v>2907039476</v>
      </c>
      <c r="J16" s="25" t="n">
        <v>5889094.23</v>
      </c>
      <c r="K16" s="15" t="n">
        <v>2021</v>
      </c>
      <c r="L16" s="13" t="n">
        <v>90759.79999999999</v>
      </c>
      <c r="M16" s="13" t="n">
        <v>61742607302</v>
      </c>
      <c r="N16" s="16">
        <f>M16/L16</f>
        <v/>
      </c>
    </row>
    <row r="17" hidden="1">
      <c r="A17" t="n">
        <v>2014</v>
      </c>
      <c r="B17" t="inlineStr">
        <is>
          <t>SSPT</t>
        </is>
      </c>
      <c r="C17" t="inlineStr">
        <is>
          <t>Phosphate</t>
        </is>
      </c>
      <c r="D17" t="inlineStr">
        <is>
          <t>Tonne</t>
        </is>
      </c>
      <c r="E17" s="3" t="n">
        <v>8353</v>
      </c>
      <c r="F17" s="3" t="n">
        <v>395481138</v>
      </c>
      <c r="G17" t="inlineStr">
        <is>
          <t>FCFA</t>
        </is>
      </c>
      <c r="H17" s="24" t="n">
        <v>493.631</v>
      </c>
      <c r="I17" s="25" t="n">
        <v>395481138</v>
      </c>
      <c r="J17" s="25" t="n">
        <v>801167.55</v>
      </c>
      <c r="K17" s="15" t="n">
        <v>2022</v>
      </c>
      <c r="L17" s="13" t="n">
        <v>84062</v>
      </c>
      <c r="M17" s="13" t="n">
        <v>82856545012</v>
      </c>
      <c r="N17" s="16">
        <f>M17/L17</f>
        <v/>
      </c>
    </row>
    <row r="18" hidden="1">
      <c r="A18" t="n">
        <v>2014</v>
      </c>
      <c r="B18" t="inlineStr">
        <is>
          <t>ICS</t>
        </is>
      </c>
      <c r="C18" t="inlineStr">
        <is>
          <t>Phosphate</t>
        </is>
      </c>
      <c r="D18" t="inlineStr">
        <is>
          <t>Tonne</t>
        </is>
      </c>
      <c r="E18" s="3" t="n">
        <v>748000</v>
      </c>
      <c r="F18" t="inlineStr">
        <is>
          <t>N/A</t>
        </is>
      </c>
      <c r="G18" t="inlineStr">
        <is>
          <t>FCFA</t>
        </is>
      </c>
      <c r="H18" s="24" t="n">
        <v>493.631</v>
      </c>
      <c r="K18" s="15" t="n">
        <v>2023</v>
      </c>
      <c r="L18" s="13" t="n">
        <v>73325</v>
      </c>
      <c r="M18" s="13" t="n">
        <v>58067850895</v>
      </c>
      <c r="N18" s="16">
        <f>M18/L18</f>
        <v/>
      </c>
    </row>
    <row r="19" hidden="1">
      <c r="A19" t="n">
        <v>2014</v>
      </c>
      <c r="B19" t="inlineStr">
        <is>
          <t>DANGOTE</t>
        </is>
      </c>
      <c r="C19" t="inlineStr">
        <is>
          <t>Clinker</t>
        </is>
      </c>
      <c r="D19" t="inlineStr">
        <is>
          <t>Tonne</t>
        </is>
      </c>
      <c r="E19" s="3" t="n">
        <v>23554</v>
      </c>
      <c r="F19" s="3" t="n">
        <v>384556158</v>
      </c>
      <c r="G19" t="inlineStr">
        <is>
          <t>FCFA</t>
        </is>
      </c>
      <c r="H19" s="24" t="n">
        <v>493.631</v>
      </c>
      <c r="I19" s="25" t="n">
        <v>384556158</v>
      </c>
      <c r="J19" s="25" t="n">
        <v>779035.67</v>
      </c>
      <c r="K19" s="15" t="n">
        <v>2024</v>
      </c>
      <c r="L19" s="13" t="n">
        <v>74068</v>
      </c>
      <c r="M19" s="13" t="n">
        <v>78027493403</v>
      </c>
      <c r="N19" s="16">
        <f>M19/L19</f>
        <v/>
      </c>
    </row>
    <row r="20" hidden="1">
      <c r="A20" t="n">
        <v>2014</v>
      </c>
      <c r="B20" t="inlineStr">
        <is>
          <t>DANGOTE</t>
        </is>
      </c>
      <c r="C20" t="inlineStr">
        <is>
          <t>Ciment</t>
        </is>
      </c>
      <c r="D20" t="inlineStr">
        <is>
          <t>Tonne</t>
        </is>
      </c>
      <c r="E20" s="3" t="n">
        <v>7008</v>
      </c>
      <c r="F20" s="3" t="n">
        <v>115127424</v>
      </c>
      <c r="G20" t="inlineStr">
        <is>
          <t>FCFA</t>
        </is>
      </c>
      <c r="H20" s="24" t="n">
        <v>493.631</v>
      </c>
      <c r="I20" s="25" t="n">
        <v>115127424</v>
      </c>
      <c r="J20" s="25" t="n">
        <v>233225.68</v>
      </c>
      <c r="K20" s="15" t="inlineStr">
        <is>
          <t>Total général</t>
        </is>
      </c>
      <c r="L20" s="13" t="n">
        <v>777742.8999999999</v>
      </c>
      <c r="M20" s="13" t="n">
        <v>492301675123</v>
      </c>
    </row>
    <row r="21" hidden="1">
      <c r="A21" t="n">
        <v>2014</v>
      </c>
      <c r="B21" t="inlineStr">
        <is>
          <t>SOMIVA</t>
        </is>
      </c>
      <c r="C21" t="inlineStr">
        <is>
          <t>Phosphate</t>
        </is>
      </c>
      <c r="D21" t="inlineStr">
        <is>
          <t>Tonne</t>
        </is>
      </c>
      <c r="E21" s="3" t="n">
        <v>36022</v>
      </c>
      <c r="F21" s="3" t="n">
        <v>3147477508</v>
      </c>
      <c r="G21" t="inlineStr">
        <is>
          <t>FCFA</t>
        </is>
      </c>
      <c r="H21" s="24" t="n">
        <v>493.631</v>
      </c>
      <c r="I21" s="25" t="n">
        <v>3147477508</v>
      </c>
      <c r="J21" s="25" t="n">
        <v>6376174.73</v>
      </c>
    </row>
    <row r="22" hidden="1">
      <c r="A22" t="n">
        <v>2014</v>
      </c>
      <c r="B22" t="inlineStr">
        <is>
          <t>SEPHOS</t>
        </is>
      </c>
      <c r="C22" t="inlineStr">
        <is>
          <t>Phosphate</t>
        </is>
      </c>
      <c r="D22" t="inlineStr">
        <is>
          <t>Tonne</t>
        </is>
      </c>
      <c r="E22" s="3" t="n">
        <v>338847</v>
      </c>
      <c r="F22" s="3" t="n">
        <v>9608345532</v>
      </c>
      <c r="G22" t="inlineStr">
        <is>
          <t>FCFA</t>
        </is>
      </c>
      <c r="H22" s="24" t="n">
        <v>493.631</v>
      </c>
      <c r="I22" s="25" t="n">
        <v>9608345532</v>
      </c>
      <c r="J22" s="25" t="n">
        <v>19464631.54</v>
      </c>
    </row>
    <row r="23" hidden="1">
      <c r="A23" t="n">
        <v>2014</v>
      </c>
      <c r="B23" t="inlineStr">
        <is>
          <t>SEPHOS</t>
        </is>
      </c>
      <c r="C23" t="inlineStr">
        <is>
          <t>Phosphate</t>
        </is>
      </c>
      <c r="D23" t="inlineStr">
        <is>
          <t>Tonne</t>
        </is>
      </c>
      <c r="E23" t="inlineStr">
        <is>
          <t>NC</t>
        </is>
      </c>
      <c r="F23" t="inlineStr">
        <is>
          <t>NC</t>
        </is>
      </c>
      <c r="G23" t="inlineStr">
        <is>
          <t>FCFA</t>
        </is>
      </c>
      <c r="H23" s="24" t="n">
        <v>493.631</v>
      </c>
    </row>
    <row r="24" hidden="1">
      <c r="A24" t="n">
        <v>2014</v>
      </c>
      <c r="B24" t="inlineStr">
        <is>
          <t>SEPHOS</t>
        </is>
      </c>
      <c r="C24" t="inlineStr">
        <is>
          <t>Phosphate</t>
        </is>
      </c>
      <c r="D24" t="inlineStr">
        <is>
          <t>Tonne</t>
        </is>
      </c>
      <c r="E24" t="inlineStr">
        <is>
          <t>NC</t>
        </is>
      </c>
      <c r="F24" t="inlineStr">
        <is>
          <t>NC</t>
        </is>
      </c>
      <c r="G24" t="inlineStr">
        <is>
          <t>FCFA</t>
        </is>
      </c>
      <c r="H24" s="24" t="n">
        <v>493.631</v>
      </c>
    </row>
    <row r="25" hidden="1">
      <c r="A25" t="n">
        <v>2014</v>
      </c>
      <c r="B25" t="inlineStr">
        <is>
          <t>AIG</t>
        </is>
      </c>
      <c r="C25" t="inlineStr">
        <is>
          <t>Phosphate</t>
        </is>
      </c>
      <c r="D25" t="inlineStr">
        <is>
          <t>Tonne</t>
        </is>
      </c>
      <c r="E25" s="3" t="n">
        <v>215325</v>
      </c>
      <c r="F25" s="3" t="n">
        <v>6931727295</v>
      </c>
      <c r="G25" t="inlineStr">
        <is>
          <t>FCFA</t>
        </is>
      </c>
      <c r="H25" s="24" t="n">
        <v>493.631</v>
      </c>
      <c r="I25" s="25" t="n">
        <v>6931727295</v>
      </c>
      <c r="J25" s="25" t="n">
        <v>14042325.74</v>
      </c>
    </row>
    <row r="26" hidden="1">
      <c r="A26" t="n">
        <v>2014</v>
      </c>
      <c r="B26" t="inlineStr">
        <is>
          <t>SOSECAR</t>
        </is>
      </c>
      <c r="C26" t="inlineStr">
        <is>
          <t>Basalte</t>
        </is>
      </c>
      <c r="D26" t="inlineStr">
        <is>
          <t>Tonne</t>
        </is>
      </c>
      <c r="E26" s="3" t="n">
        <v>345000</v>
      </c>
      <c r="F26" s="3" t="n">
        <v>6743230000</v>
      </c>
      <c r="G26" t="inlineStr">
        <is>
          <t>FCFA</t>
        </is>
      </c>
      <c r="H26" s="24" t="n">
        <v>493.631</v>
      </c>
      <c r="I26" s="25" t="n">
        <v>6743230000</v>
      </c>
      <c r="J26" s="25" t="n">
        <v>13660467.03</v>
      </c>
    </row>
    <row r="27" hidden="1">
      <c r="A27" t="n">
        <v>2014</v>
      </c>
      <c r="B27" t="inlineStr">
        <is>
          <t>SOSECAR</t>
        </is>
      </c>
      <c r="C27" t="inlineStr">
        <is>
          <t>Calcaire</t>
        </is>
      </c>
      <c r="D27" t="inlineStr">
        <is>
          <t>Mètre cube</t>
        </is>
      </c>
      <c r="E27" s="3" t="n">
        <v>173710</v>
      </c>
      <c r="F27" s="3" t="n">
        <v>6743230000</v>
      </c>
      <c r="G27" t="inlineStr">
        <is>
          <t>FCFA</t>
        </is>
      </c>
      <c r="H27" s="24" t="n">
        <v>493.631</v>
      </c>
      <c r="I27" s="25" t="n">
        <v>6743230000</v>
      </c>
      <c r="J27" s="25" t="n">
        <v>13660467.03</v>
      </c>
    </row>
    <row r="28" hidden="1">
      <c r="A28" t="n">
        <v>2014</v>
      </c>
      <c r="B28" t="inlineStr">
        <is>
          <t>COGECA</t>
        </is>
      </c>
      <c r="C28" t="inlineStr">
        <is>
          <t>Basalte</t>
        </is>
      </c>
      <c r="D28" t="inlineStr">
        <is>
          <t>Tonne</t>
        </is>
      </c>
      <c r="E28" s="3" t="n">
        <v>815000</v>
      </c>
      <c r="F28" s="3" t="n">
        <v>10930284810</v>
      </c>
      <c r="G28" t="inlineStr">
        <is>
          <t>FCFA</t>
        </is>
      </c>
      <c r="H28" s="24" t="n">
        <v>493.631</v>
      </c>
      <c r="I28" s="25" t="n">
        <v>10930284810</v>
      </c>
      <c r="J28" s="25" t="n">
        <v>22142622.34</v>
      </c>
    </row>
    <row r="29" hidden="1">
      <c r="A29" t="n">
        <v>2014</v>
      </c>
      <c r="B29" t="inlineStr">
        <is>
          <t>GECAMINES</t>
        </is>
      </c>
      <c r="C29" t="inlineStr">
        <is>
          <t>Basalte</t>
        </is>
      </c>
      <c r="D29" t="inlineStr">
        <is>
          <t>Tonne</t>
        </is>
      </c>
      <c r="E29" s="3" t="n">
        <v>1283599</v>
      </c>
      <c r="F29" s="3" t="n">
        <v>7661941060</v>
      </c>
      <c r="G29" t="inlineStr">
        <is>
          <t>FCFA</t>
        </is>
      </c>
      <c r="H29" s="24" t="n">
        <v>493.631</v>
      </c>
      <c r="I29" s="25" t="n">
        <v>7661941060</v>
      </c>
      <c r="J29" s="25" t="n">
        <v>15521596.21</v>
      </c>
    </row>
    <row r="30" hidden="1">
      <c r="A30" t="n">
        <v>2014</v>
      </c>
      <c r="B30" t="inlineStr">
        <is>
          <t>SODEVIT</t>
        </is>
      </c>
      <c r="C30" t="inlineStr">
        <is>
          <t>Calcaire</t>
        </is>
      </c>
      <c r="D30" t="inlineStr">
        <is>
          <t>Mètre cube</t>
        </is>
      </c>
      <c r="E30" s="3" t="n">
        <v>732719</v>
      </c>
      <c r="F30" s="3" t="n">
        <v>4458513802</v>
      </c>
      <c r="G30" t="inlineStr">
        <is>
          <t>FCFA</t>
        </is>
      </c>
      <c r="H30" s="24" t="n">
        <v>493.631</v>
      </c>
      <c r="I30" s="25" t="n">
        <v>4458513802</v>
      </c>
      <c r="J30" s="25" t="n">
        <v>9032078.220000001</v>
      </c>
    </row>
    <row r="31" hidden="1">
      <c r="A31" t="n">
        <v>2015</v>
      </c>
      <c r="B31" t="inlineStr">
        <is>
          <t>SOCOCIM</t>
        </is>
      </c>
      <c r="C31" t="inlineStr">
        <is>
          <t>Ciment</t>
        </is>
      </c>
      <c r="D31" t="inlineStr">
        <is>
          <t>Tonne</t>
        </is>
      </c>
      <c r="E31" s="3" t="n">
        <v>2592744</v>
      </c>
      <c r="F31" s="3" t="n">
        <v>108775978956</v>
      </c>
      <c r="G31" t="inlineStr">
        <is>
          <t>FCFA</t>
        </is>
      </c>
      <c r="H31" s="24" t="n">
        <v>591.45</v>
      </c>
      <c r="I31" s="25" t="n">
        <v>108775978956</v>
      </c>
      <c r="J31" s="25" t="n">
        <v>183914073.81</v>
      </c>
    </row>
    <row r="32" hidden="1">
      <c r="A32" t="n">
        <v>2015</v>
      </c>
      <c r="B32" t="inlineStr">
        <is>
          <t>SGO</t>
        </is>
      </c>
      <c r="C32" t="inlineStr">
        <is>
          <t>Or</t>
        </is>
      </c>
      <c r="D32" t="inlineStr">
        <is>
          <t>Tonne</t>
        </is>
      </c>
      <c r="E32" s="8" t="n">
        <v>5.66960396</v>
      </c>
      <c r="F32" s="3" t="n">
        <v>125343600170</v>
      </c>
      <c r="G32" t="inlineStr">
        <is>
          <t>FCFA</t>
        </is>
      </c>
      <c r="H32" s="24" t="n">
        <v>591.45</v>
      </c>
      <c r="I32" s="25" t="n">
        <v>125343600170</v>
      </c>
      <c r="J32" s="25" t="n">
        <v>211925945</v>
      </c>
    </row>
    <row r="33" hidden="1">
      <c r="A33" t="n">
        <v>2015</v>
      </c>
      <c r="B33" t="inlineStr">
        <is>
          <t>SGO</t>
        </is>
      </c>
      <c r="C33" t="inlineStr">
        <is>
          <t>Argent</t>
        </is>
      </c>
      <c r="D33" t="inlineStr">
        <is>
          <t>Tonne</t>
        </is>
      </c>
      <c r="E33" t="inlineStr">
        <is>
          <t>NC</t>
        </is>
      </c>
      <c r="F33" t="inlineStr">
        <is>
          <t>NC</t>
        </is>
      </c>
      <c r="G33" t="inlineStr">
        <is>
          <t>FCFA</t>
        </is>
      </c>
      <c r="H33" s="24" t="n">
        <v>591.45</v>
      </c>
    </row>
    <row r="34" hidden="1">
      <c r="A34" t="n">
        <v>2015</v>
      </c>
      <c r="B34" t="inlineStr">
        <is>
          <t>CDS</t>
        </is>
      </c>
      <c r="C34" t="inlineStr">
        <is>
          <t>Calcaire</t>
        </is>
      </c>
      <c r="D34" t="inlineStr">
        <is>
          <t>Tonne</t>
        </is>
      </c>
      <c r="E34" s="3" t="n">
        <v>2618495</v>
      </c>
      <c r="F34" t="inlineStr">
        <is>
          <t>N/A</t>
        </is>
      </c>
      <c r="G34" t="inlineStr">
        <is>
          <t>FCFA</t>
        </is>
      </c>
      <c r="H34" s="24" t="n">
        <v>591.45</v>
      </c>
    </row>
    <row r="35" hidden="1">
      <c r="A35" t="n">
        <v>2015</v>
      </c>
      <c r="B35" t="inlineStr">
        <is>
          <t>CDS</t>
        </is>
      </c>
      <c r="C35" t="inlineStr">
        <is>
          <t>Argile</t>
        </is>
      </c>
      <c r="D35" t="inlineStr">
        <is>
          <t>Tonne</t>
        </is>
      </c>
      <c r="E35" s="3" t="n">
        <v>590617</v>
      </c>
      <c r="F35" t="inlineStr">
        <is>
          <t>N/A</t>
        </is>
      </c>
      <c r="G35" t="inlineStr">
        <is>
          <t>FCFA</t>
        </is>
      </c>
      <c r="H35" s="24" t="n">
        <v>591.45</v>
      </c>
    </row>
    <row r="36" hidden="1">
      <c r="A36" t="n">
        <v>2015</v>
      </c>
      <c r="B36" t="inlineStr">
        <is>
          <t>CDS</t>
        </is>
      </c>
      <c r="C36" t="inlineStr">
        <is>
          <t>Latérite</t>
        </is>
      </c>
      <c r="D36" t="inlineStr">
        <is>
          <t>Tonne</t>
        </is>
      </c>
      <c r="E36" s="3" t="n">
        <v>66135</v>
      </c>
      <c r="F36" t="inlineStr">
        <is>
          <t>N/A</t>
        </is>
      </c>
      <c r="G36" t="inlineStr">
        <is>
          <t>FCFA</t>
        </is>
      </c>
      <c r="H36" s="24" t="n">
        <v>591.45</v>
      </c>
    </row>
    <row r="37" hidden="1">
      <c r="A37" t="n">
        <v>2015</v>
      </c>
      <c r="B37" t="inlineStr">
        <is>
          <t>GCO</t>
        </is>
      </c>
      <c r="C37" t="inlineStr">
        <is>
          <t>Ilménite</t>
        </is>
      </c>
      <c r="D37" t="inlineStr">
        <is>
          <t>Tonne</t>
        </is>
      </c>
      <c r="E37" s="3" t="n">
        <v>320646</v>
      </c>
      <c r="F37" s="3" t="n">
        <v>32064633</v>
      </c>
      <c r="G37" t="inlineStr">
        <is>
          <t>USD</t>
        </is>
      </c>
      <c r="H37" s="24" t="n">
        <v>591.45</v>
      </c>
      <c r="I37" s="25" t="n">
        <v>18964627187.85</v>
      </c>
      <c r="J37" s="25" t="n">
        <v>32064633</v>
      </c>
    </row>
    <row r="38" hidden="1">
      <c r="A38" t="n">
        <v>2015</v>
      </c>
      <c r="B38" t="inlineStr">
        <is>
          <t>GCO</t>
        </is>
      </c>
      <c r="C38" t="inlineStr">
        <is>
          <t>Ilménite</t>
        </is>
      </c>
      <c r="D38" t="inlineStr">
        <is>
          <t>Tonne</t>
        </is>
      </c>
      <c r="E38" s="3" t="n">
        <v>107043</v>
      </c>
      <c r="F38" s="3" t="n">
        <v>16912780</v>
      </c>
      <c r="G38" t="inlineStr">
        <is>
          <t>USD</t>
        </is>
      </c>
      <c r="H38" s="24" t="n">
        <v>591.45</v>
      </c>
      <c r="I38" s="25" t="n">
        <v>10003063731</v>
      </c>
      <c r="J38" s="25" t="n">
        <v>16912780</v>
      </c>
    </row>
    <row r="39" hidden="1">
      <c r="A39" t="n">
        <v>2015</v>
      </c>
      <c r="B39" t="inlineStr">
        <is>
          <t>GCO</t>
        </is>
      </c>
      <c r="C39" t="inlineStr">
        <is>
          <t>Zircon</t>
        </is>
      </c>
      <c r="D39" t="inlineStr">
        <is>
          <t>Tonne</t>
        </is>
      </c>
      <c r="E39" s="3" t="n">
        <v>23516</v>
      </c>
      <c r="F39" s="3" t="n">
        <v>25703452</v>
      </c>
      <c r="G39" t="inlineStr">
        <is>
          <t>USD</t>
        </is>
      </c>
      <c r="H39" s="24" t="n">
        <v>591.45</v>
      </c>
      <c r="I39" s="25" t="n">
        <v>15202306685.4</v>
      </c>
      <c r="J39" s="25" t="n">
        <v>25703452</v>
      </c>
    </row>
    <row r="40" hidden="1">
      <c r="A40" t="n">
        <v>2015</v>
      </c>
      <c r="B40" t="inlineStr">
        <is>
          <t>GCO</t>
        </is>
      </c>
      <c r="C40" t="inlineStr">
        <is>
          <t>Zircon</t>
        </is>
      </c>
      <c r="D40" t="inlineStr">
        <is>
          <t>Tonne</t>
        </is>
      </c>
      <c r="E40" s="3" t="n">
        <v>21732</v>
      </c>
      <c r="F40" s="3" t="n">
        <v>22166267</v>
      </c>
      <c r="G40" t="inlineStr">
        <is>
          <t>USD</t>
        </is>
      </c>
      <c r="H40" s="24" t="n">
        <v>591.45</v>
      </c>
      <c r="I40" s="25" t="n">
        <v>13110238617.15</v>
      </c>
      <c r="J40" s="25" t="n">
        <v>22166267</v>
      </c>
    </row>
    <row r="41" hidden="1">
      <c r="A41" t="n">
        <v>2015</v>
      </c>
      <c r="B41" t="inlineStr">
        <is>
          <t>GCO</t>
        </is>
      </c>
      <c r="C41" t="inlineStr">
        <is>
          <t>Rutile</t>
        </is>
      </c>
      <c r="D41" t="inlineStr">
        <is>
          <t>Tonne</t>
        </is>
      </c>
      <c r="E41" s="3" t="n">
        <v>2084</v>
      </c>
      <c r="F41" s="3" t="n">
        <v>1716817</v>
      </c>
      <c r="G41" t="inlineStr">
        <is>
          <t>USD</t>
        </is>
      </c>
      <c r="H41" s="24" t="n">
        <v>591.45</v>
      </c>
      <c r="I41" s="25" t="n">
        <v>1015411414.65</v>
      </c>
      <c r="J41" s="25" t="n">
        <v>1716817</v>
      </c>
    </row>
    <row r="42" hidden="1">
      <c r="A42" t="n">
        <v>2015</v>
      </c>
      <c r="B42" t="inlineStr">
        <is>
          <t>GCO</t>
        </is>
      </c>
      <c r="C42" t="inlineStr">
        <is>
          <t>Leucoxène</t>
        </is>
      </c>
      <c r="D42" t="inlineStr">
        <is>
          <t>Tonne</t>
        </is>
      </c>
      <c r="E42" s="3" t="n">
        <v>3227</v>
      </c>
      <c r="F42" s="3" t="n">
        <v>1564960</v>
      </c>
      <c r="G42" t="inlineStr">
        <is>
          <t>USD</t>
        </is>
      </c>
      <c r="H42" s="24" t="n">
        <v>591.45</v>
      </c>
      <c r="I42" s="25" t="n">
        <v>925595592</v>
      </c>
      <c r="J42" s="25" t="n">
        <v>1564960</v>
      </c>
    </row>
    <row r="43" hidden="1">
      <c r="A43" t="n">
        <v>2015</v>
      </c>
      <c r="B43" t="inlineStr">
        <is>
          <t>SSPT</t>
        </is>
      </c>
      <c r="C43" t="inlineStr">
        <is>
          <t>Attapulgite</t>
        </is>
      </c>
      <c r="D43" t="inlineStr">
        <is>
          <t>Tonne</t>
        </is>
      </c>
      <c r="E43" s="3" t="n">
        <v>181247</v>
      </c>
      <c r="F43" s="3" t="n">
        <v>2705941826</v>
      </c>
      <c r="G43" t="inlineStr">
        <is>
          <t>FCFA</t>
        </is>
      </c>
      <c r="H43" s="24" t="n">
        <v>591.45</v>
      </c>
      <c r="I43" s="25" t="n">
        <v>2705941826</v>
      </c>
      <c r="J43" s="25" t="n">
        <v>4575098.19</v>
      </c>
    </row>
    <row r="44" hidden="1">
      <c r="A44" t="n">
        <v>2015</v>
      </c>
      <c r="B44" t="inlineStr">
        <is>
          <t>SSPT</t>
        </is>
      </c>
      <c r="C44" t="inlineStr">
        <is>
          <t>Phosphate</t>
        </is>
      </c>
      <c r="D44" t="inlineStr">
        <is>
          <t>Tonne</t>
        </is>
      </c>
      <c r="E44" s="3" t="n">
        <v>1261</v>
      </c>
      <c r="F44" s="3" t="n">
        <v>138607499</v>
      </c>
      <c r="G44" t="inlineStr">
        <is>
          <t>FCFA</t>
        </is>
      </c>
      <c r="H44" s="24" t="n">
        <v>591.45</v>
      </c>
      <c r="I44" s="25" t="n">
        <v>138607499</v>
      </c>
      <c r="J44" s="25" t="n">
        <v>234352.01</v>
      </c>
    </row>
    <row r="45" hidden="1">
      <c r="A45" t="n">
        <v>2015</v>
      </c>
      <c r="B45" t="inlineStr">
        <is>
          <t>ICS</t>
        </is>
      </c>
      <c r="C45" t="inlineStr">
        <is>
          <t>Phosphate</t>
        </is>
      </c>
      <c r="D45" t="inlineStr">
        <is>
          <t>Tonne</t>
        </is>
      </c>
      <c r="E45" s="3" t="n">
        <v>1005628</v>
      </c>
      <c r="F45" t="inlineStr">
        <is>
          <t>N/A</t>
        </is>
      </c>
      <c r="G45" t="inlineStr">
        <is>
          <t>FCFA</t>
        </is>
      </c>
      <c r="H45" s="24" t="n">
        <v>591.45</v>
      </c>
    </row>
    <row r="46" hidden="1">
      <c r="A46" t="n">
        <v>2015</v>
      </c>
      <c r="B46" t="inlineStr">
        <is>
          <t>DANGOTE</t>
        </is>
      </c>
      <c r="C46" t="inlineStr">
        <is>
          <t>Calcaire</t>
        </is>
      </c>
      <c r="D46" t="inlineStr">
        <is>
          <t>Tonne</t>
        </is>
      </c>
      <c r="E46" s="3" t="n">
        <v>1536830</v>
      </c>
      <c r="F46" s="3" t="n">
        <v>3997595441</v>
      </c>
      <c r="G46" t="inlineStr">
        <is>
          <t>FCFA</t>
        </is>
      </c>
      <c r="H46" s="24" t="n">
        <v>591.45</v>
      </c>
      <c r="I46" s="25" t="n">
        <v>3997595441</v>
      </c>
      <c r="J46" s="25" t="n">
        <v>6758974.45</v>
      </c>
    </row>
    <row r="47" hidden="1">
      <c r="A47" t="n">
        <v>2015</v>
      </c>
      <c r="B47" t="inlineStr">
        <is>
          <t>DANGOTE</t>
        </is>
      </c>
      <c r="C47" t="inlineStr">
        <is>
          <t>Argile</t>
        </is>
      </c>
      <c r="D47" t="inlineStr">
        <is>
          <t>Tonne</t>
        </is>
      </c>
      <c r="E47" s="3" t="n">
        <v>160794</v>
      </c>
      <c r="F47" s="3" t="n">
        <v>310886049</v>
      </c>
      <c r="G47" t="inlineStr">
        <is>
          <t>FCFA</t>
        </is>
      </c>
      <c r="H47" s="24" t="n">
        <v>591.45</v>
      </c>
      <c r="I47" s="25" t="n">
        <v>310886049</v>
      </c>
      <c r="J47" s="25" t="n">
        <v>525633.7</v>
      </c>
    </row>
    <row r="48" hidden="1">
      <c r="A48" t="n">
        <v>2015</v>
      </c>
      <c r="B48" t="inlineStr">
        <is>
          <t>DANGOTE</t>
        </is>
      </c>
      <c r="C48" t="inlineStr">
        <is>
          <t>Latérite</t>
        </is>
      </c>
      <c r="D48" t="inlineStr">
        <is>
          <t>Tonne</t>
        </is>
      </c>
      <c r="E48" s="3" t="n">
        <v>36578</v>
      </c>
      <c r="F48" s="3" t="n">
        <v>81977363</v>
      </c>
      <c r="G48" t="inlineStr">
        <is>
          <t>FCFA</t>
        </is>
      </c>
      <c r="H48" s="24" t="n">
        <v>591.45</v>
      </c>
      <c r="I48" s="25" t="n">
        <v>81977363</v>
      </c>
      <c r="J48" s="25" t="n">
        <v>138604.05</v>
      </c>
    </row>
    <row r="49" hidden="1">
      <c r="A49" t="n">
        <v>2015</v>
      </c>
      <c r="B49" t="inlineStr">
        <is>
          <t>DANGOTE</t>
        </is>
      </c>
      <c r="C49" t="inlineStr">
        <is>
          <t>Ciment</t>
        </is>
      </c>
      <c r="D49" t="inlineStr">
        <is>
          <t>Tonne</t>
        </is>
      </c>
      <c r="E49" s="3" t="n">
        <v>939259</v>
      </c>
      <c r="F49" s="3" t="n">
        <v>42176448566</v>
      </c>
      <c r="G49" t="inlineStr">
        <is>
          <t>FCFA</t>
        </is>
      </c>
      <c r="H49" s="24" t="n">
        <v>591.45</v>
      </c>
      <c r="I49" s="25" t="n">
        <v>42176448566</v>
      </c>
      <c r="J49" s="25" t="n">
        <v>71310252.03</v>
      </c>
    </row>
    <row r="50" hidden="1">
      <c r="A50" t="n">
        <v>2015</v>
      </c>
      <c r="B50" t="inlineStr">
        <is>
          <t>SOMIVA</t>
        </is>
      </c>
      <c r="C50" t="inlineStr">
        <is>
          <t>Phosphate</t>
        </is>
      </c>
      <c r="D50" t="inlineStr">
        <is>
          <t>Tonne</t>
        </is>
      </c>
      <c r="E50" s="3" t="n">
        <v>416366</v>
      </c>
      <c r="F50" s="3" t="n">
        <v>21666437542</v>
      </c>
      <c r="G50" t="inlineStr">
        <is>
          <t>FCFA</t>
        </is>
      </c>
      <c r="H50" s="24" t="n">
        <v>591.45</v>
      </c>
      <c r="I50" s="25" t="n">
        <v>21666437542</v>
      </c>
      <c r="J50" s="25" t="n">
        <v>36632745.87</v>
      </c>
    </row>
    <row r="51" hidden="1">
      <c r="A51" t="n">
        <v>2015</v>
      </c>
      <c r="B51" t="inlineStr">
        <is>
          <t>SEPHOS</t>
        </is>
      </c>
      <c r="C51" t="inlineStr">
        <is>
          <t>Phosphate</t>
        </is>
      </c>
      <c r="D51" t="inlineStr">
        <is>
          <t>Tonne</t>
        </is>
      </c>
      <c r="E51" s="3" t="n">
        <v>413297</v>
      </c>
      <c r="F51" s="3" t="n">
        <v>8588721008</v>
      </c>
      <c r="G51" t="inlineStr">
        <is>
          <t>FCFA</t>
        </is>
      </c>
      <c r="H51" s="24" t="n">
        <v>591.45</v>
      </c>
      <c r="I51" s="25" t="n">
        <v>8588721008</v>
      </c>
      <c r="J51" s="25" t="n">
        <v>14521465.9</v>
      </c>
    </row>
    <row r="52" hidden="1">
      <c r="A52" t="n">
        <v>2015</v>
      </c>
      <c r="B52" t="inlineStr">
        <is>
          <t>AIG</t>
        </is>
      </c>
      <c r="C52" t="inlineStr">
        <is>
          <t>Phosphate</t>
        </is>
      </c>
      <c r="D52" t="inlineStr">
        <is>
          <t>Tonne</t>
        </is>
      </c>
      <c r="E52" t="inlineStr">
        <is>
          <t>NC</t>
        </is>
      </c>
      <c r="F52" t="inlineStr">
        <is>
          <t>NC</t>
        </is>
      </c>
      <c r="G52" t="inlineStr">
        <is>
          <t>FCFA</t>
        </is>
      </c>
      <c r="H52" s="24" t="n">
        <v>591.45</v>
      </c>
    </row>
    <row r="53" hidden="1">
      <c r="A53" t="n">
        <v>2015</v>
      </c>
      <c r="B53" t="inlineStr">
        <is>
          <t>SOSECAR</t>
        </is>
      </c>
      <c r="C53" t="inlineStr">
        <is>
          <t>Basalte</t>
        </is>
      </c>
      <c r="D53" t="inlineStr">
        <is>
          <t>Tonne</t>
        </is>
      </c>
      <c r="E53" s="3" t="n">
        <v>330000</v>
      </c>
      <c r="F53" t="inlineStr">
        <is>
          <t>NC</t>
        </is>
      </c>
      <c r="G53" t="inlineStr">
        <is>
          <t>FCFA</t>
        </is>
      </c>
      <c r="H53" s="24" t="n">
        <v>591.45</v>
      </c>
    </row>
    <row r="54" hidden="1">
      <c r="A54" t="n">
        <v>2015</v>
      </c>
      <c r="B54" t="inlineStr">
        <is>
          <t>SOSECAR</t>
        </is>
      </c>
      <c r="C54" t="inlineStr">
        <is>
          <t>Calcaire</t>
        </is>
      </c>
      <c r="D54" t="inlineStr">
        <is>
          <t>Mètre cube</t>
        </is>
      </c>
      <c r="E54" s="3" t="n">
        <v>150000</v>
      </c>
      <c r="F54" t="inlineStr">
        <is>
          <t>NC</t>
        </is>
      </c>
      <c r="G54" t="inlineStr">
        <is>
          <t>FCFA</t>
        </is>
      </c>
      <c r="H54" s="24" t="n">
        <v>591.45</v>
      </c>
    </row>
    <row r="55" hidden="1">
      <c r="A55" t="n">
        <v>2015</v>
      </c>
      <c r="B55" t="inlineStr">
        <is>
          <t>COGECA</t>
        </is>
      </c>
      <c r="C55" t="inlineStr">
        <is>
          <t>Basalte</t>
        </is>
      </c>
      <c r="D55" t="inlineStr">
        <is>
          <t>Tonne</t>
        </is>
      </c>
      <c r="E55" s="3" t="n">
        <v>780000</v>
      </c>
      <c r="F55" t="inlineStr">
        <is>
          <t>NC</t>
        </is>
      </c>
      <c r="G55" t="inlineStr">
        <is>
          <t>FCFA</t>
        </is>
      </c>
      <c r="H55" s="24" t="n">
        <v>591.45</v>
      </c>
    </row>
    <row r="56" hidden="1">
      <c r="A56" t="n">
        <v>2015</v>
      </c>
      <c r="B56" t="inlineStr">
        <is>
          <t>GECAMINES</t>
        </is>
      </c>
      <c r="C56" t="inlineStr">
        <is>
          <t>Basalte</t>
        </is>
      </c>
      <c r="D56" t="inlineStr">
        <is>
          <t>Tonne</t>
        </is>
      </c>
      <c r="E56" s="3" t="n">
        <v>1425402</v>
      </c>
      <c r="F56" s="3" t="n">
        <v>8489794090</v>
      </c>
      <c r="G56" t="inlineStr">
        <is>
          <t>FCFA</t>
        </is>
      </c>
      <c r="H56" s="24" t="n">
        <v>591.45</v>
      </c>
      <c r="I56" s="25" t="n">
        <v>8489794090</v>
      </c>
      <c r="J56" s="25" t="n">
        <v>14354204.23</v>
      </c>
    </row>
    <row r="57" hidden="1">
      <c r="A57" t="n">
        <v>2015</v>
      </c>
      <c r="B57" t="inlineStr">
        <is>
          <t>SODEVIT</t>
        </is>
      </c>
      <c r="C57" t="inlineStr">
        <is>
          <t>Calcaire</t>
        </is>
      </c>
      <c r="D57" t="inlineStr">
        <is>
          <t>Mètre cube</t>
        </is>
      </c>
      <c r="E57" s="3" t="n">
        <v>686742</v>
      </c>
      <c r="F57" s="3" t="n">
        <v>3625194272</v>
      </c>
      <c r="G57" t="inlineStr">
        <is>
          <t>FCFA</t>
        </is>
      </c>
      <c r="H57" s="24" t="n">
        <v>591.45</v>
      </c>
      <c r="I57" s="25" t="n">
        <v>3625194272</v>
      </c>
      <c r="J57" s="25" t="n">
        <v>6129333.46</v>
      </c>
    </row>
    <row r="58" hidden="1">
      <c r="A58" t="n">
        <v>2016</v>
      </c>
      <c r="B58" t="inlineStr">
        <is>
          <t>SOCOCIM</t>
        </is>
      </c>
      <c r="C58" t="inlineStr">
        <is>
          <t>Ciment</t>
        </is>
      </c>
      <c r="D58" t="inlineStr">
        <is>
          <t>Tonne</t>
        </is>
      </c>
      <c r="E58" s="3" t="n">
        <v>2753704</v>
      </c>
      <c r="F58" s="3" t="n">
        <v>113299795957</v>
      </c>
      <c r="G58" t="inlineStr">
        <is>
          <t>FCFA</t>
        </is>
      </c>
      <c r="H58" s="24" t="n">
        <v>593.008</v>
      </c>
      <c r="I58" s="25" t="n">
        <v>113299795957</v>
      </c>
      <c r="J58" s="25" t="n">
        <v>191059472.99</v>
      </c>
    </row>
    <row r="59" hidden="1">
      <c r="A59" t="n">
        <v>2016</v>
      </c>
      <c r="B59" t="inlineStr">
        <is>
          <t>SGO</t>
        </is>
      </c>
      <c r="C59" t="inlineStr">
        <is>
          <t>Or</t>
        </is>
      </c>
      <c r="D59" t="inlineStr">
        <is>
          <t>Tonne</t>
        </is>
      </c>
      <c r="E59" s="8" t="n">
        <v>6.74121204</v>
      </c>
      <c r="F59" s="3" t="n">
        <v>158275855422</v>
      </c>
      <c r="G59" t="inlineStr">
        <is>
          <t>FCFA</t>
        </is>
      </c>
      <c r="H59" s="24" t="n">
        <v>593.008</v>
      </c>
      <c r="I59" s="25" t="n">
        <v>158275855422</v>
      </c>
      <c r="J59" s="25" t="n">
        <v>266903406.74</v>
      </c>
    </row>
    <row r="60" hidden="1">
      <c r="A60" t="n">
        <v>2016</v>
      </c>
      <c r="B60" t="inlineStr">
        <is>
          <t>SGO</t>
        </is>
      </c>
      <c r="C60" t="inlineStr">
        <is>
          <t>Argent</t>
        </is>
      </c>
      <c r="D60" t="inlineStr">
        <is>
          <t>Tonne</t>
        </is>
      </c>
      <c r="E60" t="inlineStr">
        <is>
          <t>NC</t>
        </is>
      </c>
      <c r="F60" t="inlineStr">
        <is>
          <t>NC</t>
        </is>
      </c>
      <c r="G60" t="inlineStr">
        <is>
          <t>FCFA</t>
        </is>
      </c>
      <c r="H60" s="24" t="n">
        <v>593.008</v>
      </c>
    </row>
    <row r="61" hidden="1">
      <c r="A61" t="n">
        <v>2016</v>
      </c>
      <c r="B61" t="inlineStr">
        <is>
          <t>CDS</t>
        </is>
      </c>
      <c r="C61" t="inlineStr">
        <is>
          <t>Calcaire</t>
        </is>
      </c>
      <c r="D61" t="inlineStr">
        <is>
          <t>Tonne</t>
        </is>
      </c>
      <c r="E61" s="3" t="n">
        <v>2743271</v>
      </c>
      <c r="F61" t="inlineStr">
        <is>
          <t>N/A</t>
        </is>
      </c>
      <c r="G61" t="inlineStr">
        <is>
          <t>FCFA</t>
        </is>
      </c>
      <c r="H61" s="24" t="n">
        <v>593.008</v>
      </c>
    </row>
    <row r="62" hidden="1">
      <c r="A62" t="n">
        <v>2016</v>
      </c>
      <c r="B62" t="inlineStr">
        <is>
          <t>CDS</t>
        </is>
      </c>
      <c r="C62" t="inlineStr">
        <is>
          <t>Argile</t>
        </is>
      </c>
      <c r="D62" t="inlineStr">
        <is>
          <t>Tonne</t>
        </is>
      </c>
      <c r="E62" s="3" t="n">
        <v>453511</v>
      </c>
      <c r="F62" t="inlineStr">
        <is>
          <t>N/A</t>
        </is>
      </c>
      <c r="G62" t="inlineStr">
        <is>
          <t>FCFA</t>
        </is>
      </c>
      <c r="H62" s="24" t="n">
        <v>593.008</v>
      </c>
    </row>
    <row r="63" hidden="1">
      <c r="A63" t="n">
        <v>2016</v>
      </c>
      <c r="B63" t="inlineStr">
        <is>
          <t>CDS</t>
        </is>
      </c>
      <c r="C63" t="inlineStr">
        <is>
          <t>Latérite</t>
        </is>
      </c>
      <c r="D63" t="inlineStr">
        <is>
          <t>Tonne</t>
        </is>
      </c>
      <c r="E63" s="3" t="n">
        <v>61444</v>
      </c>
      <c r="F63" t="inlineStr">
        <is>
          <t>N/A</t>
        </is>
      </c>
      <c r="G63" t="inlineStr">
        <is>
          <t>FCFA</t>
        </is>
      </c>
      <c r="H63" s="24" t="n">
        <v>593.008</v>
      </c>
    </row>
    <row r="64" hidden="1">
      <c r="A64" t="n">
        <v>2016</v>
      </c>
      <c r="B64" t="inlineStr">
        <is>
          <t>GCO</t>
        </is>
      </c>
      <c r="C64" t="inlineStr">
        <is>
          <t>Ilménite</t>
        </is>
      </c>
      <c r="D64" t="inlineStr">
        <is>
          <t>Tonne</t>
        </is>
      </c>
      <c r="E64" s="3" t="n">
        <v>298437</v>
      </c>
      <c r="F64" s="3" t="n">
        <v>31335888</v>
      </c>
      <c r="G64" t="inlineStr">
        <is>
          <t>USD</t>
        </is>
      </c>
      <c r="H64" s="24" t="n">
        <v>593.008</v>
      </c>
      <c r="I64" s="25" t="n">
        <v>18582432271.1</v>
      </c>
      <c r="J64" s="25" t="n">
        <v>31335888</v>
      </c>
    </row>
    <row r="65" hidden="1">
      <c r="A65" t="n">
        <v>2016</v>
      </c>
      <c r="B65" t="inlineStr">
        <is>
          <t>GCO</t>
        </is>
      </c>
      <c r="C65" t="inlineStr">
        <is>
          <t>Ilménite</t>
        </is>
      </c>
      <c r="D65" t="inlineStr">
        <is>
          <t>Tonne</t>
        </is>
      </c>
      <c r="E65" s="3" t="n">
        <v>117913</v>
      </c>
      <c r="F65" s="3" t="n">
        <v>18866005</v>
      </c>
      <c r="G65" t="inlineStr">
        <is>
          <t>USD</t>
        </is>
      </c>
      <c r="H65" s="24" t="n">
        <v>593.008</v>
      </c>
      <c r="I65" s="25" t="n">
        <v>11187691893.04</v>
      </c>
      <c r="J65" s="25" t="n">
        <v>18866005</v>
      </c>
    </row>
    <row r="66" hidden="1">
      <c r="A66" t="n">
        <v>2016</v>
      </c>
      <c r="B66" t="inlineStr">
        <is>
          <t>GCO</t>
        </is>
      </c>
      <c r="C66" t="inlineStr">
        <is>
          <t>Zircon</t>
        </is>
      </c>
      <c r="D66" t="inlineStr">
        <is>
          <t>Tonne</t>
        </is>
      </c>
      <c r="E66" s="3" t="n">
        <v>27404</v>
      </c>
      <c r="F66" s="3" t="n">
        <v>27087747</v>
      </c>
      <c r="G66" t="inlineStr">
        <is>
          <t>USD</t>
        </is>
      </c>
      <c r="H66" s="24" t="n">
        <v>593.008</v>
      </c>
      <c r="I66" s="25" t="n">
        <v>16063250672.98</v>
      </c>
      <c r="J66" s="25" t="n">
        <v>27087747</v>
      </c>
    </row>
    <row r="67" hidden="1">
      <c r="A67" t="n">
        <v>2016</v>
      </c>
      <c r="B67" t="inlineStr">
        <is>
          <t>GCO</t>
        </is>
      </c>
      <c r="C67" t="inlineStr">
        <is>
          <t>Zircon</t>
        </is>
      </c>
      <c r="D67" t="inlineStr">
        <is>
          <t>Tonne</t>
        </is>
      </c>
      <c r="E67" s="3" t="n">
        <v>25223</v>
      </c>
      <c r="F67" s="3" t="n">
        <v>22397924</v>
      </c>
      <c r="G67" t="inlineStr">
        <is>
          <t>USD</t>
        </is>
      </c>
      <c r="H67" s="24" t="n">
        <v>593.008</v>
      </c>
      <c r="I67" s="25" t="n">
        <v>13282148115.39</v>
      </c>
      <c r="J67" s="25" t="n">
        <v>22397924</v>
      </c>
    </row>
    <row r="68" hidden="1">
      <c r="A68" t="n">
        <v>2016</v>
      </c>
      <c r="B68" t="inlineStr">
        <is>
          <t>GCO</t>
        </is>
      </c>
      <c r="C68" t="inlineStr">
        <is>
          <t>Zircon</t>
        </is>
      </c>
      <c r="D68" t="inlineStr">
        <is>
          <t>Tonne</t>
        </is>
      </c>
      <c r="E68" s="3" t="n">
        <v>9292</v>
      </c>
      <c r="F68" s="3" t="n">
        <v>3242768</v>
      </c>
      <c r="G68" t="inlineStr">
        <is>
          <t>USD</t>
        </is>
      </c>
      <c r="H68" s="24" t="n">
        <v>593.008</v>
      </c>
      <c r="I68" s="25" t="n">
        <v>1922987366.14</v>
      </c>
      <c r="J68" s="25" t="n">
        <v>3242768</v>
      </c>
    </row>
    <row r="69" hidden="1">
      <c r="A69" t="n">
        <v>2016</v>
      </c>
      <c r="B69" t="inlineStr">
        <is>
          <t>GCO</t>
        </is>
      </c>
      <c r="C69" t="inlineStr">
        <is>
          <t>Rutile</t>
        </is>
      </c>
      <c r="D69" t="inlineStr">
        <is>
          <t>Tonne</t>
        </is>
      </c>
      <c r="E69" s="3" t="n">
        <v>2892</v>
      </c>
      <c r="F69" s="3" t="n">
        <v>2116898</v>
      </c>
      <c r="G69" t="inlineStr">
        <is>
          <t>USD</t>
        </is>
      </c>
      <c r="H69" s="24" t="n">
        <v>593.008</v>
      </c>
      <c r="I69" s="25" t="n">
        <v>1255337449.18</v>
      </c>
      <c r="J69" s="25" t="n">
        <v>2116898</v>
      </c>
    </row>
    <row r="70" hidden="1">
      <c r="A70" t="n">
        <v>2016</v>
      </c>
      <c r="B70" t="inlineStr">
        <is>
          <t>GCO</t>
        </is>
      </c>
      <c r="C70" t="inlineStr">
        <is>
          <t>Leucoxène</t>
        </is>
      </c>
      <c r="D70" t="inlineStr">
        <is>
          <t>Tonne</t>
        </is>
      </c>
      <c r="E70" s="3" t="n">
        <v>6773</v>
      </c>
      <c r="F70" s="3" t="n">
        <v>3311924</v>
      </c>
      <c r="G70" t="inlineStr">
        <is>
          <t>USD</t>
        </is>
      </c>
      <c r="H70" s="24" t="n">
        <v>593.008</v>
      </c>
      <c r="I70" s="25" t="n">
        <v>1963997427.39</v>
      </c>
      <c r="J70" s="25" t="n">
        <v>3311924</v>
      </c>
    </row>
    <row r="71" hidden="1">
      <c r="A71" t="n">
        <v>2016</v>
      </c>
      <c r="B71" t="inlineStr">
        <is>
          <t>SSPT</t>
        </is>
      </c>
      <c r="C71" t="inlineStr">
        <is>
          <t>Attapulgite</t>
        </is>
      </c>
      <c r="D71" t="inlineStr">
        <is>
          <t>Tonne</t>
        </is>
      </c>
      <c r="E71" s="3" t="n">
        <v>163568</v>
      </c>
      <c r="F71" s="3" t="n">
        <v>2490283866</v>
      </c>
      <c r="G71" t="inlineStr">
        <is>
          <t>FCFA</t>
        </is>
      </c>
      <c r="H71" s="24" t="n">
        <v>593.008</v>
      </c>
      <c r="I71" s="25" t="n">
        <v>2490283866</v>
      </c>
      <c r="J71" s="25" t="n">
        <v>4199410.24</v>
      </c>
    </row>
    <row r="72" hidden="1">
      <c r="A72" t="n">
        <v>2016</v>
      </c>
      <c r="B72" t="inlineStr">
        <is>
          <t>SSPT</t>
        </is>
      </c>
      <c r="C72" t="inlineStr">
        <is>
          <t>Phosphate</t>
        </is>
      </c>
      <c r="D72" t="inlineStr">
        <is>
          <t>Tonne</t>
        </is>
      </c>
      <c r="E72" s="3" t="n">
        <v>1451</v>
      </c>
      <c r="F72" s="3" t="n">
        <v>134092467</v>
      </c>
      <c r="G72" t="inlineStr">
        <is>
          <t>FCFA</t>
        </is>
      </c>
      <c r="H72" s="24" t="n">
        <v>593.008</v>
      </c>
      <c r="I72" s="25" t="n">
        <v>134092467</v>
      </c>
      <c r="J72" s="25" t="n">
        <v>226122.53</v>
      </c>
    </row>
    <row r="73" hidden="1">
      <c r="A73" t="n">
        <v>2016</v>
      </c>
      <c r="B73" t="inlineStr">
        <is>
          <t>ICS</t>
        </is>
      </c>
      <c r="C73" t="inlineStr">
        <is>
          <t>Phosphate</t>
        </is>
      </c>
      <c r="D73" t="inlineStr">
        <is>
          <t>Tonne</t>
        </is>
      </c>
      <c r="E73" s="3" t="n">
        <v>1607000</v>
      </c>
      <c r="F73" t="inlineStr">
        <is>
          <t>N/A</t>
        </is>
      </c>
      <c r="G73" t="inlineStr">
        <is>
          <t>FCFA</t>
        </is>
      </c>
      <c r="H73" s="24" t="n">
        <v>593.008</v>
      </c>
    </row>
    <row r="74" hidden="1">
      <c r="A74" t="n">
        <v>2016</v>
      </c>
      <c r="B74" t="inlineStr">
        <is>
          <t>DANGOTE</t>
        </is>
      </c>
      <c r="C74" t="inlineStr">
        <is>
          <t>Calcaire</t>
        </is>
      </c>
      <c r="D74" t="inlineStr">
        <is>
          <t>Tonne</t>
        </is>
      </c>
      <c r="E74" s="3" t="n">
        <v>1361964</v>
      </c>
      <c r="F74" s="3" t="n">
        <v>2775194821</v>
      </c>
      <c r="G74" t="inlineStr">
        <is>
          <t>FCFA</t>
        </is>
      </c>
      <c r="H74" s="24" t="n">
        <v>593.008</v>
      </c>
      <c r="I74" s="25" t="n">
        <v>2775194821</v>
      </c>
      <c r="J74" s="25" t="n">
        <v>4679860.68</v>
      </c>
    </row>
    <row r="75" hidden="1">
      <c r="A75" t="n">
        <v>2016</v>
      </c>
      <c r="B75" t="inlineStr">
        <is>
          <t>DANGOTE</t>
        </is>
      </c>
      <c r="C75" t="inlineStr">
        <is>
          <t>Argile</t>
        </is>
      </c>
      <c r="D75" t="inlineStr">
        <is>
          <t>Tonne</t>
        </is>
      </c>
      <c r="E75" s="3" t="n">
        <v>157733</v>
      </c>
      <c r="F75" s="3" t="n">
        <v>321403441</v>
      </c>
      <c r="G75" t="inlineStr">
        <is>
          <t>FCFA</t>
        </is>
      </c>
      <c r="H75" s="24" t="n">
        <v>593.008</v>
      </c>
      <c r="I75" s="25" t="n">
        <v>321403441</v>
      </c>
      <c r="J75" s="25" t="n">
        <v>541988.37</v>
      </c>
    </row>
    <row r="76" hidden="1">
      <c r="A76" t="n">
        <v>2016</v>
      </c>
      <c r="B76" t="inlineStr">
        <is>
          <t>DANGOTE</t>
        </is>
      </c>
      <c r="C76" t="inlineStr">
        <is>
          <t>Latérite</t>
        </is>
      </c>
      <c r="D76" t="inlineStr">
        <is>
          <t>Tonne</t>
        </is>
      </c>
      <c r="E76" s="3" t="n">
        <v>38746</v>
      </c>
      <c r="F76" s="3" t="n">
        <v>78950470</v>
      </c>
      <c r="G76" t="inlineStr">
        <is>
          <t>FCFA</t>
        </is>
      </c>
      <c r="H76" s="24" t="n">
        <v>593.008</v>
      </c>
      <c r="I76" s="25" t="n">
        <v>78950470</v>
      </c>
      <c r="J76" s="25" t="n">
        <v>133135.59</v>
      </c>
    </row>
    <row r="77" hidden="1">
      <c r="A77" t="n">
        <v>2016</v>
      </c>
      <c r="B77" t="inlineStr">
        <is>
          <t>DANGOTE</t>
        </is>
      </c>
      <c r="C77" t="inlineStr">
        <is>
          <t>Ciment</t>
        </is>
      </c>
      <c r="D77" t="inlineStr">
        <is>
          <t>N/A</t>
        </is>
      </c>
      <c r="E77" t="inlineStr">
        <is>
          <t>N/A</t>
        </is>
      </c>
      <c r="F77" t="inlineStr">
        <is>
          <t>N/A</t>
        </is>
      </c>
      <c r="G77" t="inlineStr">
        <is>
          <t>FCFA</t>
        </is>
      </c>
      <c r="H77" s="24" t="n">
        <v>593.008</v>
      </c>
    </row>
    <row r="78" hidden="1">
      <c r="A78" t="n">
        <v>2016</v>
      </c>
      <c r="B78" t="inlineStr">
        <is>
          <t>SOMIVA</t>
        </is>
      </c>
      <c r="C78" t="inlineStr">
        <is>
          <t>Phosphate</t>
        </is>
      </c>
      <c r="D78" t="inlineStr">
        <is>
          <t>Tonne</t>
        </is>
      </c>
      <c r="E78" s="3" t="n">
        <v>842604</v>
      </c>
      <c r="F78" s="3" t="n">
        <v>33001428264</v>
      </c>
      <c r="G78" t="inlineStr">
        <is>
          <t>FCFA</t>
        </is>
      </c>
      <c r="H78" s="24" t="n">
        <v>593.008</v>
      </c>
      <c r="I78" s="25" t="n">
        <v>33001428264</v>
      </c>
      <c r="J78" s="25" t="n">
        <v>55650898.92</v>
      </c>
    </row>
    <row r="79" hidden="1">
      <c r="A79" t="n">
        <v>2016</v>
      </c>
      <c r="B79" t="inlineStr">
        <is>
          <t>SEPHOS</t>
        </is>
      </c>
      <c r="C79" t="inlineStr">
        <is>
          <t>Phosphate</t>
        </is>
      </c>
      <c r="D79" t="inlineStr">
        <is>
          <t>Tonne</t>
        </is>
      </c>
      <c r="E79" s="3" t="n">
        <v>319152</v>
      </c>
      <c r="F79" s="3" t="n">
        <v>6621072896</v>
      </c>
      <c r="G79" t="inlineStr">
        <is>
          <t>FCFA</t>
        </is>
      </c>
      <c r="H79" s="24" t="n">
        <v>593.008</v>
      </c>
      <c r="I79" s="25" t="n">
        <v>6621072896</v>
      </c>
      <c r="J79" s="25" t="n">
        <v>11165233.68</v>
      </c>
    </row>
    <row r="80" hidden="1">
      <c r="A80" t="n">
        <v>2016</v>
      </c>
      <c r="B80" t="inlineStr">
        <is>
          <t>AIG</t>
        </is>
      </c>
      <c r="C80" t="inlineStr">
        <is>
          <t>Phosphate</t>
        </is>
      </c>
      <c r="D80" t="inlineStr">
        <is>
          <t>Tonne</t>
        </is>
      </c>
      <c r="E80" t="inlineStr">
        <is>
          <t>NC</t>
        </is>
      </c>
      <c r="F80" t="inlineStr">
        <is>
          <t>NC</t>
        </is>
      </c>
      <c r="G80" t="inlineStr">
        <is>
          <t>FCFA</t>
        </is>
      </c>
      <c r="H80" s="24" t="n">
        <v>593.008</v>
      </c>
    </row>
    <row r="81" hidden="1">
      <c r="A81" t="n">
        <v>2016</v>
      </c>
      <c r="B81" t="inlineStr">
        <is>
          <t>SOSECAR</t>
        </is>
      </c>
      <c r="C81" t="inlineStr">
        <is>
          <t>Basalte</t>
        </is>
      </c>
      <c r="D81" t="inlineStr">
        <is>
          <t>Mètre cube</t>
        </is>
      </c>
      <c r="E81" s="3" t="n">
        <v>198500</v>
      </c>
      <c r="F81" t="inlineStr">
        <is>
          <t>NC</t>
        </is>
      </c>
      <c r="G81" t="inlineStr">
        <is>
          <t>FCFA</t>
        </is>
      </c>
      <c r="H81" s="24" t="n">
        <v>593.008</v>
      </c>
    </row>
    <row r="82" hidden="1">
      <c r="A82" t="n">
        <v>2016</v>
      </c>
      <c r="B82" t="inlineStr">
        <is>
          <t>SOSECAR</t>
        </is>
      </c>
      <c r="C82" t="inlineStr">
        <is>
          <t>Calcaire</t>
        </is>
      </c>
      <c r="D82" t="inlineStr">
        <is>
          <t>Mètre cube</t>
        </is>
      </c>
      <c r="E82" s="3" t="n">
        <v>135500</v>
      </c>
      <c r="F82" t="inlineStr">
        <is>
          <t>NC</t>
        </is>
      </c>
      <c r="G82" t="inlineStr">
        <is>
          <t>FCFA</t>
        </is>
      </c>
      <c r="H82" s="24" t="n">
        <v>593.008</v>
      </c>
    </row>
    <row r="83" hidden="1">
      <c r="A83" t="n">
        <v>2016</v>
      </c>
      <c r="B83" t="inlineStr">
        <is>
          <t>COGECA</t>
        </is>
      </c>
      <c r="C83" t="inlineStr">
        <is>
          <t>Basalte</t>
        </is>
      </c>
      <c r="D83" t="inlineStr">
        <is>
          <t>Mètre cube</t>
        </is>
      </c>
      <c r="E83" s="3" t="n">
        <v>694000</v>
      </c>
      <c r="F83" t="inlineStr">
        <is>
          <t>NC</t>
        </is>
      </c>
      <c r="G83" t="inlineStr">
        <is>
          <t>FCFA</t>
        </is>
      </c>
      <c r="H83" s="24" t="n">
        <v>593.008</v>
      </c>
    </row>
    <row r="84" hidden="1">
      <c r="A84" t="n">
        <v>2016</v>
      </c>
      <c r="B84" t="inlineStr">
        <is>
          <t>GECAMINES</t>
        </is>
      </c>
      <c r="C84" t="inlineStr">
        <is>
          <t>Basalte</t>
        </is>
      </c>
      <c r="D84" t="inlineStr">
        <is>
          <t>Tonne</t>
        </is>
      </c>
      <c r="E84" s="3" t="n">
        <v>1627638</v>
      </c>
      <c r="F84" s="3" t="n">
        <v>10200242499</v>
      </c>
      <c r="G84" t="inlineStr">
        <is>
          <t>FCFA</t>
        </is>
      </c>
      <c r="H84" s="24" t="n">
        <v>593.008</v>
      </c>
      <c r="I84" s="25" t="n">
        <v>10200242499</v>
      </c>
      <c r="J84" s="25" t="n">
        <v>17200851.42</v>
      </c>
    </row>
    <row r="85" hidden="1">
      <c r="A85" t="n">
        <v>2016</v>
      </c>
      <c r="B85" t="inlineStr">
        <is>
          <t>SODEVIT</t>
        </is>
      </c>
      <c r="C85" t="inlineStr">
        <is>
          <t>Calcaire</t>
        </is>
      </c>
      <c r="D85" t="inlineStr">
        <is>
          <t>Mètre cube</t>
        </is>
      </c>
      <c r="E85" s="3" t="n">
        <v>714911</v>
      </c>
      <c r="F85" s="3" t="n">
        <v>4308175221</v>
      </c>
      <c r="G85" t="inlineStr">
        <is>
          <t>FCFA</t>
        </is>
      </c>
      <c r="H85" s="24" t="n">
        <v>593.008</v>
      </c>
      <c r="I85" s="25" t="n">
        <v>4308175221</v>
      </c>
      <c r="J85" s="25" t="n">
        <v>7264952.95</v>
      </c>
    </row>
    <row r="86" hidden="1">
      <c r="A86" t="n">
        <v>2017</v>
      </c>
      <c r="B86" t="inlineStr">
        <is>
          <t>SOCOCIM</t>
        </is>
      </c>
      <c r="C86" t="inlineStr">
        <is>
          <t>Calcaire</t>
        </is>
      </c>
      <c r="D86" t="inlineStr">
        <is>
          <t>Tonne</t>
        </is>
      </c>
      <c r="E86" s="3" t="n">
        <v>3142444</v>
      </c>
      <c r="F86" s="3" t="n">
        <v>6897664580</v>
      </c>
      <c r="G86" t="inlineStr">
        <is>
          <t>FCFA</t>
        </is>
      </c>
      <c r="H86" s="24" t="n">
        <v>582.025</v>
      </c>
      <c r="I86" s="25" t="n">
        <v>6897664580</v>
      </c>
      <c r="J86" s="25" t="n">
        <v>11851148.28</v>
      </c>
    </row>
    <row r="87" hidden="1">
      <c r="A87" t="n">
        <v>2017</v>
      </c>
      <c r="B87" t="inlineStr">
        <is>
          <t>SOCOCIM</t>
        </is>
      </c>
      <c r="C87" t="inlineStr">
        <is>
          <t>Ciment</t>
        </is>
      </c>
      <c r="D87" t="inlineStr">
        <is>
          <t>Tonne</t>
        </is>
      </c>
      <c r="E87" t="inlineStr">
        <is>
          <t>N/A</t>
        </is>
      </c>
      <c r="F87" t="inlineStr">
        <is>
          <t>N/A</t>
        </is>
      </c>
      <c r="G87" t="inlineStr">
        <is>
          <t>FCFA</t>
        </is>
      </c>
      <c r="H87" s="24" t="n">
        <v>582.025</v>
      </c>
    </row>
    <row r="88" hidden="1">
      <c r="A88" t="n">
        <v>2017</v>
      </c>
      <c r="B88" t="inlineStr">
        <is>
          <t>SGO</t>
        </is>
      </c>
      <c r="C88" t="inlineStr">
        <is>
          <t>Or</t>
        </is>
      </c>
      <c r="D88" t="inlineStr">
        <is>
          <t>Tonne</t>
        </is>
      </c>
      <c r="E88" s="8" t="n">
        <v>7.25081141</v>
      </c>
      <c r="F88" s="3" t="n">
        <v>170115735962</v>
      </c>
      <c r="G88" t="inlineStr">
        <is>
          <t>FCFA</t>
        </is>
      </c>
      <c r="H88" s="24" t="n">
        <v>582.025</v>
      </c>
      <c r="I88" s="25" t="n">
        <v>170115735962</v>
      </c>
      <c r="J88" s="25" t="n">
        <v>292282523.88</v>
      </c>
    </row>
    <row r="89" hidden="1">
      <c r="A89" t="n">
        <v>2017</v>
      </c>
      <c r="B89" t="inlineStr">
        <is>
          <t>SGO</t>
        </is>
      </c>
      <c r="C89" t="inlineStr">
        <is>
          <t>Argent</t>
        </is>
      </c>
      <c r="D89" t="inlineStr">
        <is>
          <t>Tonne</t>
        </is>
      </c>
      <c r="E89" s="8" t="n">
        <v>0.66007798</v>
      </c>
      <c r="F89" s="3" t="n">
        <v>207254807</v>
      </c>
      <c r="G89" t="inlineStr">
        <is>
          <t>FCFA</t>
        </is>
      </c>
      <c r="H89" s="24" t="n">
        <v>582.025</v>
      </c>
      <c r="I89" s="25" t="n">
        <v>207254807</v>
      </c>
      <c r="J89" s="25" t="n">
        <v>356092.62</v>
      </c>
    </row>
    <row r="90" hidden="1">
      <c r="A90" t="n">
        <v>2017</v>
      </c>
      <c r="B90" t="inlineStr">
        <is>
          <t>CDS</t>
        </is>
      </c>
      <c r="C90" t="inlineStr">
        <is>
          <t>Calcaire</t>
        </is>
      </c>
      <c r="D90" t="inlineStr">
        <is>
          <t>Tonne</t>
        </is>
      </c>
      <c r="E90" s="3" t="n">
        <v>2762749</v>
      </c>
      <c r="F90" s="3" t="n">
        <v>5801771955</v>
      </c>
      <c r="G90" t="inlineStr">
        <is>
          <t>FCFA</t>
        </is>
      </c>
      <c r="H90" s="24" t="n">
        <v>582.025</v>
      </c>
      <c r="I90" s="25" t="n">
        <v>5801771955</v>
      </c>
      <c r="J90" s="25" t="n">
        <v>9968252.15</v>
      </c>
    </row>
    <row r="91" hidden="1">
      <c r="A91" t="n">
        <v>2017</v>
      </c>
      <c r="B91" t="inlineStr">
        <is>
          <t>CDS</t>
        </is>
      </c>
      <c r="C91" t="inlineStr">
        <is>
          <t>Argile</t>
        </is>
      </c>
      <c r="D91" t="inlineStr">
        <is>
          <t>Tonne</t>
        </is>
      </c>
      <c r="E91" s="3" t="n">
        <v>410175</v>
      </c>
      <c r="F91" s="3" t="n">
        <v>1353577401</v>
      </c>
      <c r="G91" t="inlineStr">
        <is>
          <t>FCFA</t>
        </is>
      </c>
      <c r="H91" s="24" t="n">
        <v>582.025</v>
      </c>
      <c r="I91" s="25" t="n">
        <v>1353577401</v>
      </c>
      <c r="J91" s="25" t="n">
        <v>2325634.47</v>
      </c>
    </row>
    <row r="92" hidden="1">
      <c r="A92" t="n">
        <v>2017</v>
      </c>
      <c r="B92" t="inlineStr">
        <is>
          <t>CDS</t>
        </is>
      </c>
      <c r="C92" t="inlineStr">
        <is>
          <t>Latérite</t>
        </is>
      </c>
      <c r="D92" t="inlineStr">
        <is>
          <t>Tonne</t>
        </is>
      </c>
      <c r="E92" s="3" t="n">
        <v>122130</v>
      </c>
      <c r="F92" s="3" t="n">
        <v>366390000</v>
      </c>
      <c r="G92" t="inlineStr">
        <is>
          <t>FCFA</t>
        </is>
      </c>
      <c r="H92" s="24" t="n">
        <v>582.025</v>
      </c>
      <c r="I92" s="25" t="n">
        <v>366390000</v>
      </c>
      <c r="J92" s="25" t="n">
        <v>629509.04</v>
      </c>
    </row>
    <row r="93" hidden="1">
      <c r="A93" t="n">
        <v>2017</v>
      </c>
      <c r="B93" t="inlineStr">
        <is>
          <t>CDS</t>
        </is>
      </c>
      <c r="C93" t="inlineStr">
        <is>
          <t>Ciment</t>
        </is>
      </c>
      <c r="D93" t="inlineStr">
        <is>
          <t>Tonne</t>
        </is>
      </c>
      <c r="E93" t="inlineStr">
        <is>
          <t>N/A</t>
        </is>
      </c>
      <c r="F93" t="inlineStr">
        <is>
          <t>N/A</t>
        </is>
      </c>
      <c r="G93" t="inlineStr">
        <is>
          <t>FCFA</t>
        </is>
      </c>
      <c r="H93" s="24" t="n">
        <v>582.025</v>
      </c>
    </row>
    <row r="94" hidden="1">
      <c r="A94" t="n">
        <v>2017</v>
      </c>
      <c r="B94" t="inlineStr">
        <is>
          <t>GCO</t>
        </is>
      </c>
      <c r="C94" t="inlineStr">
        <is>
          <t>Ilménite</t>
        </is>
      </c>
      <c r="D94" t="inlineStr">
        <is>
          <t>Tonne</t>
        </is>
      </c>
      <c r="E94" s="3" t="n">
        <v>135022</v>
      </c>
      <c r="F94" s="3" t="n">
        <v>11405173318</v>
      </c>
      <c r="G94" t="inlineStr">
        <is>
          <t>FCFA</t>
        </is>
      </c>
      <c r="H94" s="24" t="n">
        <v>582.025</v>
      </c>
      <c r="I94" s="25" t="n">
        <v>11405173318</v>
      </c>
      <c r="J94" s="25" t="n">
        <v>19595675.99</v>
      </c>
    </row>
    <row r="95" hidden="1">
      <c r="A95" t="n">
        <v>2017</v>
      </c>
      <c r="B95" t="inlineStr">
        <is>
          <t>GCO</t>
        </is>
      </c>
      <c r="C95" t="inlineStr">
        <is>
          <t>Zircon</t>
        </is>
      </c>
      <c r="D95" t="inlineStr">
        <is>
          <t>Tonne</t>
        </is>
      </c>
      <c r="E95" s="3" t="n">
        <v>20186</v>
      </c>
      <c r="F95" s="3" t="n">
        <v>3551565212</v>
      </c>
      <c r="G95" t="inlineStr">
        <is>
          <t>FCFA</t>
        </is>
      </c>
      <c r="H95" s="24" t="n">
        <v>582.025</v>
      </c>
      <c r="I95" s="25" t="n">
        <v>3551565212</v>
      </c>
      <c r="J95" s="25" t="n">
        <v>6102083.61</v>
      </c>
    </row>
    <row r="96" hidden="1">
      <c r="A96" t="n">
        <v>2017</v>
      </c>
      <c r="B96" t="inlineStr">
        <is>
          <t>GCO</t>
        </is>
      </c>
      <c r="C96" t="inlineStr">
        <is>
          <t>Zircon</t>
        </is>
      </c>
      <c r="D96" t="inlineStr">
        <is>
          <t>Tonne</t>
        </is>
      </c>
      <c r="E96" s="3" t="n">
        <v>36856</v>
      </c>
      <c r="F96" s="3" t="n">
        <v>22526313488</v>
      </c>
      <c r="G96" t="inlineStr">
        <is>
          <t>FCFA</t>
        </is>
      </c>
      <c r="H96" s="24" t="n">
        <v>582.025</v>
      </c>
      <c r="I96" s="25" t="n">
        <v>22526313488</v>
      </c>
      <c r="J96" s="25" t="n">
        <v>38703343.48</v>
      </c>
    </row>
    <row r="97" hidden="1">
      <c r="A97" t="n">
        <v>2017</v>
      </c>
      <c r="B97" t="inlineStr">
        <is>
          <t>GCO</t>
        </is>
      </c>
      <c r="C97" t="inlineStr">
        <is>
          <t>Zircon</t>
        </is>
      </c>
      <c r="D97" t="inlineStr">
        <is>
          <t>Tonne</t>
        </is>
      </c>
      <c r="E97" s="3" t="n">
        <v>24706</v>
      </c>
      <c r="F97" s="3" t="n">
        <v>14130621406</v>
      </c>
      <c r="G97" t="inlineStr">
        <is>
          <t>FCFA</t>
        </is>
      </c>
      <c r="H97" s="24" t="n">
        <v>582.025</v>
      </c>
      <c r="I97" s="25" t="n">
        <v>14130621406</v>
      </c>
      <c r="J97" s="25" t="n">
        <v>24278375.34</v>
      </c>
    </row>
    <row r="98" hidden="1">
      <c r="A98" t="n">
        <v>2017</v>
      </c>
      <c r="B98" t="inlineStr">
        <is>
          <t>GCO</t>
        </is>
      </c>
      <c r="C98" t="inlineStr">
        <is>
          <t>Ilménite</t>
        </is>
      </c>
      <c r="D98" t="inlineStr">
        <is>
          <t>Tonne</t>
        </is>
      </c>
      <c r="E98" s="3" t="n">
        <v>357416</v>
      </c>
      <c r="F98" s="3" t="n">
        <v>34634325232</v>
      </c>
      <c r="G98" t="inlineStr">
        <is>
          <t>FCFA</t>
        </is>
      </c>
      <c r="H98" s="24" t="n">
        <v>582.025</v>
      </c>
      <c r="I98" s="25" t="n">
        <v>34634325232</v>
      </c>
      <c r="J98" s="25" t="n">
        <v>59506593.76</v>
      </c>
    </row>
    <row r="99" hidden="1">
      <c r="A99" t="n">
        <v>2017</v>
      </c>
      <c r="B99" t="inlineStr">
        <is>
          <t>GCO</t>
        </is>
      </c>
      <c r="C99" t="inlineStr">
        <is>
          <t>Leucoxène</t>
        </is>
      </c>
      <c r="D99" t="inlineStr">
        <is>
          <t>Tonne</t>
        </is>
      </c>
      <c r="E99" s="3" t="n">
        <v>7245</v>
      </c>
      <c r="F99" s="3" t="n">
        <v>1862490102</v>
      </c>
      <c r="G99" t="inlineStr">
        <is>
          <t>FCFA</t>
        </is>
      </c>
      <c r="H99" s="24" t="n">
        <v>582.025</v>
      </c>
      <c r="I99" s="25" t="n">
        <v>1862490102</v>
      </c>
      <c r="J99" s="25" t="n">
        <v>3200017.36</v>
      </c>
    </row>
    <row r="100" hidden="1">
      <c r="A100" t="n">
        <v>2017</v>
      </c>
      <c r="B100" t="inlineStr">
        <is>
          <t>GCO</t>
        </is>
      </c>
      <c r="C100" t="inlineStr">
        <is>
          <t>Rutile</t>
        </is>
      </c>
      <c r="D100" t="inlineStr">
        <is>
          <t>Tonne</t>
        </is>
      </c>
      <c r="E100" s="3" t="n">
        <v>2729</v>
      </c>
      <c r="F100" s="3" t="n">
        <v>1199469183</v>
      </c>
      <c r="G100" t="inlineStr">
        <is>
          <t>FCFA</t>
        </is>
      </c>
      <c r="H100" s="24" t="n">
        <v>582.025</v>
      </c>
      <c r="I100" s="25" t="n">
        <v>1199469183</v>
      </c>
      <c r="J100" s="25" t="n">
        <v>2060855.09</v>
      </c>
    </row>
    <row r="101" hidden="1">
      <c r="A101" t="n">
        <v>2017</v>
      </c>
      <c r="B101" t="inlineStr">
        <is>
          <t>SSPT</t>
        </is>
      </c>
      <c r="C101" t="inlineStr">
        <is>
          <t>Attapulgite</t>
        </is>
      </c>
      <c r="D101" t="inlineStr">
        <is>
          <t>Tonne</t>
        </is>
      </c>
      <c r="E101" s="3" t="n">
        <v>160351</v>
      </c>
      <c r="F101" s="3" t="n">
        <v>4518556253</v>
      </c>
      <c r="G101" t="inlineStr">
        <is>
          <t>FCFA</t>
        </is>
      </c>
      <c r="H101" s="24" t="n">
        <v>582.025</v>
      </c>
      <c r="I101" s="25" t="n">
        <v>4518556253</v>
      </c>
      <c r="J101" s="25" t="n">
        <v>7763508.88</v>
      </c>
    </row>
    <row r="102" hidden="1">
      <c r="A102" t="n">
        <v>2017</v>
      </c>
      <c r="B102" t="inlineStr">
        <is>
          <t>SSPT</t>
        </is>
      </c>
      <c r="C102" t="inlineStr">
        <is>
          <t>Phosphate</t>
        </is>
      </c>
      <c r="D102" t="inlineStr">
        <is>
          <t>Tonne</t>
        </is>
      </c>
      <c r="E102" s="3" t="n">
        <v>0</v>
      </c>
      <c r="F102" s="3" t="n">
        <v>0</v>
      </c>
      <c r="G102" t="inlineStr">
        <is>
          <t>FCFA</t>
        </is>
      </c>
      <c r="H102" s="24" t="n">
        <v>582.025</v>
      </c>
      <c r="I102" s="25" t="n">
        <v>0</v>
      </c>
      <c r="J102" s="25" t="n">
        <v>0</v>
      </c>
    </row>
    <row r="103" hidden="1">
      <c r="A103" t="n">
        <v>2017</v>
      </c>
      <c r="B103" t="inlineStr">
        <is>
          <t>ICS</t>
        </is>
      </c>
      <c r="C103" t="inlineStr">
        <is>
          <t>Phosphate</t>
        </is>
      </c>
      <c r="D103" t="inlineStr">
        <is>
          <t>Tonne</t>
        </is>
      </c>
      <c r="E103" s="3" t="n">
        <v>1400000</v>
      </c>
      <c r="F103" s="3" t="n">
        <v>49891240000</v>
      </c>
      <c r="G103" t="inlineStr">
        <is>
          <t>FCFA</t>
        </is>
      </c>
      <c r="H103" s="24" t="n">
        <v>582.025</v>
      </c>
      <c r="I103" s="25" t="n">
        <v>49891240000</v>
      </c>
      <c r="J103" s="25" t="n">
        <v>85720097.93000001</v>
      </c>
    </row>
    <row r="104" hidden="1">
      <c r="A104" t="n">
        <v>2017</v>
      </c>
      <c r="B104" t="inlineStr">
        <is>
          <t>DANGOTE</t>
        </is>
      </c>
      <c r="C104" t="inlineStr">
        <is>
          <t>Calcaire</t>
        </is>
      </c>
      <c r="D104" t="inlineStr">
        <is>
          <t>Tonne</t>
        </is>
      </c>
      <c r="E104" s="3" t="n">
        <v>1500027</v>
      </c>
      <c r="F104" s="3" t="n">
        <v>2760020404</v>
      </c>
      <c r="G104" t="inlineStr">
        <is>
          <t>FCFA</t>
        </is>
      </c>
      <c r="H104" s="24" t="n">
        <v>582.025</v>
      </c>
      <c r="I104" s="25" t="n">
        <v>2760020404</v>
      </c>
      <c r="J104" s="25" t="n">
        <v>4742099.4</v>
      </c>
    </row>
    <row r="105" hidden="1">
      <c r="A105" t="n">
        <v>2017</v>
      </c>
      <c r="B105" t="inlineStr">
        <is>
          <t>DANGOTE</t>
        </is>
      </c>
      <c r="C105" t="inlineStr">
        <is>
          <t>Argile</t>
        </is>
      </c>
      <c r="D105" t="inlineStr">
        <is>
          <t>Tonne</t>
        </is>
      </c>
      <c r="E105" s="3" t="n">
        <v>123457</v>
      </c>
      <c r="F105" s="3" t="n">
        <v>353510835</v>
      </c>
      <c r="G105" t="inlineStr">
        <is>
          <t>FCFA</t>
        </is>
      </c>
      <c r="H105" s="24" t="n">
        <v>582.025</v>
      </c>
      <c r="I105" s="25" t="n">
        <v>353510835</v>
      </c>
      <c r="J105" s="25" t="n">
        <v>607380.84</v>
      </c>
    </row>
    <row r="106" hidden="1">
      <c r="A106" t="n">
        <v>2017</v>
      </c>
      <c r="B106" t="inlineStr">
        <is>
          <t>DANGOTE</t>
        </is>
      </c>
      <c r="C106" t="inlineStr">
        <is>
          <t>Latérite</t>
        </is>
      </c>
      <c r="D106" t="inlineStr">
        <is>
          <t>Tonne</t>
        </is>
      </c>
      <c r="E106" s="3" t="n">
        <v>50483</v>
      </c>
      <c r="F106" s="3" t="n">
        <v>133908739</v>
      </c>
      <c r="G106" t="inlineStr">
        <is>
          <t>FCFA</t>
        </is>
      </c>
      <c r="H106" s="24" t="n">
        <v>582.025</v>
      </c>
      <c r="I106" s="25" t="n">
        <v>133908739</v>
      </c>
      <c r="J106" s="25" t="n">
        <v>230073.86</v>
      </c>
    </row>
    <row r="107" hidden="1">
      <c r="A107" t="n">
        <v>2017</v>
      </c>
      <c r="B107" t="inlineStr">
        <is>
          <t>DANGOTE</t>
        </is>
      </c>
      <c r="C107" t="inlineStr">
        <is>
          <t>Ciment</t>
        </is>
      </c>
      <c r="D107" t="inlineStr">
        <is>
          <t>Tonne</t>
        </is>
      </c>
      <c r="E107" t="inlineStr">
        <is>
          <t>N/A</t>
        </is>
      </c>
      <c r="F107" t="inlineStr">
        <is>
          <t>N/A</t>
        </is>
      </c>
      <c r="G107" t="inlineStr">
        <is>
          <t>FCFA</t>
        </is>
      </c>
      <c r="H107" s="24" t="n">
        <v>582.025</v>
      </c>
    </row>
    <row r="108" hidden="1">
      <c r="A108" t="n">
        <v>2017</v>
      </c>
      <c r="B108" t="inlineStr">
        <is>
          <t>SOMIVA</t>
        </is>
      </c>
      <c r="C108" t="inlineStr">
        <is>
          <t>Phosphate</t>
        </is>
      </c>
      <c r="D108" t="inlineStr">
        <is>
          <t>Tonne</t>
        </is>
      </c>
      <c r="E108" s="3" t="n">
        <v>1111236</v>
      </c>
      <c r="F108" s="3" t="n">
        <v>39600672838</v>
      </c>
      <c r="G108" t="inlineStr">
        <is>
          <t>FCFA</t>
        </is>
      </c>
      <c r="H108" s="24" t="n">
        <v>582.025</v>
      </c>
      <c r="I108" s="25" t="n">
        <v>39600672838</v>
      </c>
      <c r="J108" s="25" t="n">
        <v>68039470.53</v>
      </c>
    </row>
    <row r="109" hidden="1">
      <c r="A109" t="n">
        <v>2017</v>
      </c>
      <c r="B109" t="inlineStr">
        <is>
          <t>SEPHOS</t>
        </is>
      </c>
      <c r="C109" t="inlineStr">
        <is>
          <t>Phosphate</t>
        </is>
      </c>
      <c r="D109" t="inlineStr">
        <is>
          <t>Tonne</t>
        </is>
      </c>
      <c r="E109" s="3" t="n">
        <v>116963</v>
      </c>
      <c r="F109" s="3" t="n">
        <v>4168178186</v>
      </c>
      <c r="G109" t="inlineStr">
        <is>
          <t>FCFA</t>
        </is>
      </c>
      <c r="H109" s="24" t="n">
        <v>582.025</v>
      </c>
      <c r="I109" s="25" t="n">
        <v>4168178186</v>
      </c>
      <c r="J109" s="25" t="n">
        <v>7161510.56</v>
      </c>
    </row>
    <row r="110" hidden="1">
      <c r="A110" t="n">
        <v>2017</v>
      </c>
      <c r="B110" t="inlineStr">
        <is>
          <t>COGECA</t>
        </is>
      </c>
      <c r="C110" t="inlineStr">
        <is>
          <t>Basalte</t>
        </is>
      </c>
      <c r="D110" t="inlineStr">
        <is>
          <t>Mètre cube</t>
        </is>
      </c>
      <c r="E110" s="3" t="n">
        <v>823750</v>
      </c>
      <c r="F110" s="3" t="n">
        <v>13180000000</v>
      </c>
      <c r="G110" t="inlineStr">
        <is>
          <t>FCFA</t>
        </is>
      </c>
      <c r="H110" s="24" t="n">
        <v>582.025</v>
      </c>
      <c r="I110" s="25" t="n">
        <v>13180000000</v>
      </c>
      <c r="J110" s="25" t="n">
        <v>22645075.38</v>
      </c>
    </row>
    <row r="111" hidden="1">
      <c r="A111" t="n">
        <v>2017</v>
      </c>
      <c r="B111" t="inlineStr">
        <is>
          <t>COGECA</t>
        </is>
      </c>
      <c r="C111" t="inlineStr">
        <is>
          <t>Calcaire</t>
        </is>
      </c>
      <c r="D111" t="inlineStr">
        <is>
          <t>Mètre cube</t>
        </is>
      </c>
      <c r="E111" s="3" t="n">
        <v>159900</v>
      </c>
      <c r="F111" s="3" t="n">
        <v>1279200000</v>
      </c>
      <c r="G111" t="inlineStr">
        <is>
          <t>FCFA</t>
        </is>
      </c>
      <c r="H111" s="24" t="n">
        <v>582.025</v>
      </c>
      <c r="I111" s="25" t="n">
        <v>1279200000</v>
      </c>
      <c r="J111" s="25" t="n">
        <v>2197843.74</v>
      </c>
    </row>
    <row r="112" hidden="1">
      <c r="A112" t="n">
        <v>2017</v>
      </c>
      <c r="B112" t="inlineStr">
        <is>
          <t>GECAMINES</t>
        </is>
      </c>
      <c r="C112" t="inlineStr">
        <is>
          <t>Basalte</t>
        </is>
      </c>
      <c r="D112" t="inlineStr">
        <is>
          <t>Tonne</t>
        </is>
      </c>
      <c r="E112" s="3" t="n">
        <v>773504</v>
      </c>
      <c r="F112" s="3" t="n">
        <v>12376064000</v>
      </c>
      <c r="G112" t="inlineStr">
        <is>
          <t>FCFA</t>
        </is>
      </c>
      <c r="H112" s="24" t="n">
        <v>582.025</v>
      </c>
      <c r="I112" s="25" t="n">
        <v>12376064000</v>
      </c>
      <c r="J112" s="25" t="n">
        <v>21263801.38</v>
      </c>
    </row>
    <row r="113" hidden="1">
      <c r="A113" t="n">
        <v>2017</v>
      </c>
      <c r="B113" t="inlineStr">
        <is>
          <t>SODEVIT</t>
        </is>
      </c>
      <c r="C113" t="inlineStr">
        <is>
          <t>Calcaire</t>
        </is>
      </c>
      <c r="D113" t="inlineStr">
        <is>
          <t>Mètre cube</t>
        </is>
      </c>
      <c r="E113" s="3" t="n">
        <v>295042</v>
      </c>
      <c r="F113" s="3" t="n">
        <v>2360336125</v>
      </c>
      <c r="G113" t="inlineStr">
        <is>
          <t>FCFA</t>
        </is>
      </c>
      <c r="H113" s="24" t="n">
        <v>582.025</v>
      </c>
      <c r="I113" s="25" t="n">
        <v>2360336125</v>
      </c>
      <c r="J113" s="25" t="n">
        <v>4055386.15</v>
      </c>
    </row>
    <row r="114" hidden="1">
      <c r="A114" t="n">
        <v>2018</v>
      </c>
      <c r="B114" t="inlineStr">
        <is>
          <t>SOCOCIM</t>
        </is>
      </c>
      <c r="C114" t="inlineStr">
        <is>
          <t>Marno-Calcaire</t>
        </is>
      </c>
      <c r="D114" t="inlineStr">
        <is>
          <t>Tonne</t>
        </is>
      </c>
      <c r="E114" s="3" t="n">
        <v>1774882</v>
      </c>
      <c r="F114" s="3" t="n">
        <v>3904740400</v>
      </c>
      <c r="G114" t="inlineStr">
        <is>
          <t>FCFA</t>
        </is>
      </c>
      <c r="H114" s="24" t="n">
        <v>555.581</v>
      </c>
      <c r="I114" s="25" t="n">
        <v>3904740400</v>
      </c>
      <c r="J114" s="25" t="n">
        <v>7028210.83</v>
      </c>
    </row>
    <row r="115" hidden="1">
      <c r="A115" t="n">
        <v>2018</v>
      </c>
      <c r="B115" t="inlineStr">
        <is>
          <t>SOCOCIM</t>
        </is>
      </c>
      <c r="C115" t="inlineStr">
        <is>
          <t>Calcaire</t>
        </is>
      </c>
      <c r="D115" t="inlineStr">
        <is>
          <t>Tonne</t>
        </is>
      </c>
      <c r="E115" s="3" t="n">
        <v>1233461</v>
      </c>
      <c r="F115" t="inlineStr">
        <is>
          <t>N/A</t>
        </is>
      </c>
      <c r="G115" t="inlineStr">
        <is>
          <t>FCFA</t>
        </is>
      </c>
      <c r="H115" s="24" t="n">
        <v>555.581</v>
      </c>
    </row>
    <row r="116" hidden="1">
      <c r="A116" t="n">
        <v>2018</v>
      </c>
      <c r="B116" t="inlineStr">
        <is>
          <t>SOCOCIM</t>
        </is>
      </c>
      <c r="C116" t="inlineStr">
        <is>
          <t>Ciment</t>
        </is>
      </c>
      <c r="D116" t="inlineStr">
        <is>
          <t>Tonne</t>
        </is>
      </c>
      <c r="E116" t="inlineStr">
        <is>
          <t>N/A</t>
        </is>
      </c>
      <c r="F116" t="inlineStr">
        <is>
          <t>N/A</t>
        </is>
      </c>
      <c r="G116" t="inlineStr">
        <is>
          <t>FCFA</t>
        </is>
      </c>
      <c r="H116" s="24" t="n">
        <v>555.581</v>
      </c>
    </row>
    <row r="117" hidden="1">
      <c r="A117" t="n">
        <v>2018</v>
      </c>
      <c r="B117" t="inlineStr">
        <is>
          <t>SGO</t>
        </is>
      </c>
      <c r="C117" t="inlineStr">
        <is>
          <t>Or</t>
        </is>
      </c>
      <c r="D117" t="inlineStr">
        <is>
          <t>Tonne</t>
        </is>
      </c>
      <c r="E117" s="8" t="n">
        <v>7.62982282</v>
      </c>
      <c r="F117" s="3" t="n">
        <v>169627487970</v>
      </c>
      <c r="G117" t="inlineStr">
        <is>
          <t>FCFA</t>
        </is>
      </c>
      <c r="H117" s="24" t="n">
        <v>555.581</v>
      </c>
      <c r="I117" s="25" t="n">
        <v>169627487970</v>
      </c>
      <c r="J117" s="25" t="n">
        <v>305315494.9</v>
      </c>
    </row>
    <row r="118" hidden="1">
      <c r="A118" t="n">
        <v>2018</v>
      </c>
      <c r="B118" t="inlineStr">
        <is>
          <t>SGO</t>
        </is>
      </c>
      <c r="C118" t="inlineStr">
        <is>
          <t>Argent</t>
        </is>
      </c>
      <c r="D118" t="inlineStr">
        <is>
          <t>Tonne</t>
        </is>
      </c>
      <c r="E118" s="8" t="n">
        <v>0.62998537</v>
      </c>
      <c r="F118" s="3" t="n">
        <v>175186261</v>
      </c>
      <c r="G118" t="inlineStr">
        <is>
          <t>FCFA</t>
        </is>
      </c>
      <c r="H118" s="24" t="n">
        <v>555.581</v>
      </c>
      <c r="I118" s="25" t="n">
        <v>175186261</v>
      </c>
      <c r="J118" s="25" t="n">
        <v>315320.83</v>
      </c>
    </row>
    <row r="119" hidden="1">
      <c r="A119" t="n">
        <v>2018</v>
      </c>
      <c r="B119" t="inlineStr">
        <is>
          <t>CDS</t>
        </is>
      </c>
      <c r="C119" t="inlineStr">
        <is>
          <t>Calcaire</t>
        </is>
      </c>
      <c r="D119" t="inlineStr">
        <is>
          <t>Tonne</t>
        </is>
      </c>
      <c r="E119" s="3" t="n">
        <v>2558360</v>
      </c>
      <c r="F119" s="3" t="n">
        <v>5372556000</v>
      </c>
      <c r="G119" t="inlineStr">
        <is>
          <t>FCFA</t>
        </is>
      </c>
      <c r="H119" s="24" t="n">
        <v>555.581</v>
      </c>
      <c r="I119" s="25" t="n">
        <v>5372556000</v>
      </c>
      <c r="J119" s="25" t="n">
        <v>9670157.91</v>
      </c>
    </row>
    <row r="120" hidden="1">
      <c r="A120" t="n">
        <v>2018</v>
      </c>
      <c r="B120" t="inlineStr">
        <is>
          <t>CDS</t>
        </is>
      </c>
      <c r="C120" t="inlineStr">
        <is>
          <t>Argile</t>
        </is>
      </c>
      <c r="D120" t="inlineStr">
        <is>
          <t>Tonne</t>
        </is>
      </c>
      <c r="E120" s="3" t="n">
        <v>363579</v>
      </c>
      <c r="F120" s="3" t="n">
        <v>1199810700</v>
      </c>
      <c r="G120" t="inlineStr">
        <is>
          <t>FCFA</t>
        </is>
      </c>
      <c r="H120" s="24" t="n">
        <v>555.581</v>
      </c>
      <c r="I120" s="25" t="n">
        <v>1199810700</v>
      </c>
      <c r="J120" s="25" t="n">
        <v>2159560.35</v>
      </c>
    </row>
    <row r="121" hidden="1">
      <c r="A121" t="n">
        <v>2018</v>
      </c>
      <c r="B121" t="inlineStr">
        <is>
          <t>CDS</t>
        </is>
      </c>
      <c r="C121" t="inlineStr">
        <is>
          <t>Latérite</t>
        </is>
      </c>
      <c r="D121" t="inlineStr">
        <is>
          <t>Tonne</t>
        </is>
      </c>
      <c r="E121" s="3" t="n">
        <v>97426</v>
      </c>
      <c r="F121" s="3" t="n">
        <v>292278000</v>
      </c>
      <c r="G121" t="inlineStr">
        <is>
          <t>FCFA</t>
        </is>
      </c>
      <c r="H121" s="24" t="n">
        <v>555.581</v>
      </c>
      <c r="I121" s="25" t="n">
        <v>292278000</v>
      </c>
      <c r="J121" s="25" t="n">
        <v>526076.3100000001</v>
      </c>
    </row>
    <row r="122" hidden="1">
      <c r="A122" t="n">
        <v>2018</v>
      </c>
      <c r="B122" t="inlineStr">
        <is>
          <t>CDS</t>
        </is>
      </c>
      <c r="C122" t="inlineStr">
        <is>
          <t>Ciment</t>
        </is>
      </c>
      <c r="D122" t="inlineStr">
        <is>
          <t>Tonne</t>
        </is>
      </c>
      <c r="E122" t="inlineStr">
        <is>
          <t>N/A</t>
        </is>
      </c>
      <c r="F122" t="inlineStr">
        <is>
          <t>N/A</t>
        </is>
      </c>
      <c r="G122" t="inlineStr">
        <is>
          <t>FCFA</t>
        </is>
      </c>
      <c r="H122" s="24" t="n">
        <v>555.581</v>
      </c>
    </row>
    <row r="123" hidden="1">
      <c r="A123" t="n">
        <v>2018</v>
      </c>
      <c r="B123" t="inlineStr">
        <is>
          <t>GCO</t>
        </is>
      </c>
      <c r="C123" t="inlineStr">
        <is>
          <t>Zircon</t>
        </is>
      </c>
      <c r="D123" t="inlineStr">
        <is>
          <t>Tonne</t>
        </is>
      </c>
      <c r="E123" s="3" t="n">
        <v>93569</v>
      </c>
      <c r="F123" s="3" t="n">
        <v>61606680958</v>
      </c>
      <c r="G123" t="inlineStr">
        <is>
          <t>FCFA</t>
        </is>
      </c>
      <c r="H123" s="24" t="n">
        <v>555.581</v>
      </c>
      <c r="I123" s="25" t="n">
        <v>61606680958</v>
      </c>
      <c r="J123" s="25" t="n">
        <v>110886947.1</v>
      </c>
    </row>
    <row r="124" hidden="1">
      <c r="A124" t="n">
        <v>2018</v>
      </c>
      <c r="B124" t="inlineStr">
        <is>
          <t>GCO</t>
        </is>
      </c>
      <c r="C124" t="inlineStr">
        <is>
          <t>Titane</t>
        </is>
      </c>
      <c r="D124" t="inlineStr">
        <is>
          <t>Tonne</t>
        </is>
      </c>
      <c r="E124" s="3" t="n">
        <v>516543</v>
      </c>
      <c r="F124" s="3" t="n">
        <v>49123018805</v>
      </c>
      <c r="G124" t="inlineStr">
        <is>
          <t>FCFA</t>
        </is>
      </c>
      <c r="H124" s="24" t="n">
        <v>555.581</v>
      </c>
      <c r="I124" s="25" t="n">
        <v>49123018805</v>
      </c>
      <c r="J124" s="25" t="n">
        <v>88417384.33</v>
      </c>
    </row>
    <row r="125" hidden="1">
      <c r="A125" t="n">
        <v>2018</v>
      </c>
      <c r="B125" t="inlineStr">
        <is>
          <t>SSPT</t>
        </is>
      </c>
      <c r="C125" t="inlineStr">
        <is>
          <t>Attapulgite</t>
        </is>
      </c>
      <c r="D125" t="inlineStr">
        <is>
          <t>Tonne</t>
        </is>
      </c>
      <c r="E125" s="3" t="n">
        <v>176926</v>
      </c>
      <c r="F125" s="3" t="n">
        <v>4518556254</v>
      </c>
      <c r="G125" t="inlineStr">
        <is>
          <t>FCFA</t>
        </is>
      </c>
      <c r="H125" s="24" t="n">
        <v>555.581</v>
      </c>
      <c r="I125" s="25" t="n">
        <v>4518556254</v>
      </c>
      <c r="J125" s="25" t="n">
        <v>8133028.76</v>
      </c>
    </row>
    <row r="126" hidden="1">
      <c r="A126" t="n">
        <v>2018</v>
      </c>
      <c r="B126" t="inlineStr">
        <is>
          <t>ICS</t>
        </is>
      </c>
      <c r="C126" t="inlineStr">
        <is>
          <t>Phosphate</t>
        </is>
      </c>
      <c r="D126" t="inlineStr">
        <is>
          <t>Tonne</t>
        </is>
      </c>
      <c r="E126" s="3" t="n">
        <v>1782199</v>
      </c>
      <c r="F126" t="inlineStr">
        <is>
          <t>NC</t>
        </is>
      </c>
      <c r="G126" t="inlineStr">
        <is>
          <t>FCFA</t>
        </is>
      </c>
      <c r="H126" s="24"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4" t="n">
        <v>555.581</v>
      </c>
    </row>
    <row r="128" hidden="1">
      <c r="A128" t="n">
        <v>2018</v>
      </c>
      <c r="B128" t="inlineStr">
        <is>
          <t>ICS</t>
        </is>
      </c>
      <c r="C128" t="inlineStr">
        <is>
          <t>Engrais</t>
        </is>
      </c>
      <c r="D128" t="inlineStr">
        <is>
          <t>Tonne</t>
        </is>
      </c>
      <c r="E128" t="inlineStr">
        <is>
          <t>NC</t>
        </is>
      </c>
      <c r="F128" t="inlineStr">
        <is>
          <t>NC</t>
        </is>
      </c>
      <c r="G128" t="inlineStr">
        <is>
          <t>FCFA</t>
        </is>
      </c>
      <c r="H128" s="24" t="n">
        <v>555.581</v>
      </c>
    </row>
    <row r="129" hidden="1">
      <c r="A129" t="n">
        <v>2018</v>
      </c>
      <c r="B129" t="inlineStr">
        <is>
          <t>ICS</t>
        </is>
      </c>
      <c r="C129" t="inlineStr">
        <is>
          <t>Engrais</t>
        </is>
      </c>
      <c r="D129" t="inlineStr">
        <is>
          <t>Tonne</t>
        </is>
      </c>
      <c r="E129" t="inlineStr">
        <is>
          <t>NC</t>
        </is>
      </c>
      <c r="F129" t="inlineStr">
        <is>
          <t>NC</t>
        </is>
      </c>
      <c r="G129" t="inlineStr">
        <is>
          <t>FCFA</t>
        </is>
      </c>
      <c r="H129" s="24" t="n">
        <v>555.581</v>
      </c>
    </row>
    <row r="130" hidden="1">
      <c r="A130" t="n">
        <v>2018</v>
      </c>
      <c r="B130" t="inlineStr">
        <is>
          <t>DANGOTE</t>
        </is>
      </c>
      <c r="C130" t="inlineStr">
        <is>
          <t>Calcaire</t>
        </is>
      </c>
      <c r="D130" t="inlineStr">
        <is>
          <t>Tonne</t>
        </is>
      </c>
      <c r="E130" s="3" t="n">
        <v>1830122</v>
      </c>
      <c r="F130" s="3" t="n">
        <v>3367424480</v>
      </c>
      <c r="G130" t="inlineStr">
        <is>
          <t>FCFA</t>
        </is>
      </c>
      <c r="H130" s="24" t="n">
        <v>555.581</v>
      </c>
      <c r="I130" s="25" t="n">
        <v>3367424480</v>
      </c>
      <c r="J130" s="25" t="n">
        <v>6061086.47</v>
      </c>
    </row>
    <row r="131" hidden="1">
      <c r="A131" t="n">
        <v>2018</v>
      </c>
      <c r="B131" t="inlineStr">
        <is>
          <t>DANGOTE</t>
        </is>
      </c>
      <c r="C131" t="inlineStr">
        <is>
          <t>Argile</t>
        </is>
      </c>
      <c r="D131" t="inlineStr">
        <is>
          <t>Tonne</t>
        </is>
      </c>
      <c r="E131" s="3" t="n">
        <v>177599</v>
      </c>
      <c r="F131" s="3" t="n">
        <v>600639818</v>
      </c>
      <c r="G131" t="inlineStr">
        <is>
          <t>FCFA</t>
        </is>
      </c>
      <c r="H131" s="24" t="n">
        <v>555.581</v>
      </c>
      <c r="I131" s="25" t="n">
        <v>600639818</v>
      </c>
      <c r="J131" s="25" t="n">
        <v>1081102.16</v>
      </c>
    </row>
    <row r="132" hidden="1">
      <c r="A132" t="n">
        <v>2018</v>
      </c>
      <c r="B132" t="inlineStr">
        <is>
          <t>DANGOTE</t>
        </is>
      </c>
      <c r="C132" t="inlineStr">
        <is>
          <t>Latérite</t>
        </is>
      </c>
      <c r="D132" t="inlineStr">
        <is>
          <t>Tonne</t>
        </is>
      </c>
      <c r="E132" s="3" t="n">
        <v>50726</v>
      </c>
      <c r="F132" s="3" t="n">
        <v>152178000</v>
      </c>
      <c r="G132" t="inlineStr">
        <is>
          <t>FCFA</t>
        </is>
      </c>
      <c r="H132" s="24" t="n">
        <v>555.581</v>
      </c>
      <c r="I132" s="25" t="n">
        <v>152178000</v>
      </c>
      <c r="J132" s="25" t="n">
        <v>273907.86</v>
      </c>
    </row>
    <row r="133" hidden="1">
      <c r="A133" t="n">
        <v>2018</v>
      </c>
      <c r="B133" t="inlineStr">
        <is>
          <t>DANGOTE</t>
        </is>
      </c>
      <c r="C133" t="inlineStr">
        <is>
          <t>Clinker</t>
        </is>
      </c>
      <c r="D133" t="inlineStr">
        <is>
          <t>Tonne</t>
        </is>
      </c>
      <c r="E133" t="inlineStr">
        <is>
          <t>N/A</t>
        </is>
      </c>
      <c r="F133" t="inlineStr">
        <is>
          <t>N/A</t>
        </is>
      </c>
      <c r="G133" t="inlineStr">
        <is>
          <t>FCFA</t>
        </is>
      </c>
      <c r="H133" s="24" t="n">
        <v>555.581</v>
      </c>
    </row>
    <row r="134" hidden="1">
      <c r="A134" t="n">
        <v>2018</v>
      </c>
      <c r="B134" t="inlineStr">
        <is>
          <t>DANGOTE</t>
        </is>
      </c>
      <c r="C134" t="inlineStr">
        <is>
          <t>Ciment</t>
        </is>
      </c>
      <c r="D134" t="inlineStr">
        <is>
          <t>Tonne</t>
        </is>
      </c>
      <c r="E134" t="inlineStr">
        <is>
          <t>N/A</t>
        </is>
      </c>
      <c r="F134" t="inlineStr">
        <is>
          <t>N/A</t>
        </is>
      </c>
      <c r="G134" t="inlineStr">
        <is>
          <t>FCFA</t>
        </is>
      </c>
      <c r="H134" s="24" t="n">
        <v>555.581</v>
      </c>
    </row>
    <row r="135" hidden="1">
      <c r="A135" t="n">
        <v>2018</v>
      </c>
      <c r="B135" t="inlineStr">
        <is>
          <t>SOMIVA</t>
        </is>
      </c>
      <c r="C135" t="inlineStr">
        <is>
          <t>Phosphate</t>
        </is>
      </c>
      <c r="D135" t="inlineStr">
        <is>
          <t>Tonne</t>
        </is>
      </c>
      <c r="E135" s="3" t="n">
        <v>570997</v>
      </c>
      <c r="F135" s="3" t="n">
        <v>20606519927</v>
      </c>
      <c r="G135" t="inlineStr">
        <is>
          <t>FCFA</t>
        </is>
      </c>
      <c r="H135" s="24" t="n">
        <v>555.581</v>
      </c>
      <c r="I135" s="25" t="n">
        <v>20606519927</v>
      </c>
      <c r="J135" s="25" t="n">
        <v>37090037.14</v>
      </c>
    </row>
    <row r="136" hidden="1">
      <c r="A136" t="n">
        <v>2018</v>
      </c>
      <c r="B136" t="inlineStr">
        <is>
          <t>SEPHOS</t>
        </is>
      </c>
      <c r="C136" t="inlineStr">
        <is>
          <t>Phosphate</t>
        </is>
      </c>
      <c r="D136" t="inlineStr">
        <is>
          <t>Tonne</t>
        </is>
      </c>
      <c r="E136" s="3" t="n">
        <v>69947</v>
      </c>
      <c r="F136" s="3" t="n">
        <v>1900250149</v>
      </c>
      <c r="G136" t="inlineStr">
        <is>
          <t>FCFA</t>
        </is>
      </c>
      <c r="H136" s="24" t="n">
        <v>555.581</v>
      </c>
      <c r="I136" s="25" t="n">
        <v>1900250149</v>
      </c>
      <c r="J136" s="25" t="n">
        <v>3420293.62</v>
      </c>
    </row>
    <row r="137" hidden="1">
      <c r="A137" t="n">
        <v>2018</v>
      </c>
      <c r="B137" t="inlineStr">
        <is>
          <t>COGECA</t>
        </is>
      </c>
      <c r="C137" t="inlineStr">
        <is>
          <t>Basalte</t>
        </is>
      </c>
      <c r="D137" t="inlineStr">
        <is>
          <t>Mètre cube</t>
        </is>
      </c>
      <c r="E137" s="3" t="n">
        <v>1052284</v>
      </c>
      <c r="F137" s="3" t="n">
        <v>8681350012</v>
      </c>
      <c r="G137" t="inlineStr">
        <is>
          <t>FCFA</t>
        </is>
      </c>
      <c r="H137" s="24" t="n">
        <v>555.581</v>
      </c>
      <c r="I137" s="25" t="n">
        <v>8681350012</v>
      </c>
      <c r="J137" s="25" t="n">
        <v>15625714.36</v>
      </c>
    </row>
    <row r="138" hidden="1">
      <c r="A138" t="n">
        <v>2018</v>
      </c>
      <c r="B138" t="inlineStr">
        <is>
          <t>COGECA</t>
        </is>
      </c>
      <c r="C138" t="inlineStr">
        <is>
          <t>Calcaire</t>
        </is>
      </c>
      <c r="D138" t="inlineStr">
        <is>
          <t>Mètre cube</t>
        </is>
      </c>
      <c r="E138" s="3" t="n">
        <v>8737</v>
      </c>
      <c r="F138" s="3" t="n">
        <v>78635525</v>
      </c>
      <c r="G138" t="inlineStr">
        <is>
          <t>FCFA</t>
        </is>
      </c>
      <c r="H138" s="24" t="n">
        <v>555.581</v>
      </c>
      <c r="I138" s="25" t="n">
        <v>78635525</v>
      </c>
      <c r="J138" s="25" t="n">
        <v>141537.46</v>
      </c>
    </row>
    <row r="139" hidden="1">
      <c r="A139" t="n">
        <v>2018</v>
      </c>
      <c r="B139" t="inlineStr">
        <is>
          <t>GECAMINES</t>
        </is>
      </c>
      <c r="C139" t="inlineStr">
        <is>
          <t>Basalte</t>
        </is>
      </c>
      <c r="D139" t="inlineStr">
        <is>
          <t>Tonne</t>
        </is>
      </c>
      <c r="E139" s="3" t="n">
        <v>2335864</v>
      </c>
      <c r="F139" s="3" t="n">
        <v>17527121248</v>
      </c>
      <c r="G139" t="inlineStr">
        <is>
          <t>FCFA</t>
        </is>
      </c>
      <c r="H139" s="24" t="n">
        <v>555.581</v>
      </c>
      <c r="I139" s="25" t="n">
        <v>17527121248</v>
      </c>
      <c r="J139" s="25" t="n">
        <v>31547373.38</v>
      </c>
    </row>
    <row r="140" hidden="1">
      <c r="A140" t="n">
        <v>2018</v>
      </c>
      <c r="B140" t="inlineStr">
        <is>
          <t>SODEVIT</t>
        </is>
      </c>
      <c r="C140" t="inlineStr">
        <is>
          <t>Calcaire</t>
        </is>
      </c>
      <c r="D140" t="inlineStr">
        <is>
          <t>Mètre cube</t>
        </is>
      </c>
      <c r="E140" s="3" t="n">
        <v>553494</v>
      </c>
      <c r="F140" s="3" t="n">
        <v>3701527086</v>
      </c>
      <c r="G140" t="inlineStr">
        <is>
          <t>FCFA</t>
        </is>
      </c>
      <c r="H140" s="24" t="n">
        <v>555.581</v>
      </c>
      <c r="I140" s="25" t="n">
        <v>3701527086</v>
      </c>
      <c r="J140" s="25" t="n">
        <v>6662443.61</v>
      </c>
    </row>
    <row r="141" hidden="1">
      <c r="A141" t="n">
        <v>2018</v>
      </c>
      <c r="B141" t="inlineStr">
        <is>
          <t>PMC</t>
        </is>
      </c>
      <c r="C141" t="inlineStr">
        <is>
          <t>Or</t>
        </is>
      </c>
      <c r="D141" t="inlineStr">
        <is>
          <t>Tonne</t>
        </is>
      </c>
      <c r="E141" s="8" t="n">
        <v>4.88093425</v>
      </c>
      <c r="F141" s="3" t="n">
        <v>100910301956</v>
      </c>
      <c r="G141" t="inlineStr">
        <is>
          <t>FCFA</t>
        </is>
      </c>
      <c r="H141" s="24" t="n">
        <v>555.581</v>
      </c>
      <c r="I141" s="25" t="n">
        <v>100910301956</v>
      </c>
      <c r="J141" s="25" t="n">
        <v>181630224.86</v>
      </c>
    </row>
    <row r="142" hidden="1">
      <c r="A142" t="n">
        <v>2018</v>
      </c>
      <c r="B142" t="inlineStr">
        <is>
          <t>PMC</t>
        </is>
      </c>
      <c r="C142" t="inlineStr">
        <is>
          <t>Argent</t>
        </is>
      </c>
      <c r="D142" t="inlineStr">
        <is>
          <t>Tonne</t>
        </is>
      </c>
      <c r="E142" s="8" t="n">
        <v>0.31458741</v>
      </c>
      <c r="F142" s="3" t="n">
        <v>79470206</v>
      </c>
      <c r="G142" t="inlineStr">
        <is>
          <t>FCFA</t>
        </is>
      </c>
      <c r="H142" s="24" t="n">
        <v>555.581</v>
      </c>
      <c r="I142" s="25" t="n">
        <v>79470206</v>
      </c>
      <c r="J142" s="25" t="n">
        <v>143039.82</v>
      </c>
    </row>
    <row r="143" hidden="1">
      <c r="A143" t="n">
        <v>2019</v>
      </c>
      <c r="B143" t="inlineStr">
        <is>
          <t>CDS</t>
        </is>
      </c>
      <c r="C143" t="inlineStr">
        <is>
          <t>Argile</t>
        </is>
      </c>
      <c r="D143" t="inlineStr">
        <is>
          <t>Tonne</t>
        </is>
      </c>
      <c r="E143" s="3" t="n">
        <v>401962</v>
      </c>
      <c r="F143" s="3" t="n">
        <v>1326475590</v>
      </c>
      <c r="G143" t="inlineStr">
        <is>
          <t>FCFA</t>
        </is>
      </c>
      <c r="H143" s="24" t="n">
        <v>585.67</v>
      </c>
      <c r="I143" s="25" t="n">
        <v>1326475590</v>
      </c>
      <c r="J143" s="25" t="n">
        <v>2264885.67</v>
      </c>
    </row>
    <row r="144" hidden="1">
      <c r="A144" t="n">
        <v>2019</v>
      </c>
      <c r="B144" t="inlineStr">
        <is>
          <t>CDS</t>
        </is>
      </c>
      <c r="C144" t="inlineStr">
        <is>
          <t>Calcaire</t>
        </is>
      </c>
      <c r="D144" t="inlineStr">
        <is>
          <t>Tonne</t>
        </is>
      </c>
      <c r="E144" s="3" t="n">
        <v>2647939</v>
      </c>
      <c r="F144" s="3" t="n">
        <v>5560671270</v>
      </c>
      <c r="G144" t="inlineStr">
        <is>
          <t>FCFA</t>
        </is>
      </c>
      <c r="H144" s="24" t="n">
        <v>585.67</v>
      </c>
      <c r="I144" s="25" t="n">
        <v>5560671270</v>
      </c>
      <c r="J144" s="25" t="n">
        <v>9494546.880000001</v>
      </c>
    </row>
    <row r="145" hidden="1">
      <c r="A145" t="n">
        <v>2019</v>
      </c>
      <c r="B145" t="inlineStr">
        <is>
          <t>CDS</t>
        </is>
      </c>
      <c r="C145" t="inlineStr">
        <is>
          <t>Latérite</t>
        </is>
      </c>
      <c r="D145" t="inlineStr">
        <is>
          <t>Tonne</t>
        </is>
      </c>
      <c r="E145" s="3" t="n">
        <v>92774</v>
      </c>
      <c r="F145" s="3" t="n">
        <v>278322000</v>
      </c>
      <c r="G145" t="inlineStr">
        <is>
          <t>FCFA</t>
        </is>
      </c>
      <c r="H145" s="24" t="n">
        <v>585.67</v>
      </c>
      <c r="I145" s="25" t="n">
        <v>278322000</v>
      </c>
      <c r="J145" s="25" t="n">
        <v>475219.83</v>
      </c>
    </row>
    <row r="146" hidden="1">
      <c r="A146" t="n">
        <v>2019</v>
      </c>
      <c r="B146" t="inlineStr">
        <is>
          <t>COGECA</t>
        </is>
      </c>
      <c r="C146" t="inlineStr">
        <is>
          <t>Basalte</t>
        </is>
      </c>
      <c r="D146" t="inlineStr">
        <is>
          <t>Tonne</t>
        </is>
      </c>
      <c r="E146" s="3" t="n">
        <v>1175385</v>
      </c>
      <c r="F146" s="3" t="n">
        <v>9626723484</v>
      </c>
      <c r="G146" t="inlineStr">
        <is>
          <t>FCFA</t>
        </is>
      </c>
      <c r="H146" s="24" t="n">
        <v>585.67</v>
      </c>
      <c r="I146" s="25" t="n">
        <v>9626723484</v>
      </c>
      <c r="J146" s="25" t="n">
        <v>16437112.17</v>
      </c>
    </row>
    <row r="147" hidden="1">
      <c r="A147" t="n">
        <v>2019</v>
      </c>
      <c r="B147" t="inlineStr">
        <is>
          <t>COGECA</t>
        </is>
      </c>
      <c r="C147" t="inlineStr">
        <is>
          <t>Calcaire</t>
        </is>
      </c>
      <c r="D147" t="inlineStr">
        <is>
          <t>Tonne</t>
        </is>
      </c>
      <c r="E147" s="3" t="n">
        <v>25110</v>
      </c>
      <c r="F147" s="3" t="n">
        <v>225989865</v>
      </c>
      <c r="G147" t="inlineStr">
        <is>
          <t>FCFA</t>
        </is>
      </c>
      <c r="H147" s="24" t="n">
        <v>585.67</v>
      </c>
      <c r="I147" s="25" t="n">
        <v>225989865</v>
      </c>
      <c r="J147" s="25" t="n">
        <v>385865.53</v>
      </c>
    </row>
    <row r="148" hidden="1">
      <c r="A148" t="n">
        <v>2019</v>
      </c>
      <c r="B148" t="inlineStr">
        <is>
          <t>GCO</t>
        </is>
      </c>
      <c r="C148" t="inlineStr">
        <is>
          <t>Ilménite</t>
        </is>
      </c>
      <c r="D148" t="inlineStr">
        <is>
          <t>Tonne</t>
        </is>
      </c>
      <c r="E148" s="3" t="n">
        <v>325017</v>
      </c>
      <c r="F148" s="3" t="n">
        <v>29805697839</v>
      </c>
      <c r="G148" t="inlineStr">
        <is>
          <t>FCFA</t>
        </is>
      </c>
      <c r="H148" s="24" t="n">
        <v>585.67</v>
      </c>
      <c r="I148" s="25" t="n">
        <v>29805697839</v>
      </c>
      <c r="J148" s="25" t="n">
        <v>50891624.7</v>
      </c>
    </row>
    <row r="149" hidden="1">
      <c r="A149" t="n">
        <v>2019</v>
      </c>
      <c r="B149" t="inlineStr">
        <is>
          <t>GCO</t>
        </is>
      </c>
      <c r="C149" t="inlineStr">
        <is>
          <t>Ilménite</t>
        </is>
      </c>
      <c r="D149" t="inlineStr">
        <is>
          <t>Tonne</t>
        </is>
      </c>
      <c r="E149" s="3" t="n">
        <v>36119</v>
      </c>
      <c r="F149" s="3" t="n">
        <v>4178637419</v>
      </c>
      <c r="G149" t="inlineStr">
        <is>
          <t>FCFA</t>
        </is>
      </c>
      <c r="H149" s="24" t="n">
        <v>585.67</v>
      </c>
      <c r="I149" s="25" t="n">
        <v>4178637419</v>
      </c>
      <c r="J149" s="25" t="n">
        <v>7134798.47</v>
      </c>
    </row>
    <row r="150" hidden="1">
      <c r="A150" t="n">
        <v>2019</v>
      </c>
      <c r="B150" t="inlineStr">
        <is>
          <t>GCO</t>
        </is>
      </c>
      <c r="C150" t="inlineStr">
        <is>
          <t>Ilménite</t>
        </is>
      </c>
      <c r="D150" t="inlineStr">
        <is>
          <t>Tonne</t>
        </is>
      </c>
      <c r="E150" s="3" t="n">
        <v>130468</v>
      </c>
      <c r="F150" s="3" t="n">
        <v>14928950686</v>
      </c>
      <c r="G150" t="inlineStr">
        <is>
          <t>FCFA</t>
        </is>
      </c>
      <c r="H150" s="24" t="n">
        <v>585.67</v>
      </c>
      <c r="I150" s="25" t="n">
        <v>14928950686</v>
      </c>
      <c r="J150" s="25" t="n">
        <v>25490379.71</v>
      </c>
    </row>
    <row r="151" hidden="1">
      <c r="A151" t="n">
        <v>2019</v>
      </c>
      <c r="B151" t="inlineStr">
        <is>
          <t>GCO</t>
        </is>
      </c>
      <c r="C151" t="inlineStr">
        <is>
          <t>Leucoxène</t>
        </is>
      </c>
      <c r="D151" t="inlineStr">
        <is>
          <t>Tonne</t>
        </is>
      </c>
      <c r="E151" s="3" t="n">
        <v>6516</v>
      </c>
      <c r="F151" s="3" t="n">
        <v>2584932390</v>
      </c>
      <c r="G151" t="inlineStr">
        <is>
          <t>FCFA</t>
        </is>
      </c>
      <c r="H151" s="24" t="n">
        <v>585.67</v>
      </c>
      <c r="I151" s="25" t="n">
        <v>2584932390</v>
      </c>
      <c r="J151" s="25" t="n">
        <v>4413632.92</v>
      </c>
    </row>
    <row r="152" hidden="1">
      <c r="A152" t="n">
        <v>2019</v>
      </c>
      <c r="B152" t="inlineStr">
        <is>
          <t>GCO</t>
        </is>
      </c>
      <c r="C152" t="inlineStr">
        <is>
          <t>Zircon</t>
        </is>
      </c>
      <c r="D152" t="inlineStr">
        <is>
          <t>Tonne</t>
        </is>
      </c>
      <c r="E152" s="3" t="n">
        <v>22314</v>
      </c>
      <c r="F152" s="3" t="n">
        <v>5038682107</v>
      </c>
      <c r="G152" t="inlineStr">
        <is>
          <t>FCFA</t>
        </is>
      </c>
      <c r="H152" s="24" t="n">
        <v>585.67</v>
      </c>
      <c r="I152" s="25" t="n">
        <v>5038682107</v>
      </c>
      <c r="J152" s="25" t="n">
        <v>8603278.48</v>
      </c>
    </row>
    <row r="153" hidden="1">
      <c r="A153" t="n">
        <v>2019</v>
      </c>
      <c r="B153" t="inlineStr">
        <is>
          <t>GCO</t>
        </is>
      </c>
      <c r="C153" t="inlineStr">
        <is>
          <t>Rutile</t>
        </is>
      </c>
      <c r="D153" t="inlineStr">
        <is>
          <t>Tonne</t>
        </is>
      </c>
      <c r="E153" s="3" t="n">
        <v>3615</v>
      </c>
      <c r="F153" s="3" t="n">
        <v>2315596245</v>
      </c>
      <c r="G153" t="inlineStr">
        <is>
          <t>FCFA</t>
        </is>
      </c>
      <c r="H153" s="24" t="n">
        <v>585.67</v>
      </c>
      <c r="I153" s="25" t="n">
        <v>2315596245</v>
      </c>
      <c r="J153" s="25" t="n">
        <v>3953755.95</v>
      </c>
    </row>
    <row r="154" hidden="1">
      <c r="A154" t="n">
        <v>2019</v>
      </c>
      <c r="B154" t="inlineStr">
        <is>
          <t>GCO</t>
        </is>
      </c>
      <c r="C154" t="inlineStr">
        <is>
          <t>Zircon</t>
        </is>
      </c>
      <c r="D154" t="inlineStr">
        <is>
          <t>Tonne</t>
        </is>
      </c>
      <c r="E154" s="3" t="n">
        <v>36805</v>
      </c>
      <c r="F154" s="3" t="n">
        <v>33962377110</v>
      </c>
      <c r="G154" t="inlineStr">
        <is>
          <t>FCFA</t>
        </is>
      </c>
      <c r="H154" s="24" t="n">
        <v>585.67</v>
      </c>
      <c r="I154" s="25" t="n">
        <v>33962377110</v>
      </c>
      <c r="J154" s="25" t="n">
        <v>57988930.81</v>
      </c>
    </row>
    <row r="155" hidden="1">
      <c r="A155" t="n">
        <v>2019</v>
      </c>
      <c r="B155" t="inlineStr">
        <is>
          <t>GCO</t>
        </is>
      </c>
      <c r="C155" t="inlineStr">
        <is>
          <t>Zircon</t>
        </is>
      </c>
      <c r="D155" t="inlineStr">
        <is>
          <t>Tonne</t>
        </is>
      </c>
      <c r="E155" s="3" t="n">
        <v>21628</v>
      </c>
      <c r="F155" s="3" t="n">
        <v>18753846435</v>
      </c>
      <c r="G155" t="inlineStr">
        <is>
          <t>FCFA</t>
        </is>
      </c>
      <c r="H155" s="24" t="n">
        <v>585.67</v>
      </c>
      <c r="I155" s="25" t="n">
        <v>18753846435</v>
      </c>
      <c r="J155" s="25" t="n">
        <v>32021183.32</v>
      </c>
    </row>
    <row r="156" hidden="1">
      <c r="A156" t="n">
        <v>2019</v>
      </c>
      <c r="B156" t="inlineStr">
        <is>
          <t>DANGOTE</t>
        </is>
      </c>
      <c r="C156" t="inlineStr">
        <is>
          <t>Argile</t>
        </is>
      </c>
      <c r="D156" t="inlineStr">
        <is>
          <t>Tonne</t>
        </is>
      </c>
      <c r="E156" s="3" t="n">
        <v>157371</v>
      </c>
      <c r="F156" s="3" t="n">
        <v>533828970</v>
      </c>
      <c r="G156" t="inlineStr">
        <is>
          <t>FCFA</t>
        </is>
      </c>
      <c r="H156" s="24" t="n">
        <v>585.67</v>
      </c>
      <c r="I156" s="25" t="n">
        <v>533828970</v>
      </c>
      <c r="J156" s="25" t="n">
        <v>911484.23</v>
      </c>
    </row>
    <row r="157" hidden="1">
      <c r="A157" t="n">
        <v>2019</v>
      </c>
      <c r="B157" t="inlineStr">
        <is>
          <t>DANGOTE</t>
        </is>
      </c>
      <c r="C157" t="inlineStr">
        <is>
          <t>Calcaire</t>
        </is>
      </c>
      <c r="D157" t="inlineStr">
        <is>
          <t>Tonne</t>
        </is>
      </c>
      <c r="E157" s="3" t="n">
        <v>1706082</v>
      </c>
      <c r="F157" s="3" t="n">
        <v>3070989268</v>
      </c>
      <c r="G157" t="inlineStr">
        <is>
          <t>FCFA</t>
        </is>
      </c>
      <c r="H157" s="24" t="n">
        <v>585.67</v>
      </c>
      <c r="I157" s="25" t="n">
        <v>3070989268</v>
      </c>
      <c r="J157" s="25" t="n">
        <v>5243548.87</v>
      </c>
    </row>
    <row r="158" hidden="1">
      <c r="A158" t="n">
        <v>2019</v>
      </c>
      <c r="B158" t="inlineStr">
        <is>
          <t>DANGOTE</t>
        </is>
      </c>
      <c r="C158" t="inlineStr">
        <is>
          <t>Latérite</t>
        </is>
      </c>
      <c r="D158" t="inlineStr">
        <is>
          <t>Tonne</t>
        </is>
      </c>
      <c r="E158" s="3" t="n">
        <v>46778</v>
      </c>
      <c r="F158" s="3" t="n">
        <v>129575060</v>
      </c>
      <c r="G158" t="inlineStr">
        <is>
          <t>FCFA</t>
        </is>
      </c>
      <c r="H158" s="24" t="n">
        <v>585.67</v>
      </c>
      <c r="I158" s="25" t="n">
        <v>129575060</v>
      </c>
      <c r="J158" s="25" t="n">
        <v>221242.44</v>
      </c>
    </row>
    <row r="159" hidden="1">
      <c r="A159" t="n">
        <v>2019</v>
      </c>
      <c r="B159" t="inlineStr">
        <is>
          <t>GECAMINES</t>
        </is>
      </c>
      <c r="C159" t="inlineStr">
        <is>
          <t>Basalte</t>
        </is>
      </c>
      <c r="D159" t="inlineStr">
        <is>
          <t>Tonne</t>
        </is>
      </c>
      <c r="E159" s="3" t="n">
        <v>2030895</v>
      </c>
      <c r="F159" s="3" t="n">
        <v>16739228300</v>
      </c>
      <c r="G159" t="inlineStr">
        <is>
          <t>FCFA</t>
        </is>
      </c>
      <c r="H159" s="24" t="n">
        <v>585.67</v>
      </c>
      <c r="I159" s="25" t="n">
        <v>16739228300</v>
      </c>
      <c r="J159" s="25" t="n">
        <v>28581331.3</v>
      </c>
    </row>
    <row r="160" hidden="1">
      <c r="A160" t="n">
        <v>2019</v>
      </c>
      <c r="B160" t="inlineStr">
        <is>
          <t>ICS</t>
        </is>
      </c>
      <c r="C160" t="inlineStr">
        <is>
          <t>Acide Phosphorique</t>
        </is>
      </c>
      <c r="D160" t="inlineStr">
        <is>
          <t>Tonne</t>
        </is>
      </c>
      <c r="E160" s="3" t="n">
        <v>537522</v>
      </c>
      <c r="F160" s="3" t="n">
        <v>219211087925</v>
      </c>
      <c r="G160" t="inlineStr">
        <is>
          <t>FCFA</t>
        </is>
      </c>
      <c r="H160" s="24" t="n">
        <v>585.67</v>
      </c>
      <c r="I160" s="25" t="n">
        <v>219211087925</v>
      </c>
      <c r="J160" s="25" t="n">
        <v>374291133.1</v>
      </c>
    </row>
    <row r="161" hidden="1">
      <c r="A161" t="n">
        <v>2019</v>
      </c>
      <c r="B161" t="inlineStr">
        <is>
          <t>ICS</t>
        </is>
      </c>
      <c r="C161" t="inlineStr">
        <is>
          <t>Engrais</t>
        </is>
      </c>
      <c r="D161" t="inlineStr">
        <is>
          <t>Tonne</t>
        </is>
      </c>
      <c r="E161" s="3" t="n">
        <v>172628</v>
      </c>
      <c r="F161" s="3" t="n">
        <v>38068540509</v>
      </c>
      <c r="G161" t="inlineStr">
        <is>
          <t>FCFA</t>
        </is>
      </c>
      <c r="H161" s="24" t="n">
        <v>585.67</v>
      </c>
      <c r="I161" s="25" t="n">
        <v>38068540509</v>
      </c>
      <c r="J161" s="25" t="n">
        <v>64999983.79</v>
      </c>
    </row>
    <row r="162" hidden="1">
      <c r="A162" t="n">
        <v>2019</v>
      </c>
      <c r="B162" t="inlineStr">
        <is>
          <t>ICS</t>
        </is>
      </c>
      <c r="C162" t="inlineStr">
        <is>
          <t>Phosphate</t>
        </is>
      </c>
      <c r="D162" t="inlineStr">
        <is>
          <t>Tonne</t>
        </is>
      </c>
      <c r="E162" s="3" t="n">
        <v>1701000</v>
      </c>
      <c r="F162" s="3" t="n">
        <v>52823568433</v>
      </c>
      <c r="G162" t="inlineStr">
        <is>
          <t>FCFA</t>
        </is>
      </c>
      <c r="H162" s="24" t="n">
        <v>585.67</v>
      </c>
      <c r="I162" s="25" t="n">
        <v>52823568433</v>
      </c>
      <c r="J162" s="25" t="n">
        <v>90193399.75</v>
      </c>
    </row>
    <row r="163" hidden="1">
      <c r="A163" t="n">
        <v>2019</v>
      </c>
      <c r="B163" t="inlineStr">
        <is>
          <t>PMC</t>
        </is>
      </c>
      <c r="C163" t="inlineStr">
        <is>
          <t>Argent</t>
        </is>
      </c>
      <c r="D163" t="inlineStr">
        <is>
          <t>Tonne</t>
        </is>
      </c>
      <c r="E163" s="8" t="n">
        <v>0.38963325</v>
      </c>
      <c r="F163" s="3" t="n">
        <v>119665719</v>
      </c>
      <c r="G163" t="inlineStr">
        <is>
          <t>FCFA</t>
        </is>
      </c>
      <c r="H163" s="24" t="n">
        <v>585.67</v>
      </c>
      <c r="I163" s="25" t="n">
        <v>119665719</v>
      </c>
      <c r="J163" s="25" t="n">
        <v>204322.77</v>
      </c>
    </row>
    <row r="164" hidden="1">
      <c r="A164" t="n">
        <v>2019</v>
      </c>
      <c r="B164" t="inlineStr">
        <is>
          <t>PMC</t>
        </is>
      </c>
      <c r="C164" t="inlineStr">
        <is>
          <t>Or</t>
        </is>
      </c>
      <c r="D164" t="inlineStr">
        <is>
          <t>Tonne</t>
        </is>
      </c>
      <c r="E164" s="8" t="n">
        <v>5.62910723</v>
      </c>
      <c r="F164" s="3" t="n">
        <v>147874140109</v>
      </c>
      <c r="G164" t="inlineStr">
        <is>
          <t>FCFA</t>
        </is>
      </c>
      <c r="H164" s="24" t="n">
        <v>585.67</v>
      </c>
      <c r="I164" s="25" t="n">
        <v>147874140109</v>
      </c>
      <c r="J164" s="25" t="n">
        <v>252487134.58</v>
      </c>
    </row>
    <row r="165" hidden="1">
      <c r="A165" t="n">
        <v>2019</v>
      </c>
      <c r="B165" t="inlineStr">
        <is>
          <t>SEPHOS</t>
        </is>
      </c>
      <c r="C165" t="inlineStr">
        <is>
          <t>Phosphate</t>
        </is>
      </c>
      <c r="D165" t="inlineStr">
        <is>
          <t>Tonne</t>
        </is>
      </c>
      <c r="E165" s="3" t="n">
        <v>107324</v>
      </c>
      <c r="F165" s="3" t="n">
        <v>3157579658</v>
      </c>
      <c r="G165" t="inlineStr">
        <is>
          <t>FCFA</t>
        </is>
      </c>
      <c r="H165" s="24" t="n">
        <v>585.67</v>
      </c>
      <c r="I165" s="25" t="n">
        <v>3157579658</v>
      </c>
      <c r="J165" s="25" t="n">
        <v>5391397.3</v>
      </c>
    </row>
    <row r="166" hidden="1">
      <c r="A166" t="n">
        <v>2019</v>
      </c>
      <c r="B166" t="inlineStr">
        <is>
          <t>SGO</t>
        </is>
      </c>
      <c r="C166" t="inlineStr">
        <is>
          <t>Argent</t>
        </is>
      </c>
      <c r="D166" t="inlineStr">
        <is>
          <t>Tonne</t>
        </is>
      </c>
      <c r="E166" s="8" t="n">
        <v>0.54608374</v>
      </c>
      <c r="F166" s="3" t="n">
        <v>165428598</v>
      </c>
      <c r="G166" t="inlineStr">
        <is>
          <t>FCFA</t>
        </is>
      </c>
      <c r="H166" s="24" t="n">
        <v>585.67</v>
      </c>
      <c r="I166" s="25" t="n">
        <v>165428598</v>
      </c>
      <c r="J166" s="25" t="n">
        <v>282460.43</v>
      </c>
    </row>
    <row r="167" hidden="1">
      <c r="A167" t="n">
        <v>2019</v>
      </c>
      <c r="B167" t="inlineStr">
        <is>
          <t>SGO</t>
        </is>
      </c>
      <c r="C167" t="inlineStr">
        <is>
          <t>Or</t>
        </is>
      </c>
      <c r="D167" t="inlineStr">
        <is>
          <t>Tonne</t>
        </is>
      </c>
      <c r="E167" s="8" t="n">
        <v>7.28925531</v>
      </c>
      <c r="F167" s="3" t="n">
        <v>189854215168</v>
      </c>
      <c r="G167" t="inlineStr">
        <is>
          <t>FCFA</t>
        </is>
      </c>
      <c r="H167" s="24" t="n">
        <v>585.67</v>
      </c>
      <c r="I167" s="25" t="n">
        <v>189854215168</v>
      </c>
      <c r="J167" s="25" t="n">
        <v>324165853.07</v>
      </c>
    </row>
    <row r="168" hidden="1">
      <c r="A168" t="n">
        <v>2019</v>
      </c>
      <c r="B168" t="inlineStr">
        <is>
          <t>SOCOCIM</t>
        </is>
      </c>
      <c r="C168" t="inlineStr">
        <is>
          <t>Calcaire</t>
        </is>
      </c>
      <c r="D168" t="inlineStr">
        <is>
          <t>Tonne</t>
        </is>
      </c>
      <c r="E168" s="3" t="n">
        <v>745152</v>
      </c>
      <c r="F168" s="3" t="n">
        <v>1635608640</v>
      </c>
      <c r="G168" t="inlineStr">
        <is>
          <t>FCFA</t>
        </is>
      </c>
      <c r="H168" s="24" t="n">
        <v>585.67</v>
      </c>
      <c r="I168" s="25" t="n">
        <v>1635608640</v>
      </c>
      <c r="J168" s="25" t="n">
        <v>2792713.71</v>
      </c>
    </row>
    <row r="169" hidden="1">
      <c r="A169" t="n">
        <v>2019</v>
      </c>
      <c r="B169" t="inlineStr">
        <is>
          <t>SOCOCIM</t>
        </is>
      </c>
      <c r="C169" t="inlineStr">
        <is>
          <t>Marne</t>
        </is>
      </c>
      <c r="D169" t="inlineStr">
        <is>
          <t>Tonne</t>
        </is>
      </c>
      <c r="E169" s="3" t="n">
        <v>1617455</v>
      </c>
      <c r="F169" s="3" t="n">
        <v>3550313725</v>
      </c>
      <c r="G169" t="inlineStr">
        <is>
          <t>FCFA</t>
        </is>
      </c>
      <c r="H169" s="24" t="n">
        <v>585.67</v>
      </c>
      <c r="I169" s="25" t="n">
        <v>3550313725</v>
      </c>
      <c r="J169" s="25" t="n">
        <v>6061969.58</v>
      </c>
    </row>
    <row r="170" hidden="1">
      <c r="A170" t="n">
        <v>2019</v>
      </c>
      <c r="B170" t="inlineStr">
        <is>
          <t>SODEVIT</t>
        </is>
      </c>
      <c r="C170" t="inlineStr">
        <is>
          <t>Calcaire</t>
        </is>
      </c>
      <c r="D170" t="inlineStr">
        <is>
          <t>Tonne</t>
        </is>
      </c>
      <c r="E170" s="3" t="n">
        <v>427458</v>
      </c>
      <c r="F170" s="3" t="n">
        <v>2605777725</v>
      </c>
      <c r="G170" t="inlineStr">
        <is>
          <t>FCFA</t>
        </is>
      </c>
      <c r="H170" s="24" t="n">
        <v>585.67</v>
      </c>
      <c r="I170" s="25" t="n">
        <v>2605777725</v>
      </c>
      <c r="J170" s="25" t="n">
        <v>4449225.2</v>
      </c>
    </row>
    <row r="171" hidden="1">
      <c r="A171" t="n">
        <v>2019</v>
      </c>
      <c r="B171" t="inlineStr">
        <is>
          <t>SOMIVA</t>
        </is>
      </c>
      <c r="C171" t="inlineStr">
        <is>
          <t>Phosphate</t>
        </is>
      </c>
      <c r="D171" t="inlineStr">
        <is>
          <t>Tonne</t>
        </is>
      </c>
      <c r="E171" s="3" t="n">
        <v>621811</v>
      </c>
      <c r="F171" s="3" t="n">
        <v>24452557722</v>
      </c>
      <c r="G171" t="inlineStr">
        <is>
          <t>FCFA</t>
        </is>
      </c>
      <c r="H171" s="24" t="n">
        <v>585.67</v>
      </c>
      <c r="I171" s="25" t="n">
        <v>24452557722</v>
      </c>
      <c r="J171" s="25" t="n">
        <v>41751426.1</v>
      </c>
    </row>
    <row r="172" hidden="1">
      <c r="A172" t="n">
        <v>2019</v>
      </c>
      <c r="B172" t="inlineStr">
        <is>
          <t>SSPT</t>
        </is>
      </c>
      <c r="C172" t="inlineStr">
        <is>
          <t>Attapulgite</t>
        </is>
      </c>
      <c r="D172" t="inlineStr">
        <is>
          <t>Tonne</t>
        </is>
      </c>
      <c r="E172" s="3" t="n">
        <v>170844</v>
      </c>
      <c r="F172" s="3" t="n">
        <v>6548307343</v>
      </c>
      <c r="G172" t="inlineStr">
        <is>
          <t>FCFA</t>
        </is>
      </c>
      <c r="H172" s="24" t="n">
        <v>585.67</v>
      </c>
      <c r="I172" s="25" t="n">
        <v>6548307343</v>
      </c>
      <c r="J172" s="25" t="n">
        <v>11180882.31</v>
      </c>
    </row>
    <row r="173" hidden="1">
      <c r="A173" t="n">
        <v>2020</v>
      </c>
      <c r="B173" t="inlineStr">
        <is>
          <t>SGO</t>
        </is>
      </c>
      <c r="C173" t="inlineStr">
        <is>
          <t>Or</t>
        </is>
      </c>
      <c r="D173" t="inlineStr">
        <is>
          <t>Tonne</t>
        </is>
      </c>
      <c r="E173" s="8" t="n">
        <v>7</v>
      </c>
      <c r="F173" s="3" t="n">
        <v>217680000000</v>
      </c>
      <c r="G173" t="inlineStr">
        <is>
          <t>FCFA</t>
        </is>
      </c>
      <c r="H173" s="24" t="n">
        <v>575.59</v>
      </c>
      <c r="I173" s="25" t="n">
        <v>217680000000</v>
      </c>
      <c r="J173" s="25" t="n">
        <v>378185861.46</v>
      </c>
    </row>
    <row r="174" hidden="1">
      <c r="A174" t="n">
        <v>2020</v>
      </c>
      <c r="B174" t="inlineStr">
        <is>
          <t>PMC</t>
        </is>
      </c>
      <c r="C174" t="inlineStr">
        <is>
          <t>Or</t>
        </is>
      </c>
      <c r="D174" t="inlineStr">
        <is>
          <t>Tonne</t>
        </is>
      </c>
      <c r="E174" s="8" t="n">
        <v>5.8</v>
      </c>
      <c r="F174" s="3" t="n">
        <v>179340000000</v>
      </c>
      <c r="G174" t="inlineStr">
        <is>
          <t>FCFA</t>
        </is>
      </c>
      <c r="H174" s="24" t="n">
        <v>575.59</v>
      </c>
      <c r="I174" s="25" t="n">
        <v>179340000000</v>
      </c>
      <c r="J174" s="25" t="n">
        <v>311575948.16</v>
      </c>
    </row>
    <row r="175" hidden="1">
      <c r="A175" t="n">
        <v>2020</v>
      </c>
      <c r="B175" t="inlineStr">
        <is>
          <t>GCO</t>
        </is>
      </c>
      <c r="C175" t="inlineStr">
        <is>
          <t>Ilménite</t>
        </is>
      </c>
      <c r="D175" t="inlineStr">
        <is>
          <t>Tonne</t>
        </is>
      </c>
      <c r="E175" s="4" t="n">
        <v>345531.2</v>
      </c>
      <c r="F175" s="3" t="n">
        <v>36870000000</v>
      </c>
      <c r="G175" t="inlineStr">
        <is>
          <t>FCFA</t>
        </is>
      </c>
      <c r="H175" s="24" t="n">
        <v>575.59</v>
      </c>
      <c r="I175" s="25" t="n">
        <v>36870000000</v>
      </c>
      <c r="J175" s="25" t="n">
        <v>64056012.09</v>
      </c>
    </row>
    <row r="176" hidden="1">
      <c r="A176" t="n">
        <v>2020</v>
      </c>
      <c r="B176" t="inlineStr">
        <is>
          <t>GCO</t>
        </is>
      </c>
      <c r="C176" t="inlineStr">
        <is>
          <t>Ilménite</t>
        </is>
      </c>
      <c r="D176" t="inlineStr">
        <is>
          <t>Tonne</t>
        </is>
      </c>
      <c r="E176" s="4" t="n">
        <v>26700.3</v>
      </c>
      <c r="F176" s="3" t="n">
        <v>3510000000</v>
      </c>
      <c r="G176" t="inlineStr">
        <is>
          <t>FCFA</t>
        </is>
      </c>
      <c r="H176" s="24" t="n">
        <v>575.59</v>
      </c>
      <c r="I176" s="25" t="n">
        <v>3510000000</v>
      </c>
      <c r="J176" s="25" t="n">
        <v>6098090.65</v>
      </c>
    </row>
    <row r="177" hidden="1">
      <c r="A177" t="n">
        <v>2020</v>
      </c>
      <c r="B177" t="inlineStr">
        <is>
          <t>GCO</t>
        </is>
      </c>
      <c r="C177" t="inlineStr">
        <is>
          <t>Ilménite</t>
        </is>
      </c>
      <c r="D177" t="inlineStr">
        <is>
          <t>Tonne</t>
        </is>
      </c>
      <c r="E177" s="4" t="n">
        <v>139767.6</v>
      </c>
      <c r="F177" s="3" t="n">
        <v>17700000000</v>
      </c>
      <c r="G177" t="inlineStr">
        <is>
          <t>FCFA</t>
        </is>
      </c>
      <c r="H177" s="24" t="n">
        <v>575.59</v>
      </c>
      <c r="I177" s="25" t="n">
        <v>17700000000</v>
      </c>
      <c r="J177" s="25" t="n">
        <v>30751055.44</v>
      </c>
    </row>
    <row r="178" hidden="1">
      <c r="A178" t="n">
        <v>2020</v>
      </c>
      <c r="B178" t="inlineStr">
        <is>
          <t>GCO</t>
        </is>
      </c>
      <c r="C178" t="inlineStr">
        <is>
          <t>Zircon</t>
        </is>
      </c>
      <c r="D178" t="inlineStr">
        <is>
          <t>Tonne</t>
        </is>
      </c>
      <c r="E178" s="4" t="n">
        <v>34923.7</v>
      </c>
      <c r="F178" s="3" t="n">
        <v>27820000000</v>
      </c>
      <c r="G178" t="inlineStr">
        <is>
          <t>FCFA</t>
        </is>
      </c>
      <c r="H178" s="24" t="n">
        <v>575.59</v>
      </c>
      <c r="I178" s="25" t="n">
        <v>27820000000</v>
      </c>
      <c r="J178" s="25" t="n">
        <v>48333014.82</v>
      </c>
    </row>
    <row r="179" hidden="1">
      <c r="A179" t="n">
        <v>2020</v>
      </c>
      <c r="B179" t="inlineStr">
        <is>
          <t>GCO</t>
        </is>
      </c>
      <c r="C179" t="inlineStr">
        <is>
          <t>Zircon</t>
        </is>
      </c>
      <c r="D179" t="inlineStr">
        <is>
          <t>Tonne</t>
        </is>
      </c>
      <c r="E179" s="4" t="n">
        <v>26917.2</v>
      </c>
      <c r="F179" s="3" t="n">
        <v>20330000000</v>
      </c>
      <c r="G179" t="inlineStr">
        <is>
          <t>FCFA</t>
        </is>
      </c>
      <c r="H179" s="24" t="n">
        <v>575.59</v>
      </c>
      <c r="I179" s="25" t="n">
        <v>20330000000</v>
      </c>
      <c r="J179" s="25" t="n">
        <v>35320280.06</v>
      </c>
    </row>
    <row r="180" hidden="1">
      <c r="A180" t="n">
        <v>2020</v>
      </c>
      <c r="B180" t="inlineStr">
        <is>
          <t>GCO</t>
        </is>
      </c>
      <c r="C180" t="inlineStr">
        <is>
          <t>Zircon</t>
        </is>
      </c>
      <c r="D180" t="inlineStr">
        <is>
          <t>Tonne</t>
        </is>
      </c>
      <c r="E180" s="4" t="n">
        <v>21416.2</v>
      </c>
      <c r="F180" s="3" t="n">
        <v>3780000000</v>
      </c>
      <c r="G180" t="inlineStr">
        <is>
          <t>FCFA</t>
        </is>
      </c>
      <c r="H180" s="24" t="n">
        <v>575.59</v>
      </c>
      <c r="I180" s="25" t="n">
        <v>3780000000</v>
      </c>
      <c r="J180" s="25" t="n">
        <v>6567174.55</v>
      </c>
    </row>
    <row r="181" hidden="1">
      <c r="A181" t="n">
        <v>2020</v>
      </c>
      <c r="B181" t="inlineStr">
        <is>
          <t>GCO</t>
        </is>
      </c>
      <c r="C181" t="inlineStr">
        <is>
          <t>Rutile</t>
        </is>
      </c>
      <c r="D181" t="inlineStr">
        <is>
          <t>Tonne</t>
        </is>
      </c>
      <c r="E181" s="3" t="n">
        <v>3980</v>
      </c>
      <c r="F181" s="3" t="n">
        <v>2790000000</v>
      </c>
      <c r="G181" t="inlineStr">
        <is>
          <t>FCFA</t>
        </is>
      </c>
      <c r="H181" s="24" t="n">
        <v>575.59</v>
      </c>
      <c r="I181" s="25" t="n">
        <v>2790000000</v>
      </c>
      <c r="J181" s="25" t="n">
        <v>4847200.26</v>
      </c>
    </row>
    <row r="182" hidden="1">
      <c r="A182" t="n">
        <v>2020</v>
      </c>
      <c r="B182" t="inlineStr">
        <is>
          <t>GCO</t>
        </is>
      </c>
      <c r="C182" t="inlineStr">
        <is>
          <t>Leucoxène</t>
        </is>
      </c>
      <c r="D182" t="inlineStr">
        <is>
          <t>Tonne</t>
        </is>
      </c>
      <c r="E182" s="3" t="n">
        <v>5640</v>
      </c>
      <c r="F182" s="3" t="n">
        <v>2380000000</v>
      </c>
      <c r="G182" t="inlineStr">
        <is>
          <t>FCFA</t>
        </is>
      </c>
      <c r="H182" s="24" t="n">
        <v>575.59</v>
      </c>
      <c r="I182" s="25" t="n">
        <v>2380000000</v>
      </c>
      <c r="J182" s="25" t="n">
        <v>4134887.68</v>
      </c>
    </row>
    <row r="183" hidden="1">
      <c r="A183" t="n">
        <v>2020</v>
      </c>
      <c r="B183" t="inlineStr">
        <is>
          <t>ICS</t>
        </is>
      </c>
      <c r="C183" t="inlineStr">
        <is>
          <t>Phosphate</t>
        </is>
      </c>
      <c r="D183" t="inlineStr">
        <is>
          <t>Tonne</t>
        </is>
      </c>
      <c r="E183" s="3" t="n">
        <v>1649000</v>
      </c>
      <c r="F183" s="3" t="n">
        <v>56150000000</v>
      </c>
      <c r="G183" t="inlineStr">
        <is>
          <t>FCFA</t>
        </is>
      </c>
      <c r="H183" s="24" t="n">
        <v>575.59</v>
      </c>
      <c r="I183" s="25" t="n">
        <v>56150000000</v>
      </c>
      <c r="J183" s="25" t="n">
        <v>97552077</v>
      </c>
    </row>
    <row r="184" hidden="1">
      <c r="A184" t="n">
        <v>2020</v>
      </c>
      <c r="B184" t="inlineStr">
        <is>
          <t>SEPHOS</t>
        </is>
      </c>
      <c r="C184" t="inlineStr">
        <is>
          <t>Phosphate</t>
        </is>
      </c>
      <c r="D184" t="inlineStr">
        <is>
          <t>Tonne</t>
        </is>
      </c>
      <c r="E184" s="4" t="n">
        <v>58310.2</v>
      </c>
      <c r="F184" s="3" t="n">
        <v>36870000000</v>
      </c>
      <c r="G184" t="inlineStr">
        <is>
          <t>FCFA</t>
        </is>
      </c>
      <c r="H184" s="24" t="n">
        <v>575.59</v>
      </c>
      <c r="I184" s="25" t="n">
        <v>36870000000</v>
      </c>
      <c r="J184" s="25" t="n">
        <v>64056012.09</v>
      </c>
    </row>
    <row r="185" hidden="1">
      <c r="A185" t="n">
        <v>2020</v>
      </c>
      <c r="B185" t="inlineStr">
        <is>
          <t>SOMIVA</t>
        </is>
      </c>
      <c r="C185" t="inlineStr">
        <is>
          <t>Phosphate</t>
        </is>
      </c>
      <c r="D185" t="inlineStr">
        <is>
          <t>Tonne</t>
        </is>
      </c>
      <c r="E185" s="3" t="n">
        <v>431124</v>
      </c>
      <c r="F185" s="3" t="n">
        <v>14680000000</v>
      </c>
      <c r="G185" t="inlineStr">
        <is>
          <t>FCFA</t>
        </is>
      </c>
      <c r="H185" s="24" t="n">
        <v>575.59</v>
      </c>
      <c r="I185" s="25" t="n">
        <v>14680000000</v>
      </c>
      <c r="J185" s="25" t="n">
        <v>25504265.19</v>
      </c>
    </row>
    <row r="186" hidden="1">
      <c r="A186" t="n">
        <v>2020</v>
      </c>
      <c r="B186" t="inlineStr">
        <is>
          <t>SSPT</t>
        </is>
      </c>
      <c r="C186" t="inlineStr">
        <is>
          <t>Attapulgite</t>
        </is>
      </c>
      <c r="D186" t="inlineStr">
        <is>
          <t>Tonne</t>
        </is>
      </c>
      <c r="E186" s="4" t="n">
        <v>186615.1</v>
      </c>
      <c r="F186" s="3" t="n">
        <v>8300000000</v>
      </c>
      <c r="G186" t="inlineStr">
        <is>
          <t>FCFA</t>
        </is>
      </c>
      <c r="H186" s="24" t="n">
        <v>575.59</v>
      </c>
      <c r="I186" s="25" t="n">
        <v>8300000000</v>
      </c>
      <c r="J186" s="25" t="n">
        <v>14419986.45</v>
      </c>
    </row>
    <row r="187" hidden="1">
      <c r="A187" t="n">
        <v>2020</v>
      </c>
      <c r="B187" t="inlineStr">
        <is>
          <t>CDS</t>
        </is>
      </c>
      <c r="C187" t="inlineStr">
        <is>
          <t>Calcaire</t>
        </is>
      </c>
      <c r="D187" t="inlineStr">
        <is>
          <t>Tonne</t>
        </is>
      </c>
      <c r="E187" s="3" t="n">
        <v>2404017</v>
      </c>
      <c r="F187" s="3" t="n">
        <v>5050000000</v>
      </c>
      <c r="G187" t="inlineStr">
        <is>
          <t>FCFA</t>
        </is>
      </c>
      <c r="H187" s="24" t="n">
        <v>575.59</v>
      </c>
      <c r="I187" s="25" t="n">
        <v>5050000000</v>
      </c>
      <c r="J187" s="25" t="n">
        <v>8773606.210000001</v>
      </c>
    </row>
    <row r="188" hidden="1">
      <c r="A188" t="n">
        <v>2020</v>
      </c>
      <c r="B188" t="inlineStr">
        <is>
          <t>CDS</t>
        </is>
      </c>
      <c r="C188" t="inlineStr">
        <is>
          <t>Argile</t>
        </is>
      </c>
      <c r="D188" t="inlineStr">
        <is>
          <t>Tonne</t>
        </is>
      </c>
      <c r="E188" s="3" t="n">
        <v>367462</v>
      </c>
      <c r="F188" s="3" t="n">
        <v>1210000000</v>
      </c>
      <c r="G188" t="inlineStr">
        <is>
          <t>FCFA</t>
        </is>
      </c>
      <c r="H188" s="24" t="n">
        <v>575.59</v>
      </c>
      <c r="I188" s="25" t="n">
        <v>1210000000</v>
      </c>
      <c r="J188" s="25" t="n">
        <v>2102190.8</v>
      </c>
    </row>
    <row r="189" hidden="1">
      <c r="A189" t="n">
        <v>2020</v>
      </c>
      <c r="B189" t="inlineStr">
        <is>
          <t>SOCOCIM</t>
        </is>
      </c>
      <c r="C189" t="inlineStr">
        <is>
          <t>Calcaire</t>
        </is>
      </c>
      <c r="D189" t="inlineStr">
        <is>
          <t>Tonne</t>
        </is>
      </c>
      <c r="E189" s="3" t="n">
        <v>950428</v>
      </c>
      <c r="F189" s="3" t="n">
        <v>2090000000</v>
      </c>
      <c r="G189" t="inlineStr">
        <is>
          <t>FCFA</t>
        </is>
      </c>
      <c r="H189" s="24" t="n">
        <v>575.59</v>
      </c>
      <c r="I189" s="25" t="n">
        <v>2090000000</v>
      </c>
      <c r="J189" s="25" t="n">
        <v>3631056.83</v>
      </c>
    </row>
    <row r="190" hidden="1">
      <c r="A190" t="n">
        <v>2020</v>
      </c>
      <c r="B190" t="inlineStr">
        <is>
          <t>SOCOCIM</t>
        </is>
      </c>
      <c r="C190" t="inlineStr">
        <is>
          <t>Marne</t>
        </is>
      </c>
      <c r="D190" t="inlineStr">
        <is>
          <t>Tonne</t>
        </is>
      </c>
      <c r="E190" s="3" t="n">
        <v>1845762</v>
      </c>
      <c r="F190" s="3" t="n">
        <v>4050000000</v>
      </c>
      <c r="G190" t="inlineStr">
        <is>
          <t>FCFA</t>
        </is>
      </c>
      <c r="H190" s="24" t="n">
        <v>575.59</v>
      </c>
      <c r="I190" s="25" t="n">
        <v>4050000000</v>
      </c>
      <c r="J190" s="25" t="n">
        <v>7036258.45</v>
      </c>
    </row>
    <row r="191" hidden="1">
      <c r="A191" t="n">
        <v>2020</v>
      </c>
      <c r="B191" t="inlineStr">
        <is>
          <t>SOCOCIM</t>
        </is>
      </c>
      <c r="C191" t="inlineStr">
        <is>
          <t>Latérite</t>
        </is>
      </c>
      <c r="D191" t="inlineStr">
        <is>
          <t>Mètre cube</t>
        </is>
      </c>
      <c r="E191" s="4" t="n">
        <v>138896.2</v>
      </c>
      <c r="F191" s="3" t="n">
        <v>70000000</v>
      </c>
      <c r="G191" t="inlineStr">
        <is>
          <t>FCFA</t>
        </is>
      </c>
      <c r="H191" s="24" t="n">
        <v>575.59</v>
      </c>
      <c r="I191" s="25" t="n">
        <v>70000000</v>
      </c>
      <c r="J191" s="25" t="n">
        <v>121614.34</v>
      </c>
    </row>
    <row r="192" hidden="1">
      <c r="A192" t="n">
        <v>2020</v>
      </c>
      <c r="B192" t="inlineStr">
        <is>
          <t>DANGOTE</t>
        </is>
      </c>
      <c r="C192" t="inlineStr">
        <is>
          <t>Calcaire</t>
        </is>
      </c>
      <c r="D192" t="inlineStr">
        <is>
          <t>Tonne</t>
        </is>
      </c>
      <c r="E192" s="3" t="n">
        <v>2014833</v>
      </c>
      <c r="F192" s="3" t="n">
        <v>4230000000</v>
      </c>
      <c r="G192" t="inlineStr">
        <is>
          <t>FCFA</t>
        </is>
      </c>
      <c r="H192" s="24" t="n">
        <v>575.59</v>
      </c>
      <c r="I192" s="25" t="n">
        <v>4230000000</v>
      </c>
      <c r="J192" s="25" t="n">
        <v>7348981.05</v>
      </c>
    </row>
    <row r="193" hidden="1">
      <c r="A193" t="n">
        <v>2020</v>
      </c>
      <c r="B193" t="inlineStr">
        <is>
          <t>DANGOTE</t>
        </is>
      </c>
      <c r="C193" t="inlineStr">
        <is>
          <t>Latérite</t>
        </is>
      </c>
      <c r="D193" t="inlineStr">
        <is>
          <t>Tonne</t>
        </is>
      </c>
      <c r="E193" s="3" t="n">
        <v>61844</v>
      </c>
      <c r="F193" t="inlineStr">
        <is>
          <t>NC</t>
        </is>
      </c>
      <c r="G193" t="inlineStr">
        <is>
          <t>FCFA</t>
        </is>
      </c>
      <c r="H193" s="24" t="n">
        <v>575.59</v>
      </c>
    </row>
    <row r="194" hidden="1">
      <c r="A194" t="n">
        <v>2020</v>
      </c>
      <c r="B194" t="inlineStr">
        <is>
          <t>DANGOTE</t>
        </is>
      </c>
      <c r="C194" t="inlineStr">
        <is>
          <t>Argile</t>
        </is>
      </c>
      <c r="D194" t="inlineStr">
        <is>
          <t>Tonne</t>
        </is>
      </c>
      <c r="E194" s="3" t="n">
        <v>206560</v>
      </c>
      <c r="F194" s="3" t="n">
        <v>680000000</v>
      </c>
      <c r="G194" t="inlineStr">
        <is>
          <t>FCFA</t>
        </is>
      </c>
      <c r="H194" s="24" t="n">
        <v>575.59</v>
      </c>
      <c r="I194" s="25" t="n">
        <v>680000000</v>
      </c>
      <c r="J194" s="25" t="n">
        <v>1181396.48</v>
      </c>
    </row>
    <row r="195" hidden="1">
      <c r="A195" t="n">
        <v>2020</v>
      </c>
      <c r="B195" t="inlineStr">
        <is>
          <t>COGECA</t>
        </is>
      </c>
      <c r="C195" t="inlineStr">
        <is>
          <t>Basalte</t>
        </is>
      </c>
      <c r="D195" t="inlineStr">
        <is>
          <t>Mètre cube</t>
        </is>
      </c>
      <c r="E195" s="4" t="n">
        <v>2396525.4</v>
      </c>
      <c r="F195" t="inlineStr">
        <is>
          <t>NC</t>
        </is>
      </c>
      <c r="G195" t="inlineStr">
        <is>
          <t>FCFA</t>
        </is>
      </c>
      <c r="H195" s="24" t="n">
        <v>575.59</v>
      </c>
    </row>
    <row r="196" hidden="1">
      <c r="A196" t="n">
        <v>2020</v>
      </c>
      <c r="B196" t="inlineStr">
        <is>
          <t>GECAMINES</t>
        </is>
      </c>
      <c r="C196" t="inlineStr">
        <is>
          <t>Basalte</t>
        </is>
      </c>
      <c r="D196" t="inlineStr">
        <is>
          <t>Mètre cube</t>
        </is>
      </c>
      <c r="E196" s="4" t="n">
        <v>680947.8</v>
      </c>
      <c r="F196" t="inlineStr">
        <is>
          <t>NC</t>
        </is>
      </c>
      <c r="G196" t="inlineStr">
        <is>
          <t>FCFA</t>
        </is>
      </c>
      <c r="H196" s="24" t="n">
        <v>575.59</v>
      </c>
    </row>
    <row r="197" hidden="1">
      <c r="A197" t="n">
        <v>2020</v>
      </c>
      <c r="B197" t="inlineStr">
        <is>
          <t>SODEVIT</t>
        </is>
      </c>
      <c r="C197" t="inlineStr">
        <is>
          <t>Calcaire</t>
        </is>
      </c>
      <c r="D197" t="inlineStr">
        <is>
          <t>Mètre cube</t>
        </is>
      </c>
      <c r="E197" s="4" t="n">
        <v>6741.9</v>
      </c>
      <c r="F197" t="inlineStr">
        <is>
          <t>NC</t>
        </is>
      </c>
      <c r="G197" t="inlineStr">
        <is>
          <t>FCFA</t>
        </is>
      </c>
      <c r="H197" s="24" t="n">
        <v>575.59</v>
      </c>
    </row>
    <row r="198" hidden="1">
      <c r="A198" t="n">
        <v>2021</v>
      </c>
      <c r="B198" t="inlineStr">
        <is>
          <t>SGO</t>
        </is>
      </c>
      <c r="C198" t="inlineStr">
        <is>
          <t>Or</t>
        </is>
      </c>
      <c r="D198" t="inlineStr">
        <is>
          <t>Tonne</t>
        </is>
      </c>
      <c r="E198" s="8" t="n">
        <v>12.2</v>
      </c>
      <c r="F198" s="3" t="n">
        <v>390697165834</v>
      </c>
      <c r="G198" t="inlineStr">
        <is>
          <t>FCFA</t>
        </is>
      </c>
      <c r="H198" s="24" t="n">
        <v>554.53</v>
      </c>
      <c r="I198" s="25" t="n">
        <v>390697165834</v>
      </c>
      <c r="J198" s="25" t="n">
        <v>704555507.97</v>
      </c>
    </row>
    <row r="199" hidden="1">
      <c r="A199" t="n">
        <v>2021</v>
      </c>
      <c r="B199" t="inlineStr">
        <is>
          <t>SGO</t>
        </is>
      </c>
      <c r="C199" t="inlineStr">
        <is>
          <t>Argent</t>
        </is>
      </c>
      <c r="D199" t="inlineStr">
        <is>
          <t>Tonne</t>
        </is>
      </c>
      <c r="E199" s="8" t="n">
        <v>1</v>
      </c>
      <c r="F199" s="3" t="n">
        <v>453360287</v>
      </c>
      <c r="G199" t="inlineStr">
        <is>
          <t>FCFA</t>
        </is>
      </c>
      <c r="H199" s="24" t="n">
        <v>554.53</v>
      </c>
      <c r="I199" s="25" t="n">
        <v>453360287</v>
      </c>
      <c r="J199" s="25" t="n">
        <v>817557.73</v>
      </c>
    </row>
    <row r="200" hidden="1">
      <c r="A200" t="n">
        <v>2021</v>
      </c>
      <c r="B200" t="inlineStr">
        <is>
          <t>PMC</t>
        </is>
      </c>
      <c r="C200" t="inlineStr">
        <is>
          <t>Or</t>
        </is>
      </c>
      <c r="D200" t="inlineStr">
        <is>
          <t>Tonne</t>
        </is>
      </c>
      <c r="E200" s="8" t="n">
        <v>4</v>
      </c>
      <c r="F200" t="inlineStr">
        <is>
          <t>NC</t>
        </is>
      </c>
      <c r="G200" t="inlineStr">
        <is>
          <t>FCFA</t>
        </is>
      </c>
      <c r="H200" s="24" t="n">
        <v>554.53</v>
      </c>
    </row>
    <row r="201" hidden="1">
      <c r="A201" t="n">
        <v>2021</v>
      </c>
      <c r="B201" t="inlineStr">
        <is>
          <t>PMC</t>
        </is>
      </c>
      <c r="C201" t="inlineStr">
        <is>
          <t>Argent</t>
        </is>
      </c>
      <c r="D201" t="inlineStr">
        <is>
          <t>Tonne</t>
        </is>
      </c>
      <c r="E201" s="8" t="n">
        <v>0.3</v>
      </c>
      <c r="F201" s="3" t="n">
        <v>130156827</v>
      </c>
      <c r="G201" t="inlineStr">
        <is>
          <t>FCFA</t>
        </is>
      </c>
      <c r="H201" s="24" t="n">
        <v>554.53</v>
      </c>
      <c r="I201" s="25" t="n">
        <v>130156827</v>
      </c>
      <c r="J201" s="25" t="n">
        <v>234715.57</v>
      </c>
    </row>
    <row r="202" hidden="1">
      <c r="A202" t="n">
        <v>2021</v>
      </c>
      <c r="B202" t="inlineStr">
        <is>
          <t>GCO</t>
        </is>
      </c>
      <c r="C202" t="inlineStr">
        <is>
          <t>Ilménite</t>
        </is>
      </c>
      <c r="D202" t="inlineStr">
        <is>
          <t>Tonne</t>
        </is>
      </c>
      <c r="E202" s="4" t="n">
        <v>377506.6</v>
      </c>
      <c r="F202" s="3" t="n">
        <v>54216941469</v>
      </c>
      <c r="G202" t="inlineStr">
        <is>
          <t>FCFA</t>
        </is>
      </c>
      <c r="H202" s="24" t="n">
        <v>554.53</v>
      </c>
      <c r="I202" s="25" t="n">
        <v>54216941469</v>
      </c>
      <c r="J202" s="25" t="n">
        <v>97770979.87</v>
      </c>
    </row>
    <row r="203" hidden="1">
      <c r="A203" t="n">
        <v>2021</v>
      </c>
      <c r="B203" t="inlineStr">
        <is>
          <t>GCO</t>
        </is>
      </c>
      <c r="C203" t="inlineStr">
        <is>
          <t>Ilménite</t>
        </is>
      </c>
      <c r="D203" t="inlineStr">
        <is>
          <t>Tonne</t>
        </is>
      </c>
      <c r="E203" s="3" t="n">
        <v>19510</v>
      </c>
      <c r="F203" s="3" t="n">
        <v>3690588362</v>
      </c>
      <c r="G203" t="inlineStr">
        <is>
          <t>FCFA</t>
        </is>
      </c>
      <c r="H203" s="24" t="n">
        <v>554.53</v>
      </c>
      <c r="I203" s="25" t="n">
        <v>3690588362</v>
      </c>
      <c r="J203" s="25" t="n">
        <v>6655344.82</v>
      </c>
    </row>
    <row r="204" hidden="1">
      <c r="A204" t="n">
        <v>2021</v>
      </c>
      <c r="B204" t="inlineStr">
        <is>
          <t>GCO</t>
        </is>
      </c>
      <c r="C204" t="inlineStr">
        <is>
          <t>Ilménite</t>
        </is>
      </c>
      <c r="D204" t="inlineStr">
        <is>
          <t>Tonne</t>
        </is>
      </c>
      <c r="E204" s="4" t="n">
        <v>146044.1</v>
      </c>
      <c r="F204" s="3" t="n">
        <v>20728624548</v>
      </c>
      <c r="G204" t="inlineStr">
        <is>
          <t>FCFA</t>
        </is>
      </c>
      <c r="H204" s="24" t="n">
        <v>554.53</v>
      </c>
      <c r="I204" s="25" t="n">
        <v>20728624548</v>
      </c>
      <c r="J204" s="25" t="n">
        <v>37380528.64</v>
      </c>
    </row>
    <row r="205" hidden="1">
      <c r="A205" t="n">
        <v>2021</v>
      </c>
      <c r="B205" t="inlineStr">
        <is>
          <t>GCO</t>
        </is>
      </c>
      <c r="C205" t="inlineStr">
        <is>
          <t>Zircon</t>
        </is>
      </c>
      <c r="D205" t="inlineStr">
        <is>
          <t>Tonne</t>
        </is>
      </c>
      <c r="E205" s="4" t="n">
        <v>37873.1</v>
      </c>
      <c r="F205" s="3" t="n">
        <v>33867923004</v>
      </c>
      <c r="G205" t="inlineStr">
        <is>
          <t>FCFA</t>
        </is>
      </c>
      <c r="H205" s="24" t="n">
        <v>554.53</v>
      </c>
      <c r="I205" s="25" t="n">
        <v>33867923004</v>
      </c>
      <c r="J205" s="25" t="n">
        <v>61075005.87</v>
      </c>
    </row>
    <row r="206" hidden="1">
      <c r="A206" t="n">
        <v>2021</v>
      </c>
      <c r="B206" t="inlineStr">
        <is>
          <t>GCO</t>
        </is>
      </c>
      <c r="C206" t="inlineStr">
        <is>
          <t>Zircon</t>
        </is>
      </c>
      <c r="D206" t="inlineStr">
        <is>
          <t>Tonne</t>
        </is>
      </c>
      <c r="E206" s="4" t="n">
        <v>25856.1</v>
      </c>
      <c r="F206" s="3" t="n">
        <v>21177898265</v>
      </c>
      <c r="G206" t="inlineStr">
        <is>
          <t>FCFA</t>
        </is>
      </c>
      <c r="H206" s="24" t="n">
        <v>554.53</v>
      </c>
      <c r="I206" s="25" t="n">
        <v>21177898265</v>
      </c>
      <c r="J206" s="25" t="n">
        <v>38190716.94</v>
      </c>
    </row>
    <row r="207" hidden="1">
      <c r="A207" t="n">
        <v>2021</v>
      </c>
      <c r="B207" t="inlineStr">
        <is>
          <t>GCO</t>
        </is>
      </c>
      <c r="C207" t="inlineStr">
        <is>
          <t>Zircon</t>
        </is>
      </c>
      <c r="D207" t="inlineStr">
        <is>
          <t>Tonne</t>
        </is>
      </c>
      <c r="E207" s="4" t="n">
        <v>27030.6</v>
      </c>
      <c r="F207" s="3" t="n">
        <v>6696786033</v>
      </c>
      <c r="G207" t="inlineStr">
        <is>
          <t>FCFA</t>
        </is>
      </c>
      <c r="H207" s="24" t="n">
        <v>554.53</v>
      </c>
      <c r="I207" s="25" t="n">
        <v>6696786033</v>
      </c>
      <c r="J207" s="25" t="n">
        <v>12076508.09</v>
      </c>
    </row>
    <row r="208" hidden="1">
      <c r="A208" t="n">
        <v>2021</v>
      </c>
      <c r="B208" t="inlineStr">
        <is>
          <t>GCO</t>
        </is>
      </c>
      <c r="C208" t="inlineStr">
        <is>
          <t>Rutile</t>
        </is>
      </c>
      <c r="D208" t="inlineStr">
        <is>
          <t>Tonne</t>
        </is>
      </c>
      <c r="E208" s="3" t="n">
        <v>4430</v>
      </c>
      <c r="F208" s="3" t="n">
        <v>3629677988</v>
      </c>
      <c r="G208" t="inlineStr">
        <is>
          <t>FCFA</t>
        </is>
      </c>
      <c r="H208" s="24" t="n">
        <v>554.53</v>
      </c>
      <c r="I208" s="25" t="n">
        <v>3629677988</v>
      </c>
      <c r="J208" s="25" t="n">
        <v>6545503.38</v>
      </c>
    </row>
    <row r="209" hidden="1">
      <c r="A209" t="n">
        <v>2021</v>
      </c>
      <c r="B209" t="inlineStr">
        <is>
          <t>GCO</t>
        </is>
      </c>
      <c r="C209" t="inlineStr">
        <is>
          <t>Leucoxène</t>
        </is>
      </c>
      <c r="D209" t="inlineStr">
        <is>
          <t>Tonne</t>
        </is>
      </c>
      <c r="E209" s="4" t="n">
        <v>6964.6</v>
      </c>
      <c r="F209" s="3" t="n">
        <v>3595901024</v>
      </c>
      <c r="G209" t="inlineStr">
        <is>
          <t>FCFA</t>
        </is>
      </c>
      <c r="H209" s="24" t="n">
        <v>554.53</v>
      </c>
      <c r="I209" s="25" t="n">
        <v>3595901024</v>
      </c>
      <c r="J209" s="25" t="n">
        <v>6484592.4</v>
      </c>
    </row>
    <row r="210" hidden="1">
      <c r="A210" t="n">
        <v>2021</v>
      </c>
      <c r="B210" t="inlineStr">
        <is>
          <t>ICS</t>
        </is>
      </c>
      <c r="C210" t="inlineStr">
        <is>
          <t>Phosphate</t>
        </is>
      </c>
      <c r="D210" t="inlineStr">
        <is>
          <t>Tonne</t>
        </is>
      </c>
      <c r="E210" s="3" t="n">
        <v>1770000</v>
      </c>
      <c r="F210" s="3" t="n">
        <v>49694156000</v>
      </c>
      <c r="G210" t="inlineStr">
        <is>
          <t>FCFA</t>
        </is>
      </c>
      <c r="H210" s="24" t="n">
        <v>554.53</v>
      </c>
      <c r="I210" s="25" t="n">
        <v>49694156000</v>
      </c>
      <c r="J210" s="25" t="n">
        <v>89614909.92</v>
      </c>
    </row>
    <row r="211" hidden="1">
      <c r="A211" t="n">
        <v>2021</v>
      </c>
      <c r="B211" t="inlineStr">
        <is>
          <t>ICS</t>
        </is>
      </c>
      <c r="C211" t="inlineStr">
        <is>
          <t>Acide Phosphorique</t>
        </is>
      </c>
      <c r="D211" t="inlineStr">
        <is>
          <t>Tonne</t>
        </is>
      </c>
      <c r="E211" s="3" t="n">
        <v>497905</v>
      </c>
      <c r="F211" s="3" t="n">
        <v>292022380000</v>
      </c>
      <c r="G211" t="inlineStr">
        <is>
          <t>FCFA</t>
        </is>
      </c>
      <c r="H211" s="24" t="n">
        <v>554.53</v>
      </c>
      <c r="I211" s="25" t="n">
        <v>292022380000</v>
      </c>
      <c r="J211" s="25" t="n">
        <v>526612410.51</v>
      </c>
    </row>
    <row r="212" hidden="1">
      <c r="A212" t="n">
        <v>2021</v>
      </c>
      <c r="B212" t="inlineStr">
        <is>
          <t>SEPHOS</t>
        </is>
      </c>
      <c r="C212" t="inlineStr">
        <is>
          <t>Phosphate</t>
        </is>
      </c>
      <c r="D212" t="inlineStr">
        <is>
          <t>Tonne</t>
        </is>
      </c>
      <c r="E212" s="3" t="n">
        <v>100948</v>
      </c>
      <c r="F212" s="3" t="n">
        <v>3259048347</v>
      </c>
      <c r="G212" t="inlineStr">
        <is>
          <t>FCFA</t>
        </is>
      </c>
      <c r="H212" s="24" t="n">
        <v>554.53</v>
      </c>
      <c r="I212" s="25" t="n">
        <v>3259048347</v>
      </c>
      <c r="J212" s="25" t="n">
        <v>5877136.22</v>
      </c>
    </row>
    <row r="213" hidden="1">
      <c r="A213" t="n">
        <v>2021</v>
      </c>
      <c r="B213" t="inlineStr">
        <is>
          <t>SOMIVA</t>
        </is>
      </c>
      <c r="C213" t="inlineStr">
        <is>
          <t>Phosphate</t>
        </is>
      </c>
      <c r="D213" t="inlineStr">
        <is>
          <t>Tonne</t>
        </is>
      </c>
      <c r="E213" s="3" t="n">
        <v>531521</v>
      </c>
      <c r="F213" s="3" t="n">
        <v>23769685980</v>
      </c>
      <c r="G213" t="inlineStr">
        <is>
          <t>FCFA</t>
        </is>
      </c>
      <c r="H213" s="24" t="n">
        <v>554.53</v>
      </c>
      <c r="I213" s="25" t="n">
        <v>23769685980</v>
      </c>
      <c r="J213" s="25" t="n">
        <v>42864562.75</v>
      </c>
    </row>
    <row r="214" hidden="1">
      <c r="A214" t="n">
        <v>2021</v>
      </c>
      <c r="B214" t="inlineStr">
        <is>
          <t>SSPT</t>
        </is>
      </c>
      <c r="C214" t="inlineStr">
        <is>
          <t>Attapulgite</t>
        </is>
      </c>
      <c r="D214" t="inlineStr">
        <is>
          <t>Tonne</t>
        </is>
      </c>
      <c r="E214" s="4" t="n">
        <v>170850.9</v>
      </c>
      <c r="F214" s="3" t="n">
        <v>7551095651</v>
      </c>
      <c r="G214" t="inlineStr">
        <is>
          <t>FCFA</t>
        </is>
      </c>
      <c r="H214" s="24" t="n">
        <v>554.53</v>
      </c>
      <c r="I214" s="25" t="n">
        <v>7551095651</v>
      </c>
      <c r="J214" s="25" t="n">
        <v>13617109.36</v>
      </c>
    </row>
    <row r="215" hidden="1">
      <c r="A215" t="n">
        <v>2021</v>
      </c>
      <c r="B215" t="inlineStr">
        <is>
          <t>CDS</t>
        </is>
      </c>
      <c r="C215" t="inlineStr">
        <is>
          <t>Calcaire</t>
        </is>
      </c>
      <c r="D215" t="inlineStr">
        <is>
          <t>Tonne</t>
        </is>
      </c>
      <c r="E215" s="3" t="n">
        <v>2500228</v>
      </c>
      <c r="F215" s="3" t="n">
        <v>5250478800</v>
      </c>
      <c r="G215" t="inlineStr">
        <is>
          <t>FCFA</t>
        </is>
      </c>
      <c r="H215" s="24" t="n">
        <v>554.53</v>
      </c>
      <c r="I215" s="25" t="n">
        <v>5250478800</v>
      </c>
      <c r="J215" s="25" t="n">
        <v>9468340.4</v>
      </c>
    </row>
    <row r="216" hidden="1">
      <c r="A216" t="n">
        <v>2021</v>
      </c>
      <c r="B216" t="inlineStr">
        <is>
          <t>CDS</t>
        </is>
      </c>
      <c r="C216" t="inlineStr">
        <is>
          <t>Argile</t>
        </is>
      </c>
      <c r="D216" t="inlineStr">
        <is>
          <t>Tonne</t>
        </is>
      </c>
      <c r="E216" s="3" t="n">
        <v>376950</v>
      </c>
      <c r="F216" s="3" t="n">
        <v>1243935000</v>
      </c>
      <c r="G216" t="inlineStr">
        <is>
          <t>FCFA</t>
        </is>
      </c>
      <c r="H216" s="24" t="n">
        <v>554.53</v>
      </c>
      <c r="I216" s="25" t="n">
        <v>1243935000</v>
      </c>
      <c r="J216" s="25" t="n">
        <v>2243223.99</v>
      </c>
    </row>
    <row r="217" hidden="1">
      <c r="A217" t="n">
        <v>2021</v>
      </c>
      <c r="B217" t="inlineStr">
        <is>
          <t>CDS</t>
        </is>
      </c>
      <c r="C217" t="inlineStr">
        <is>
          <t>Latérite</t>
        </is>
      </c>
      <c r="D217" t="inlineStr">
        <is>
          <t>Tonne</t>
        </is>
      </c>
      <c r="E217" s="3" t="n">
        <v>89037</v>
      </c>
      <c r="F217" s="3" t="n">
        <v>267111000</v>
      </c>
      <c r="G217" t="inlineStr">
        <is>
          <t>FCFA</t>
        </is>
      </c>
      <c r="H217" s="24" t="n">
        <v>554.53</v>
      </c>
      <c r="I217" s="25" t="n">
        <v>267111000</v>
      </c>
      <c r="J217" s="25" t="n">
        <v>481689</v>
      </c>
    </row>
    <row r="218" hidden="1">
      <c r="A218" t="n">
        <v>2021</v>
      </c>
      <c r="B218" t="inlineStr">
        <is>
          <t>SOCOCIM</t>
        </is>
      </c>
      <c r="C218" t="inlineStr">
        <is>
          <t>Calcaire</t>
        </is>
      </c>
      <c r="D218" t="inlineStr">
        <is>
          <t>Tonne</t>
        </is>
      </c>
      <c r="E218" s="3" t="n">
        <v>977848</v>
      </c>
      <c r="F218" s="3" t="n">
        <v>2146376360</v>
      </c>
      <c r="G218" t="inlineStr">
        <is>
          <t>FCFA</t>
        </is>
      </c>
      <c r="H218" s="24" t="n">
        <v>554.53</v>
      </c>
      <c r="I218" s="25" t="n">
        <v>2146376360</v>
      </c>
      <c r="J218" s="25" t="n">
        <v>3870622.62</v>
      </c>
    </row>
    <row r="219" hidden="1">
      <c r="A219" t="n">
        <v>2021</v>
      </c>
      <c r="B219" t="inlineStr">
        <is>
          <t>SOCOCIM</t>
        </is>
      </c>
      <c r="C219" t="inlineStr">
        <is>
          <t>Marne</t>
        </is>
      </c>
      <c r="D219" t="inlineStr">
        <is>
          <t>Tonne</t>
        </is>
      </c>
      <c r="E219" s="3" t="n">
        <v>1965915</v>
      </c>
      <c r="F219" s="3" t="n">
        <v>4315183425</v>
      </c>
      <c r="G219" t="inlineStr">
        <is>
          <t>FCFA</t>
        </is>
      </c>
      <c r="H219" s="24" t="n">
        <v>554.53</v>
      </c>
      <c r="I219" s="25" t="n">
        <v>4315183425</v>
      </c>
      <c r="J219" s="25" t="n">
        <v>7781695.17</v>
      </c>
    </row>
    <row r="220" hidden="1">
      <c r="A220" t="n">
        <v>2021</v>
      </c>
      <c r="B220" t="inlineStr">
        <is>
          <t>DANGOTE</t>
        </is>
      </c>
      <c r="C220" t="inlineStr">
        <is>
          <t>Calcaire</t>
        </is>
      </c>
      <c r="D220" t="inlineStr">
        <is>
          <t>Tonne</t>
        </is>
      </c>
      <c r="E220" s="3" t="n">
        <v>1977329</v>
      </c>
      <c r="F220" s="3" t="n">
        <v>2597828257</v>
      </c>
      <c r="G220" t="inlineStr">
        <is>
          <t>FCFA</t>
        </is>
      </c>
      <c r="H220" s="24" t="n">
        <v>554.53</v>
      </c>
      <c r="I220" s="25" t="n">
        <v>2597828257</v>
      </c>
      <c r="J220" s="25" t="n">
        <v>4684738.89</v>
      </c>
    </row>
    <row r="221" hidden="1">
      <c r="A221" t="n">
        <v>2021</v>
      </c>
      <c r="B221" t="inlineStr">
        <is>
          <t>DANGOTE</t>
        </is>
      </c>
      <c r="C221" t="inlineStr">
        <is>
          <t>Argile</t>
        </is>
      </c>
      <c r="D221" t="inlineStr">
        <is>
          <t>Tonne</t>
        </is>
      </c>
      <c r="E221" s="3" t="n">
        <v>230157</v>
      </c>
      <c r="F221" s="3" t="n">
        <v>603701811</v>
      </c>
      <c r="G221" t="inlineStr">
        <is>
          <t>FCFA</t>
        </is>
      </c>
      <c r="H221" s="24" t="n">
        <v>554.53</v>
      </c>
      <c r="I221" s="25" t="n">
        <v>603701811</v>
      </c>
      <c r="J221" s="25" t="n">
        <v>1088672.95</v>
      </c>
    </row>
    <row r="222" hidden="1">
      <c r="A222" t="n">
        <v>2021</v>
      </c>
      <c r="B222" t="inlineStr">
        <is>
          <t>COGECA</t>
        </is>
      </c>
      <c r="C222" t="inlineStr">
        <is>
          <t>Calcaire</t>
        </is>
      </c>
      <c r="D222" t="inlineStr">
        <is>
          <t>Tonne</t>
        </is>
      </c>
      <c r="E222" s="3" t="n">
        <v>1</v>
      </c>
      <c r="F222" t="inlineStr">
        <is>
          <t>NC</t>
        </is>
      </c>
      <c r="G222" t="inlineStr">
        <is>
          <t>FCFA</t>
        </is>
      </c>
      <c r="H222" s="24" t="n">
        <v>554.53</v>
      </c>
    </row>
    <row r="223" hidden="1">
      <c r="A223" t="n">
        <v>2021</v>
      </c>
      <c r="B223" t="inlineStr">
        <is>
          <t>COGECA</t>
        </is>
      </c>
      <c r="C223" t="inlineStr">
        <is>
          <t>Basalte</t>
        </is>
      </c>
      <c r="D223" t="inlineStr">
        <is>
          <t>Tonne</t>
        </is>
      </c>
      <c r="E223" s="3" t="n">
        <v>1</v>
      </c>
      <c r="F223" t="inlineStr">
        <is>
          <t>NC</t>
        </is>
      </c>
      <c r="G223" t="inlineStr">
        <is>
          <t>FCFA</t>
        </is>
      </c>
      <c r="H223" s="24" t="n">
        <v>554.53</v>
      </c>
    </row>
    <row r="224" hidden="1">
      <c r="A224" t="n">
        <v>2021</v>
      </c>
      <c r="B224" t="inlineStr">
        <is>
          <t>GECAMINES</t>
        </is>
      </c>
      <c r="C224" t="inlineStr">
        <is>
          <t>Calcaire</t>
        </is>
      </c>
      <c r="D224" t="inlineStr">
        <is>
          <t>Tonne</t>
        </is>
      </c>
      <c r="E224" s="3" t="n">
        <v>418535</v>
      </c>
      <c r="F224" s="3" t="n">
        <v>1431904000</v>
      </c>
      <c r="G224" t="inlineStr">
        <is>
          <t>FCFA</t>
        </is>
      </c>
      <c r="H224" s="24" t="n">
        <v>554.53</v>
      </c>
      <c r="I224" s="25" t="n">
        <v>1431904000</v>
      </c>
      <c r="J224" s="25" t="n">
        <v>2582193.93</v>
      </c>
    </row>
    <row r="225" hidden="1">
      <c r="A225" t="n">
        <v>2021</v>
      </c>
      <c r="B225" t="inlineStr">
        <is>
          <t>GECAMINES</t>
        </is>
      </c>
      <c r="C225" t="inlineStr">
        <is>
          <t>Basalte</t>
        </is>
      </c>
      <c r="D225" t="inlineStr">
        <is>
          <t>Tonne</t>
        </is>
      </c>
      <c r="E225" s="3" t="n">
        <v>1807998</v>
      </c>
      <c r="F225" s="3" t="n">
        <v>13897822000</v>
      </c>
      <c r="G225" t="inlineStr">
        <is>
          <t>FCFA</t>
        </is>
      </c>
      <c r="H225" s="24" t="n">
        <v>554.53</v>
      </c>
      <c r="I225" s="25" t="n">
        <v>13897822000</v>
      </c>
      <c r="J225" s="25" t="n">
        <v>25062344.69</v>
      </c>
    </row>
    <row r="226" hidden="1">
      <c r="A226" t="n">
        <v>2021</v>
      </c>
      <c r="B226" t="inlineStr">
        <is>
          <t>AIG</t>
        </is>
      </c>
      <c r="C226" t="inlineStr">
        <is>
          <t>Minéraux lourds</t>
        </is>
      </c>
      <c r="D226" t="inlineStr">
        <is>
          <t>Tonne</t>
        </is>
      </c>
      <c r="E226" s="3" t="n">
        <v>1495</v>
      </c>
      <c r="F226" s="3" t="n">
        <v>157671670</v>
      </c>
      <c r="G226" t="inlineStr">
        <is>
          <t>FCFA</t>
        </is>
      </c>
      <c r="H226" s="24" t="n">
        <v>554.53</v>
      </c>
      <c r="I226" s="25" t="n">
        <v>157671670</v>
      </c>
      <c r="J226" s="25" t="n">
        <v>284333.89</v>
      </c>
    </row>
    <row r="227" hidden="1">
      <c r="A227" t="n">
        <v>2021</v>
      </c>
      <c r="B227" t="inlineStr">
        <is>
          <t>GH MINING</t>
        </is>
      </c>
      <c r="C227" t="inlineStr">
        <is>
          <t>Manganèse</t>
        </is>
      </c>
      <c r="D227" t="inlineStr">
        <is>
          <t>Tonne</t>
        </is>
      </c>
      <c r="E227" s="3" t="n">
        <v>9396</v>
      </c>
      <c r="F227" s="3" t="n">
        <v>518248093</v>
      </c>
      <c r="G227" t="inlineStr">
        <is>
          <t>FCFA</t>
        </is>
      </c>
      <c r="H227" s="24" t="n">
        <v>554.53</v>
      </c>
      <c r="I227" s="25" t="n">
        <v>518248093</v>
      </c>
      <c r="J227" s="25" t="n">
        <v>934571.79</v>
      </c>
    </row>
    <row r="228" hidden="1">
      <c r="A228" t="n">
        <v>2022</v>
      </c>
      <c r="B228" t="inlineStr">
        <is>
          <t>SGO</t>
        </is>
      </c>
      <c r="C228" t="inlineStr">
        <is>
          <t>Or</t>
        </is>
      </c>
      <c r="D228" t="inlineStr">
        <is>
          <t>Tonne</t>
        </is>
      </c>
      <c r="E228" s="8" t="n">
        <v>11</v>
      </c>
      <c r="F228" s="3" t="n">
        <v>393709507828</v>
      </c>
      <c r="G228" t="inlineStr">
        <is>
          <t>FCFA</t>
        </is>
      </c>
      <c r="H228" s="24" t="n">
        <v>623.76</v>
      </c>
      <c r="I228" s="25" t="n">
        <v>393709507828</v>
      </c>
      <c r="J228" s="25" t="n">
        <v>631187488.5</v>
      </c>
    </row>
    <row r="229" hidden="1">
      <c r="A229" t="n">
        <v>2022</v>
      </c>
      <c r="B229" t="inlineStr">
        <is>
          <t>PMC</t>
        </is>
      </c>
      <c r="C229" t="inlineStr">
        <is>
          <t>Or</t>
        </is>
      </c>
      <c r="D229" t="inlineStr">
        <is>
          <t>Tonne</t>
        </is>
      </c>
      <c r="E229" s="8" t="n">
        <v>4.0255</v>
      </c>
      <c r="F229" s="3" t="n">
        <v>145989168041</v>
      </c>
      <c r="G229" t="inlineStr">
        <is>
          <t>FCFA</t>
        </is>
      </c>
      <c r="H229" s="24" t="n">
        <v>623.76</v>
      </c>
      <c r="I229" s="25" t="n">
        <v>145989168041</v>
      </c>
      <c r="J229" s="25" t="n">
        <v>234047018.15</v>
      </c>
    </row>
    <row r="230" hidden="1">
      <c r="A230" t="n">
        <v>2022</v>
      </c>
      <c r="B230" t="inlineStr">
        <is>
          <t>AFRIGOLD</t>
        </is>
      </c>
      <c r="C230" t="inlineStr">
        <is>
          <t>Or</t>
        </is>
      </c>
      <c r="D230" t="inlineStr">
        <is>
          <t>Tonne</t>
        </is>
      </c>
      <c r="E230" s="8" t="n">
        <v>0.0485</v>
      </c>
      <c r="F230" t="inlineStr">
        <is>
          <t>NC</t>
        </is>
      </c>
      <c r="G230" t="inlineStr">
        <is>
          <t>FCFA</t>
        </is>
      </c>
      <c r="H230" s="24" t="n">
        <v>623.76</v>
      </c>
    </row>
    <row r="231" hidden="1">
      <c r="A231" t="n">
        <v>2022</v>
      </c>
      <c r="B231" t="inlineStr">
        <is>
          <t>SOCOCIM</t>
        </is>
      </c>
      <c r="C231" t="inlineStr">
        <is>
          <t>Ciment</t>
        </is>
      </c>
      <c r="D231" t="inlineStr">
        <is>
          <t>Tonne</t>
        </is>
      </c>
      <c r="E231" s="3" t="n">
        <v>3373277</v>
      </c>
      <c r="F231" s="3" t="n">
        <v>160037236423</v>
      </c>
      <c r="G231" t="inlineStr">
        <is>
          <t>FCFA</t>
        </is>
      </c>
      <c r="H231" s="24" t="n">
        <v>623.76</v>
      </c>
      <c r="I231" s="25" t="n">
        <v>160037236423</v>
      </c>
      <c r="J231" s="25" t="n">
        <v>256568610.4</v>
      </c>
    </row>
    <row r="232" hidden="1">
      <c r="A232" t="n">
        <v>2022</v>
      </c>
      <c r="B232" t="inlineStr">
        <is>
          <t>DANGOTE</t>
        </is>
      </c>
      <c r="C232" t="inlineStr">
        <is>
          <t>Ciment</t>
        </is>
      </c>
      <c r="D232" t="inlineStr">
        <is>
          <t>Tonne</t>
        </is>
      </c>
      <c r="E232" s="3" t="n">
        <v>646121</v>
      </c>
      <c r="F232" s="3" t="n">
        <v>19372003072</v>
      </c>
      <c r="G232" t="inlineStr">
        <is>
          <t>FCFA</t>
        </is>
      </c>
      <c r="H232" s="24" t="n">
        <v>623.76</v>
      </c>
      <c r="I232" s="25" t="n">
        <v>19372003072</v>
      </c>
      <c r="J232" s="25" t="n">
        <v>31056821.65</v>
      </c>
    </row>
    <row r="233" hidden="1">
      <c r="A233" t="n">
        <v>2022</v>
      </c>
      <c r="B233" t="inlineStr">
        <is>
          <t>SOCOCIM</t>
        </is>
      </c>
      <c r="C233" t="inlineStr">
        <is>
          <t>Clinker</t>
        </is>
      </c>
      <c r="D233" t="inlineStr">
        <is>
          <t>Tonne</t>
        </is>
      </c>
      <c r="E233" s="3" t="n">
        <v>1881642</v>
      </c>
      <c r="F233" s="3" t="n">
        <v>69606686944</v>
      </c>
      <c r="G233" t="inlineStr">
        <is>
          <t>FCFA</t>
        </is>
      </c>
      <c r="H233" s="24" t="n">
        <v>623.76</v>
      </c>
      <c r="I233" s="25" t="n">
        <v>69606686944</v>
      </c>
      <c r="J233" s="25" t="n">
        <v>111592097.83</v>
      </c>
    </row>
    <row r="234" hidden="1">
      <c r="A234" t="n">
        <v>2022</v>
      </c>
      <c r="B234" t="inlineStr">
        <is>
          <t>DANGOTE</t>
        </is>
      </c>
      <c r="C234" t="inlineStr">
        <is>
          <t>Clinker</t>
        </is>
      </c>
      <c r="D234" t="inlineStr">
        <is>
          <t>Tonne</t>
        </is>
      </c>
      <c r="E234" s="3" t="n">
        <v>467250</v>
      </c>
      <c r="F234" s="3" t="n">
        <v>13433089599</v>
      </c>
      <c r="G234" t="inlineStr">
        <is>
          <t>FCFA</t>
        </is>
      </c>
      <c r="H234" s="24" t="n">
        <v>623.76</v>
      </c>
      <c r="I234" s="25" t="n">
        <v>13433089599</v>
      </c>
      <c r="J234" s="25" t="n">
        <v>21535670.13</v>
      </c>
    </row>
    <row r="235" hidden="1">
      <c r="A235" t="n">
        <v>2022</v>
      </c>
      <c r="B235" t="inlineStr">
        <is>
          <t>GCO</t>
        </is>
      </c>
      <c r="C235" t="inlineStr">
        <is>
          <t>Ilménite</t>
        </is>
      </c>
      <c r="D235" t="inlineStr">
        <is>
          <t>Tonne</t>
        </is>
      </c>
      <c r="E235" s="3" t="n">
        <v>328742</v>
      </c>
      <c r="F235" s="3" t="n">
        <v>66987102119</v>
      </c>
      <c r="G235" t="inlineStr">
        <is>
          <t>FCFA</t>
        </is>
      </c>
      <c r="H235" s="24" t="n">
        <v>623.76</v>
      </c>
      <c r="I235" s="25" t="n">
        <v>66987102119</v>
      </c>
      <c r="J235" s="25" t="n">
        <v>107392429.97</v>
      </c>
    </row>
    <row r="236" hidden="1">
      <c r="A236" t="n">
        <v>2022</v>
      </c>
      <c r="B236" t="inlineStr">
        <is>
          <t>ICS</t>
        </is>
      </c>
      <c r="C236" t="inlineStr">
        <is>
          <t>Phosphate</t>
        </is>
      </c>
      <c r="D236" t="inlineStr">
        <is>
          <t>Tonne</t>
        </is>
      </c>
      <c r="E236" s="3" t="n">
        <v>1771000</v>
      </c>
      <c r="F236" s="3" t="n">
        <v>56392615820</v>
      </c>
      <c r="G236" t="inlineStr">
        <is>
          <t>FCFA</t>
        </is>
      </c>
      <c r="H236" s="24" t="n">
        <v>623.76</v>
      </c>
      <c r="I236" s="25" t="n">
        <v>56392615820</v>
      </c>
      <c r="J236" s="25" t="n">
        <v>90407553.90000001</v>
      </c>
    </row>
    <row r="237" hidden="1">
      <c r="A237" t="n">
        <v>2022</v>
      </c>
      <c r="B237" t="inlineStr">
        <is>
          <t>SSPT</t>
        </is>
      </c>
      <c r="C237" t="inlineStr">
        <is>
          <t>Phosphate</t>
        </is>
      </c>
      <c r="D237" t="inlineStr">
        <is>
          <t>Tonne</t>
        </is>
      </c>
      <c r="E237" s="3" t="n">
        <v>144956</v>
      </c>
      <c r="F237" s="3" t="n">
        <v>3564774127</v>
      </c>
      <c r="G237" t="inlineStr">
        <is>
          <t>FCFA</t>
        </is>
      </c>
      <c r="H237" s="24" t="n">
        <v>623.76</v>
      </c>
      <c r="I237" s="25" t="n">
        <v>3564774127</v>
      </c>
      <c r="J237" s="25" t="n">
        <v>5714977.12</v>
      </c>
    </row>
    <row r="238" hidden="1">
      <c r="A238" t="n">
        <v>2022</v>
      </c>
      <c r="B238" t="inlineStr">
        <is>
          <t>BMCC</t>
        </is>
      </c>
      <c r="C238" t="inlineStr">
        <is>
          <t>Phosphate</t>
        </is>
      </c>
      <c r="D238" t="inlineStr">
        <is>
          <t>NC</t>
        </is>
      </c>
      <c r="E238" s="3" t="n">
        <v>71442</v>
      </c>
      <c r="F238" t="inlineStr">
        <is>
          <t>NC</t>
        </is>
      </c>
      <c r="G238" t="inlineStr">
        <is>
          <t>FCFA</t>
        </is>
      </c>
      <c r="H238" s="24" t="n">
        <v>623.76</v>
      </c>
    </row>
    <row r="239" hidden="1">
      <c r="A239" t="n">
        <v>2022</v>
      </c>
      <c r="B239" t="inlineStr">
        <is>
          <t>SOMIVA</t>
        </is>
      </c>
      <c r="C239" t="inlineStr">
        <is>
          <t>Phosphate</t>
        </is>
      </c>
      <c r="D239" t="inlineStr">
        <is>
          <t>Tonne</t>
        </is>
      </c>
      <c r="E239" s="3" t="n">
        <v>549556</v>
      </c>
      <c r="F239" s="3" t="n">
        <v>56442979011</v>
      </c>
      <c r="G239" t="inlineStr">
        <is>
          <t>FCFA</t>
        </is>
      </c>
      <c r="H239" s="24" t="n">
        <v>623.76</v>
      </c>
      <c r="I239" s="25" t="n">
        <v>56442979011</v>
      </c>
      <c r="J239" s="25" t="n">
        <v>90488295.2</v>
      </c>
    </row>
    <row r="240" hidden="1">
      <c r="A240" t="n">
        <v>2022</v>
      </c>
      <c r="B240" t="inlineStr">
        <is>
          <t>GCO</t>
        </is>
      </c>
      <c r="C240" t="inlineStr">
        <is>
          <t>Zircon</t>
        </is>
      </c>
      <c r="D240" t="inlineStr">
        <is>
          <t>Tonne</t>
        </is>
      </c>
      <c r="E240" s="3" t="n">
        <v>34583</v>
      </c>
      <c r="F240" s="3" t="n">
        <v>46680083232</v>
      </c>
      <c r="G240" t="inlineStr">
        <is>
          <t>FCFA</t>
        </is>
      </c>
      <c r="H240" s="24" t="n">
        <v>623.76</v>
      </c>
      <c r="I240" s="25" t="n">
        <v>46680083232</v>
      </c>
      <c r="J240" s="25" t="n">
        <v>74836609</v>
      </c>
    </row>
    <row r="241" hidden="1">
      <c r="A241" t="n">
        <v>2022</v>
      </c>
      <c r="B241" t="inlineStr">
        <is>
          <t>COGECA</t>
        </is>
      </c>
      <c r="C241" t="inlineStr">
        <is>
          <t>Basalte</t>
        </is>
      </c>
      <c r="D241" t="inlineStr">
        <is>
          <t>Tonne</t>
        </is>
      </c>
      <c r="E241" s="3" t="n">
        <v>2205996</v>
      </c>
      <c r="F241" s="3" t="n">
        <v>18482949000</v>
      </c>
      <c r="G241" t="inlineStr">
        <is>
          <t>FCFA</t>
        </is>
      </c>
      <c r="H241" s="24" t="n">
        <v>623.76</v>
      </c>
      <c r="I241" s="25" t="n">
        <v>18482949000</v>
      </c>
      <c r="J241" s="25" t="n">
        <v>29631507.31</v>
      </c>
    </row>
    <row r="242" hidden="1">
      <c r="A242" t="n">
        <v>2022</v>
      </c>
      <c r="B242" t="inlineStr">
        <is>
          <t>GECAMINES</t>
        </is>
      </c>
      <c r="C242" t="inlineStr">
        <is>
          <t>Basalte</t>
        </is>
      </c>
      <c r="D242" t="inlineStr">
        <is>
          <t>Tonne</t>
        </is>
      </c>
      <c r="E242" s="3" t="n">
        <v>1847386</v>
      </c>
      <c r="F242" s="3" t="n">
        <v>14229037033</v>
      </c>
      <c r="G242" t="inlineStr">
        <is>
          <t>FCFA</t>
        </is>
      </c>
      <c r="H242" s="24" t="n">
        <v>623.76</v>
      </c>
      <c r="I242" s="25" t="n">
        <v>14229037033</v>
      </c>
      <c r="J242" s="25" t="n">
        <v>22811717.7</v>
      </c>
    </row>
    <row r="243" hidden="1">
      <c r="A243" t="n">
        <v>2022</v>
      </c>
      <c r="B243" t="inlineStr">
        <is>
          <t>GCO</t>
        </is>
      </c>
      <c r="C243" t="inlineStr">
        <is>
          <t>Zircon</t>
        </is>
      </c>
      <c r="D243" t="inlineStr">
        <is>
          <t>Tonne</t>
        </is>
      </c>
      <c r="E243" s="3" t="n">
        <v>22498</v>
      </c>
      <c r="F243" s="3" t="n">
        <v>29136495247</v>
      </c>
      <c r="G243" t="inlineStr">
        <is>
          <t>FCFA</t>
        </is>
      </c>
      <c r="H243" s="24" t="n">
        <v>623.76</v>
      </c>
      <c r="I243" s="25" t="n">
        <v>29136495247</v>
      </c>
      <c r="J243" s="25" t="n">
        <v>46711067.15</v>
      </c>
    </row>
    <row r="244" hidden="1">
      <c r="A244" t="n">
        <v>2022</v>
      </c>
      <c r="B244" t="inlineStr">
        <is>
          <t>GCO</t>
        </is>
      </c>
      <c r="C244" t="inlineStr">
        <is>
          <t>Ilménite</t>
        </is>
      </c>
      <c r="D244" t="inlineStr">
        <is>
          <t>Tonne</t>
        </is>
      </c>
      <c r="E244" s="3" t="n">
        <v>133804</v>
      </c>
      <c r="F244" s="3" t="n">
        <v>28951526564</v>
      </c>
      <c r="G244" t="inlineStr">
        <is>
          <t>FCFA</t>
        </is>
      </c>
      <c r="H244" s="24" t="n">
        <v>623.76</v>
      </c>
      <c r="I244" s="25" t="n">
        <v>28951526564</v>
      </c>
      <c r="J244" s="25" t="n">
        <v>46414528.93</v>
      </c>
    </row>
    <row r="245" hidden="1">
      <c r="A245" t="n">
        <v>2022</v>
      </c>
      <c r="B245" t="inlineStr">
        <is>
          <t>COGECA</t>
        </is>
      </c>
      <c r="C245" t="inlineStr">
        <is>
          <t>Calcaire</t>
        </is>
      </c>
      <c r="D245" t="inlineStr">
        <is>
          <t>Mètre cube</t>
        </is>
      </c>
      <c r="E245" s="3" t="n">
        <v>1599934</v>
      </c>
      <c r="F245" s="3" t="n">
        <v>7999670000</v>
      </c>
      <c r="G245" t="inlineStr">
        <is>
          <t>FCFA</t>
        </is>
      </c>
      <c r="H245" s="24" t="n">
        <v>623.76</v>
      </c>
      <c r="I245" s="25" t="n">
        <v>7999670000</v>
      </c>
      <c r="J245" s="25" t="n">
        <v>12824916.63</v>
      </c>
    </row>
    <row r="246" hidden="1">
      <c r="A246" t="n">
        <v>2022</v>
      </c>
      <c r="B246" t="inlineStr">
        <is>
          <t>SOCOCIM</t>
        </is>
      </c>
      <c r="C246" t="inlineStr">
        <is>
          <t>Calcaire</t>
        </is>
      </c>
      <c r="D246" t="inlineStr">
        <is>
          <t>Tonne</t>
        </is>
      </c>
      <c r="E246" s="3" t="n">
        <v>762283</v>
      </c>
      <c r="F246" s="3" t="n">
        <v>1673211185</v>
      </c>
      <c r="G246" t="inlineStr">
        <is>
          <t>FCFA</t>
        </is>
      </c>
      <c r="H246" s="24" t="n">
        <v>623.76</v>
      </c>
      <c r="I246" s="25" t="n">
        <v>1673211185</v>
      </c>
      <c r="J246" s="25" t="n">
        <v>2682459.9</v>
      </c>
    </row>
    <row r="247" hidden="1">
      <c r="A247" t="n">
        <v>2022</v>
      </c>
      <c r="B247" t="inlineStr">
        <is>
          <t>GECAMINES</t>
        </is>
      </c>
      <c r="C247" t="inlineStr">
        <is>
          <t>Calcaire</t>
        </is>
      </c>
      <c r="D247" t="inlineStr">
        <is>
          <t>Tonne</t>
        </is>
      </c>
      <c r="E247" s="3" t="n">
        <v>436732</v>
      </c>
      <c r="F247" s="3" t="n">
        <v>1574493518</v>
      </c>
      <c r="G247" t="inlineStr">
        <is>
          <t>FCFA</t>
        </is>
      </c>
      <c r="H247" s="24" t="n">
        <v>623.76</v>
      </c>
      <c r="I247" s="25" t="n">
        <v>1574493518</v>
      </c>
      <c r="J247" s="25" t="n">
        <v>2524197.64</v>
      </c>
    </row>
    <row r="248" hidden="1">
      <c r="A248" t="n">
        <v>2022</v>
      </c>
      <c r="B248" t="inlineStr">
        <is>
          <t>SOCOCIM</t>
        </is>
      </c>
      <c r="C248" t="inlineStr">
        <is>
          <t>Calcaire</t>
        </is>
      </c>
      <c r="D248" t="inlineStr">
        <is>
          <t>Tonne</t>
        </is>
      </c>
      <c r="E248" s="3" t="n">
        <v>140987</v>
      </c>
      <c r="F248" s="3" t="n">
        <v>309466465</v>
      </c>
      <c r="G248" t="inlineStr">
        <is>
          <t>FCFA</t>
        </is>
      </c>
      <c r="H248" s="24" t="n">
        <v>623.76</v>
      </c>
      <c r="I248" s="25" t="n">
        <v>309466465</v>
      </c>
      <c r="J248" s="25" t="n">
        <v>496130.67</v>
      </c>
    </row>
    <row r="249" hidden="1">
      <c r="A249" t="n">
        <v>2022</v>
      </c>
      <c r="B249" t="inlineStr">
        <is>
          <t>CDS</t>
        </is>
      </c>
      <c r="C249" t="inlineStr">
        <is>
          <t>Calcaire</t>
        </is>
      </c>
      <c r="D249" t="inlineStr">
        <is>
          <t>Tonne</t>
        </is>
      </c>
      <c r="E249" s="3" t="n">
        <v>2902226</v>
      </c>
      <c r="F249" t="inlineStr">
        <is>
          <t>NC</t>
        </is>
      </c>
      <c r="G249" t="inlineStr">
        <is>
          <t>FCFA</t>
        </is>
      </c>
      <c r="H249" s="24" t="n">
        <v>623.76</v>
      </c>
    </row>
    <row r="250" hidden="1">
      <c r="A250" t="n">
        <v>2022</v>
      </c>
      <c r="B250" t="inlineStr">
        <is>
          <t>GCO</t>
        </is>
      </c>
      <c r="C250" t="inlineStr">
        <is>
          <t>Ilménite</t>
        </is>
      </c>
      <c r="D250" t="inlineStr">
        <is>
          <t>Tonne</t>
        </is>
      </c>
      <c r="E250" s="3" t="n">
        <v>35551</v>
      </c>
      <c r="F250" s="3" t="n">
        <v>7543497575</v>
      </c>
      <c r="G250" t="inlineStr">
        <is>
          <t>FCFA</t>
        </is>
      </c>
      <c r="H250" s="24" t="n">
        <v>623.76</v>
      </c>
      <c r="I250" s="25" t="n">
        <v>7543497575</v>
      </c>
      <c r="J250" s="25" t="n">
        <v>12093589.8</v>
      </c>
    </row>
    <row r="251" hidden="1">
      <c r="A251" t="n">
        <v>2022</v>
      </c>
      <c r="B251" t="inlineStr">
        <is>
          <t>GCO</t>
        </is>
      </c>
      <c r="C251" t="inlineStr">
        <is>
          <t>Zircon</t>
        </is>
      </c>
      <c r="D251" t="inlineStr">
        <is>
          <t>Tonne</t>
        </is>
      </c>
      <c r="E251" s="3" t="n">
        <v>26981</v>
      </c>
      <c r="F251" s="3" t="n">
        <v>7039966533</v>
      </c>
      <c r="G251" t="inlineStr">
        <is>
          <t>FCFA</t>
        </is>
      </c>
      <c r="H251" s="24" t="n">
        <v>623.76</v>
      </c>
      <c r="I251" s="25" t="n">
        <v>7039966533</v>
      </c>
      <c r="J251" s="25" t="n">
        <v>11286338.55</v>
      </c>
    </row>
    <row r="252" hidden="1">
      <c r="A252" t="n">
        <v>2022</v>
      </c>
      <c r="B252" t="inlineStr">
        <is>
          <t>SEPHOS</t>
        </is>
      </c>
      <c r="C252" t="inlineStr">
        <is>
          <t>Phosphate</t>
        </is>
      </c>
      <c r="D252" t="inlineStr">
        <is>
          <t>Tonne</t>
        </is>
      </c>
      <c r="E252" s="3" t="n">
        <v>69006</v>
      </c>
      <c r="F252" s="3" t="n">
        <v>6091675324</v>
      </c>
      <c r="G252" t="inlineStr">
        <is>
          <t>FCFA</t>
        </is>
      </c>
      <c r="H252" s="24" t="n">
        <v>623.76</v>
      </c>
      <c r="I252" s="25" t="n">
        <v>6091675324</v>
      </c>
      <c r="J252" s="25" t="n">
        <v>9766056.369999999</v>
      </c>
    </row>
    <row r="253" hidden="1">
      <c r="A253" t="n">
        <v>2022</v>
      </c>
      <c r="B253" t="inlineStr">
        <is>
          <t>GCO</t>
        </is>
      </c>
      <c r="C253" t="inlineStr">
        <is>
          <t>Leucoxène</t>
        </is>
      </c>
      <c r="D253" t="inlineStr">
        <is>
          <t>Tonne</t>
        </is>
      </c>
      <c r="E253" s="3" t="n">
        <v>6284</v>
      </c>
      <c r="F253" s="3" t="n">
        <v>5343597553</v>
      </c>
      <c r="G253" t="inlineStr">
        <is>
          <t>FCFA</t>
        </is>
      </c>
      <c r="H253" s="24" t="n">
        <v>623.76</v>
      </c>
      <c r="I253" s="25" t="n">
        <v>5343597553</v>
      </c>
      <c r="J253" s="25" t="n">
        <v>8566752.52</v>
      </c>
    </row>
    <row r="254" hidden="1">
      <c r="A254" t="n">
        <v>2022</v>
      </c>
      <c r="B254" t="inlineStr">
        <is>
          <t>GCO</t>
        </is>
      </c>
      <c r="C254" t="inlineStr">
        <is>
          <t>Rutile</t>
        </is>
      </c>
      <c r="D254" t="inlineStr">
        <is>
          <t>Tonne</t>
        </is>
      </c>
      <c r="E254" s="3" t="n">
        <v>4203</v>
      </c>
      <c r="F254" s="3" t="n">
        <v>5251482196</v>
      </c>
      <c r="G254" t="inlineStr">
        <is>
          <t>FCFA</t>
        </is>
      </c>
      <c r="H254" s="24" t="n">
        <v>623.76</v>
      </c>
      <c r="I254" s="25" t="n">
        <v>5251482196</v>
      </c>
      <c r="J254" s="25"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4" t="n">
        <v>623.76</v>
      </c>
      <c r="I255" s="25" t="n">
        <v>4370102325</v>
      </c>
      <c r="J255" s="25" t="n">
        <v>7006063.75</v>
      </c>
    </row>
    <row r="256" hidden="1">
      <c r="A256" t="n">
        <v>2022</v>
      </c>
      <c r="B256" t="inlineStr">
        <is>
          <t>SGO</t>
        </is>
      </c>
      <c r="C256" t="inlineStr">
        <is>
          <t>Argent</t>
        </is>
      </c>
      <c r="D256" t="inlineStr">
        <is>
          <t>Tonne</t>
        </is>
      </c>
      <c r="E256" s="8" t="n">
        <v>1</v>
      </c>
      <c r="F256" s="3" t="n">
        <v>382666065</v>
      </c>
      <c r="G256" t="inlineStr">
        <is>
          <t>FCFA</t>
        </is>
      </c>
      <c r="H256" s="24" t="n">
        <v>623.76</v>
      </c>
      <c r="I256" s="25" t="n">
        <v>382666065</v>
      </c>
      <c r="J256" s="25" t="n">
        <v>613482.85</v>
      </c>
    </row>
    <row r="257" hidden="1">
      <c r="A257" t="n">
        <v>2022</v>
      </c>
      <c r="B257" t="inlineStr">
        <is>
          <t>PMC</t>
        </is>
      </c>
      <c r="C257" t="inlineStr">
        <is>
          <t>Argent</t>
        </is>
      </c>
      <c r="D257" t="inlineStr">
        <is>
          <t>Tonne</t>
        </is>
      </c>
      <c r="E257" s="8" t="n">
        <v>0.3254</v>
      </c>
      <c r="F257" s="3" t="n">
        <v>142020334</v>
      </c>
      <c r="G257" t="inlineStr">
        <is>
          <t>FCFA</t>
        </is>
      </c>
      <c r="H257" s="24" t="n">
        <v>623.76</v>
      </c>
      <c r="I257" s="25" t="n">
        <v>142020334</v>
      </c>
      <c r="J257" s="25" t="n">
        <v>227684.26</v>
      </c>
    </row>
    <row r="258" hidden="1">
      <c r="A258" t="n">
        <v>2022</v>
      </c>
      <c r="B258" t="inlineStr">
        <is>
          <t>SOCOCIM</t>
        </is>
      </c>
      <c r="C258" t="inlineStr">
        <is>
          <t>Latérite</t>
        </is>
      </c>
      <c r="D258" t="inlineStr">
        <is>
          <t>Tonne</t>
        </is>
      </c>
      <c r="E258" s="3" t="n">
        <v>101441</v>
      </c>
      <c r="F258" s="3" t="n">
        <v>395011254</v>
      </c>
      <c r="G258" t="inlineStr">
        <is>
          <t>FCFA</t>
        </is>
      </c>
      <c r="H258" s="24" t="n">
        <v>623.76</v>
      </c>
      <c r="I258" s="25" t="n">
        <v>395011254</v>
      </c>
      <c r="J258" s="25" t="n">
        <v>633274.42</v>
      </c>
    </row>
    <row r="259" hidden="1">
      <c r="A259" t="n">
        <v>2022</v>
      </c>
      <c r="B259" t="inlineStr">
        <is>
          <t>CDS</t>
        </is>
      </c>
      <c r="C259" t="inlineStr">
        <is>
          <t>Latérite</t>
        </is>
      </c>
      <c r="D259" t="inlineStr">
        <is>
          <t>Tonne</t>
        </is>
      </c>
      <c r="E259" s="3" t="n">
        <v>82473</v>
      </c>
      <c r="F259" t="inlineStr">
        <is>
          <t>NC</t>
        </is>
      </c>
      <c r="G259" t="inlineStr">
        <is>
          <t>FCFA</t>
        </is>
      </c>
      <c r="H259" s="24" t="n">
        <v>623.76</v>
      </c>
    </row>
    <row r="260" hidden="1">
      <c r="A260" t="n">
        <v>2022</v>
      </c>
      <c r="B260" t="inlineStr">
        <is>
          <t>CDS</t>
        </is>
      </c>
      <c r="C260" t="inlineStr">
        <is>
          <t>Argile</t>
        </is>
      </c>
      <c r="D260" t="inlineStr">
        <is>
          <t>Tonne</t>
        </is>
      </c>
      <c r="E260" s="3" t="n">
        <v>400578</v>
      </c>
      <c r="F260" t="inlineStr">
        <is>
          <t>NC</t>
        </is>
      </c>
      <c r="G260" t="inlineStr">
        <is>
          <t>FCFA</t>
        </is>
      </c>
      <c r="H260" s="24" t="n">
        <v>623.76</v>
      </c>
    </row>
    <row r="261" hidden="1">
      <c r="A261" t="n">
        <v>2022</v>
      </c>
      <c r="B261" t="inlineStr">
        <is>
          <t>GH MINING</t>
        </is>
      </c>
      <c r="C261" t="inlineStr">
        <is>
          <t>Manganèse</t>
        </is>
      </c>
      <c r="D261" t="inlineStr">
        <is>
          <t>Tonne</t>
        </is>
      </c>
      <c r="E261" s="3" t="n">
        <v>31092</v>
      </c>
      <c r="F261" t="inlineStr">
        <is>
          <t>NC</t>
        </is>
      </c>
      <c r="G261" t="inlineStr">
        <is>
          <t>FCFA</t>
        </is>
      </c>
      <c r="H261" s="24" t="n">
        <v>623.76</v>
      </c>
    </row>
    <row r="262" hidden="1">
      <c r="A262" t="n">
        <v>2023</v>
      </c>
      <c r="B262" t="inlineStr">
        <is>
          <t>SGO</t>
        </is>
      </c>
      <c r="C262" t="inlineStr">
        <is>
          <t>Or</t>
        </is>
      </c>
      <c r="D262" t="inlineStr">
        <is>
          <t>Tonne</t>
        </is>
      </c>
      <c r="E262" s="8" t="n">
        <v>9.13446907</v>
      </c>
      <c r="F262" s="3" t="n">
        <v>345263735282</v>
      </c>
      <c r="G262" t="inlineStr">
        <is>
          <t>FCFA</t>
        </is>
      </c>
      <c r="H262" s="24" t="n">
        <v>606.5599999999999</v>
      </c>
      <c r="I262" s="25" t="n">
        <v>345263735282</v>
      </c>
      <c r="J262" s="25" t="n">
        <v>569216129.12</v>
      </c>
    </row>
    <row r="263" hidden="1">
      <c r="A263" t="n">
        <v>2023</v>
      </c>
      <c r="B263" t="inlineStr">
        <is>
          <t>SGO</t>
        </is>
      </c>
      <c r="C263" t="inlineStr">
        <is>
          <t>Argent</t>
        </is>
      </c>
      <c r="D263" t="inlineStr">
        <is>
          <t>Tonne</t>
        </is>
      </c>
      <c r="E263" s="8" t="n">
        <v>0.70399609</v>
      </c>
      <c r="F263" s="3" t="n">
        <v>316892931</v>
      </c>
      <c r="G263" t="inlineStr">
        <is>
          <t>FCFA</t>
        </is>
      </c>
      <c r="H263" s="24" t="n">
        <v>606.5599999999999</v>
      </c>
      <c r="I263" s="25" t="n">
        <v>316892931</v>
      </c>
      <c r="J263" s="25" t="n">
        <v>522442.84</v>
      </c>
    </row>
    <row r="264" hidden="1">
      <c r="A264" t="n">
        <v>2023</v>
      </c>
      <c r="B264" t="inlineStr">
        <is>
          <t>SOCOCIM</t>
        </is>
      </c>
      <c r="C264" t="inlineStr">
        <is>
          <t>Ciment</t>
        </is>
      </c>
      <c r="D264" t="inlineStr">
        <is>
          <t>Tonne</t>
        </is>
      </c>
      <c r="E264" s="3" t="n">
        <v>3234740</v>
      </c>
      <c r="F264" s="3" t="n">
        <v>165903277672</v>
      </c>
      <c r="G264" t="inlineStr">
        <is>
          <t>FCFA</t>
        </is>
      </c>
      <c r="H264" s="24" t="n">
        <v>606.5599999999999</v>
      </c>
      <c r="I264" s="25" t="n">
        <v>165903277672</v>
      </c>
      <c r="J264" s="25" t="n">
        <v>273515031.77</v>
      </c>
    </row>
    <row r="265" hidden="1">
      <c r="A265" t="n">
        <v>2023</v>
      </c>
      <c r="B265" t="inlineStr">
        <is>
          <t>SOCOCIM</t>
        </is>
      </c>
      <c r="C265" t="inlineStr">
        <is>
          <t>Clinker</t>
        </is>
      </c>
      <c r="D265" t="inlineStr">
        <is>
          <t>Tonne</t>
        </is>
      </c>
      <c r="E265" s="3" t="n">
        <v>1728988</v>
      </c>
      <c r="F265" s="3" t="n">
        <v>64837062375</v>
      </c>
      <c r="G265" t="inlineStr">
        <is>
          <t>FCFA</t>
        </is>
      </c>
      <c r="H265" s="24" t="n">
        <v>606.5599999999999</v>
      </c>
      <c r="I265" s="25" t="n">
        <v>64837062375</v>
      </c>
      <c r="J265" s="25" t="n">
        <v>106893073.03</v>
      </c>
    </row>
    <row r="266" hidden="1">
      <c r="A266" t="n">
        <v>2023</v>
      </c>
      <c r="B266" t="inlineStr">
        <is>
          <t>SOCOCIM</t>
        </is>
      </c>
      <c r="C266" t="inlineStr">
        <is>
          <t>Marno-Calcaire</t>
        </is>
      </c>
      <c r="D266" t="inlineStr">
        <is>
          <t>Tonne</t>
        </is>
      </c>
      <c r="E266" s="3" t="n">
        <v>2044047</v>
      </c>
      <c r="F266" t="inlineStr">
        <is>
          <t>NC</t>
        </is>
      </c>
      <c r="G266" t="inlineStr">
        <is>
          <t>FCFA</t>
        </is>
      </c>
      <c r="H266" s="24" t="n">
        <v>606.5599999999999</v>
      </c>
    </row>
    <row r="267" hidden="1">
      <c r="A267" t="n">
        <v>2023</v>
      </c>
      <c r="B267" t="inlineStr">
        <is>
          <t>SOCOCIM</t>
        </is>
      </c>
      <c r="C267" t="inlineStr">
        <is>
          <t>Calcaire</t>
        </is>
      </c>
      <c r="D267" t="inlineStr">
        <is>
          <t>Tonne</t>
        </is>
      </c>
      <c r="E267" s="3" t="n">
        <v>854286</v>
      </c>
      <c r="F267" t="inlineStr">
        <is>
          <t>NC</t>
        </is>
      </c>
      <c r="G267" t="inlineStr">
        <is>
          <t>FCFA</t>
        </is>
      </c>
      <c r="H267" s="24" t="n">
        <v>606.5599999999999</v>
      </c>
    </row>
    <row r="268" hidden="1">
      <c r="A268" t="n">
        <v>2023</v>
      </c>
      <c r="B268" t="inlineStr">
        <is>
          <t>SOCOCIM</t>
        </is>
      </c>
      <c r="C268" t="inlineStr">
        <is>
          <t>Calcaire</t>
        </is>
      </c>
      <c r="D268" t="inlineStr">
        <is>
          <t>Tonne</t>
        </is>
      </c>
      <c r="E268" s="3" t="n">
        <v>91543</v>
      </c>
      <c r="F268" t="inlineStr">
        <is>
          <t>NC</t>
        </is>
      </c>
      <c r="G268" t="inlineStr">
        <is>
          <t>FCFA</t>
        </is>
      </c>
      <c r="H268" s="24" t="n">
        <v>606.5599999999999</v>
      </c>
    </row>
    <row r="269" hidden="1">
      <c r="A269" t="n">
        <v>2023</v>
      </c>
      <c r="B269" t="inlineStr">
        <is>
          <t>SOCOCIM</t>
        </is>
      </c>
      <c r="C269" t="inlineStr">
        <is>
          <t>Latérite</t>
        </is>
      </c>
      <c r="D269" t="inlineStr">
        <is>
          <t>Tonne</t>
        </is>
      </c>
      <c r="E269" s="3" t="n">
        <v>96654</v>
      </c>
      <c r="F269" t="inlineStr">
        <is>
          <t>NC</t>
        </is>
      </c>
      <c r="G269" t="inlineStr">
        <is>
          <t>FCFA</t>
        </is>
      </c>
      <c r="H269" s="24" t="n">
        <v>606.5599999999999</v>
      </c>
    </row>
    <row r="270" hidden="1">
      <c r="A270" t="n">
        <v>2023</v>
      </c>
      <c r="B270" t="inlineStr">
        <is>
          <t>PMC</t>
        </is>
      </c>
      <c r="C270" t="inlineStr">
        <is>
          <t>Or</t>
        </is>
      </c>
      <c r="D270" t="inlineStr">
        <is>
          <t>Tonne</t>
        </is>
      </c>
      <c r="E270" s="8" t="n">
        <v>3.72762728</v>
      </c>
      <c r="F270" s="3" t="n">
        <v>139146872008</v>
      </c>
      <c r="G270" t="inlineStr">
        <is>
          <t>FCFA</t>
        </is>
      </c>
      <c r="H270" s="24" t="n">
        <v>606.5599999999999</v>
      </c>
      <c r="I270" s="25" t="n">
        <v>139146872008</v>
      </c>
      <c r="J270" s="25" t="n">
        <v>229403310.49</v>
      </c>
    </row>
    <row r="271" hidden="1">
      <c r="A271" t="n">
        <v>2023</v>
      </c>
      <c r="B271" t="inlineStr">
        <is>
          <t>PMC</t>
        </is>
      </c>
      <c r="C271" t="inlineStr">
        <is>
          <t>Argent</t>
        </is>
      </c>
      <c r="D271" t="inlineStr">
        <is>
          <t>Tonne</t>
        </is>
      </c>
      <c r="E271" s="8" t="n">
        <v>0.27840722</v>
      </c>
      <c r="F271" s="3" t="n">
        <v>123303770</v>
      </c>
      <c r="G271" t="inlineStr">
        <is>
          <t>FCFA</t>
        </is>
      </c>
      <c r="H271" s="24" t="n">
        <v>606.5599999999999</v>
      </c>
      <c r="I271" s="25" t="n">
        <v>123303770</v>
      </c>
      <c r="J271" s="25" t="n">
        <v>203283.71</v>
      </c>
    </row>
    <row r="272" hidden="1">
      <c r="A272" t="n">
        <v>2023</v>
      </c>
      <c r="B272" t="inlineStr">
        <is>
          <t>GCO</t>
        </is>
      </c>
      <c r="C272" t="inlineStr">
        <is>
          <t>Ilménite</t>
        </is>
      </c>
      <c r="D272" t="inlineStr">
        <is>
          <t>Tonne</t>
        </is>
      </c>
      <c r="E272" s="3" t="n">
        <v>292630</v>
      </c>
      <c r="F272" s="3" t="n">
        <v>53714417797</v>
      </c>
      <c r="G272" t="inlineStr">
        <is>
          <t>FCFA</t>
        </is>
      </c>
      <c r="H272" s="24" t="n">
        <v>606.5599999999999</v>
      </c>
      <c r="I272" s="25" t="n">
        <v>53714417797</v>
      </c>
      <c r="J272" s="25" t="n">
        <v>88555819.37</v>
      </c>
    </row>
    <row r="273" hidden="1">
      <c r="A273" t="n">
        <v>2023</v>
      </c>
      <c r="B273" t="inlineStr">
        <is>
          <t>GCO</t>
        </is>
      </c>
      <c r="C273" t="inlineStr">
        <is>
          <t>Zircon</t>
        </is>
      </c>
      <c r="D273" t="inlineStr">
        <is>
          <t>Tonne</t>
        </is>
      </c>
      <c r="E273" s="3" t="n">
        <v>28956</v>
      </c>
      <c r="F273" s="3" t="n">
        <v>33763827964</v>
      </c>
      <c r="G273" t="inlineStr">
        <is>
          <t>FCFA</t>
        </is>
      </c>
      <c r="H273" s="24" t="n">
        <v>606.5599999999999</v>
      </c>
      <c r="I273" s="25" t="n">
        <v>33763827964</v>
      </c>
      <c r="J273" s="25" t="n">
        <v>55664448.63</v>
      </c>
    </row>
    <row r="274" hidden="1">
      <c r="A274" t="n">
        <v>2023</v>
      </c>
      <c r="B274" t="inlineStr">
        <is>
          <t>GCO</t>
        </is>
      </c>
      <c r="C274" t="inlineStr">
        <is>
          <t>Zircon</t>
        </is>
      </c>
      <c r="D274" t="inlineStr">
        <is>
          <t>Tonne</t>
        </is>
      </c>
      <c r="E274" s="3" t="n">
        <v>19442</v>
      </c>
      <c r="F274" s="3" t="n">
        <v>20962173188</v>
      </c>
      <c r="G274" t="inlineStr">
        <is>
          <t>FCFA</t>
        </is>
      </c>
      <c r="H274" s="24" t="n">
        <v>606.5599999999999</v>
      </c>
      <c r="I274" s="25" t="n">
        <v>20962173188</v>
      </c>
      <c r="J274" s="25" t="n">
        <v>34559109.05</v>
      </c>
    </row>
    <row r="275" hidden="1">
      <c r="A275" t="n">
        <v>2023</v>
      </c>
      <c r="B275" t="inlineStr">
        <is>
          <t>GCO</t>
        </is>
      </c>
      <c r="C275" t="inlineStr">
        <is>
          <t>Ilménite</t>
        </is>
      </c>
      <c r="D275" t="inlineStr">
        <is>
          <t>Tonne</t>
        </is>
      </c>
      <c r="E275" s="3" t="n">
        <v>110527</v>
      </c>
      <c r="F275" s="3" t="n">
        <v>19540342890</v>
      </c>
      <c r="G275" t="inlineStr">
        <is>
          <t>FCFA</t>
        </is>
      </c>
      <c r="H275" s="24" t="n">
        <v>606.5599999999999</v>
      </c>
      <c r="I275" s="25" t="n">
        <v>19540342890</v>
      </c>
      <c r="J275" s="25" t="n">
        <v>32215020.59</v>
      </c>
    </row>
    <row r="276" hidden="1">
      <c r="A276" t="n">
        <v>2023</v>
      </c>
      <c r="B276" t="inlineStr">
        <is>
          <t>GCO</t>
        </is>
      </c>
      <c r="C276" t="inlineStr">
        <is>
          <t>Leucoxène</t>
        </is>
      </c>
      <c r="D276" t="inlineStr">
        <is>
          <t>Tonne</t>
        </is>
      </c>
      <c r="E276" s="3" t="n">
        <v>4942</v>
      </c>
      <c r="F276" s="3" t="n">
        <v>3938007343</v>
      </c>
      <c r="G276" t="inlineStr">
        <is>
          <t>FCFA</t>
        </is>
      </c>
      <c r="H276" s="24" t="n">
        <v>606.5599999999999</v>
      </c>
      <c r="I276" s="25" t="n">
        <v>3938007343</v>
      </c>
      <c r="J276" s="25" t="n">
        <v>6492362.41</v>
      </c>
    </row>
    <row r="277" hidden="1">
      <c r="A277" t="n">
        <v>2023</v>
      </c>
      <c r="B277" t="inlineStr">
        <is>
          <t>GCO</t>
        </is>
      </c>
      <c r="C277" t="inlineStr">
        <is>
          <t>Rutile</t>
        </is>
      </c>
      <c r="D277" t="inlineStr">
        <is>
          <t>Tonne</t>
        </is>
      </c>
      <c r="E277" s="3" t="n">
        <v>3081</v>
      </c>
      <c r="F277" s="3" t="n">
        <v>3635466802</v>
      </c>
      <c r="G277" t="inlineStr">
        <is>
          <t>FCFA</t>
        </is>
      </c>
      <c r="H277" s="24" t="n">
        <v>606.5599999999999</v>
      </c>
      <c r="I277" s="25" t="n">
        <v>3635466802</v>
      </c>
      <c r="J277" s="25" t="n">
        <v>5993581.51</v>
      </c>
    </row>
    <row r="278" hidden="1">
      <c r="A278" t="n">
        <v>2023</v>
      </c>
      <c r="B278" t="inlineStr">
        <is>
          <t>GCO</t>
        </is>
      </c>
      <c r="C278" t="inlineStr">
        <is>
          <t>Zircon</t>
        </is>
      </c>
      <c r="D278" t="inlineStr">
        <is>
          <t>Tonne</t>
        </is>
      </c>
      <c r="E278" s="3" t="n">
        <v>24927</v>
      </c>
      <c r="F278" s="3" t="n">
        <v>3341849743</v>
      </c>
      <c r="G278" t="inlineStr">
        <is>
          <t>FCFA</t>
        </is>
      </c>
      <c r="H278" s="24" t="n">
        <v>606.5599999999999</v>
      </c>
      <c r="I278" s="25" t="n">
        <v>3341849743</v>
      </c>
      <c r="J278" s="25" t="n">
        <v>5509512.24</v>
      </c>
    </row>
    <row r="279" hidden="1">
      <c r="A279" t="n">
        <v>2023</v>
      </c>
      <c r="B279" t="inlineStr">
        <is>
          <t>GCO</t>
        </is>
      </c>
      <c r="C279" t="inlineStr">
        <is>
          <t>Ilménite</t>
        </is>
      </c>
      <c r="D279" t="inlineStr">
        <is>
          <t>Tonne</t>
        </is>
      </c>
      <c r="E279" s="3" t="n">
        <v>18238</v>
      </c>
      <c r="F279" s="3" t="n">
        <v>2635391015</v>
      </c>
      <c r="G279" t="inlineStr">
        <is>
          <t>FCFA</t>
        </is>
      </c>
      <c r="H279" s="24" t="n">
        <v>606.5599999999999</v>
      </c>
      <c r="I279" s="25" t="n">
        <v>2635391015</v>
      </c>
      <c r="J279" s="25" t="n">
        <v>4344815.05</v>
      </c>
    </row>
    <row r="280" hidden="1">
      <c r="A280" t="n">
        <v>2023</v>
      </c>
      <c r="B280" t="inlineStr">
        <is>
          <t>DANGOTE</t>
        </is>
      </c>
      <c r="C280" t="inlineStr">
        <is>
          <t>Ciment</t>
        </is>
      </c>
      <c r="D280" t="inlineStr">
        <is>
          <t>Tonne</t>
        </is>
      </c>
      <c r="E280" s="3" t="n">
        <v>1606678</v>
      </c>
      <c r="F280" s="3" t="n">
        <v>74144976344</v>
      </c>
      <c r="G280" t="inlineStr">
        <is>
          <t>FCFA</t>
        </is>
      </c>
      <c r="H280" s="24" t="n">
        <v>606.5599999999999</v>
      </c>
      <c r="I280" s="25" t="n">
        <v>74144976344</v>
      </c>
      <c r="J280" s="25" t="n">
        <v>122238486.45</v>
      </c>
    </row>
    <row r="281" hidden="1">
      <c r="A281" t="n">
        <v>2023</v>
      </c>
      <c r="B281" t="inlineStr">
        <is>
          <t>DANGOTE</t>
        </is>
      </c>
      <c r="C281" t="inlineStr">
        <is>
          <t>Clinker</t>
        </is>
      </c>
      <c r="D281" t="inlineStr">
        <is>
          <t>Tonne</t>
        </is>
      </c>
      <c r="E281" s="3" t="n">
        <v>1098712</v>
      </c>
      <c r="F281" s="3" t="n">
        <v>45394384992</v>
      </c>
      <c r="G281" t="inlineStr">
        <is>
          <t>FCFA</t>
        </is>
      </c>
      <c r="H281" s="24" t="n">
        <v>606.5599999999999</v>
      </c>
      <c r="I281" s="25" t="n">
        <v>45394384992</v>
      </c>
      <c r="J281" s="25" t="n">
        <v>74839067.84</v>
      </c>
    </row>
    <row r="282" hidden="1">
      <c r="A282" t="n">
        <v>2023</v>
      </c>
      <c r="B282" t="inlineStr">
        <is>
          <t>ICS</t>
        </is>
      </c>
      <c r="C282" t="inlineStr">
        <is>
          <t>Phosphate</t>
        </is>
      </c>
      <c r="D282" t="inlineStr">
        <is>
          <t>Tonne</t>
        </is>
      </c>
      <c r="E282" s="3" t="n">
        <v>1882000</v>
      </c>
      <c r="F282" s="3" t="n">
        <v>67007052695</v>
      </c>
      <c r="G282" t="inlineStr">
        <is>
          <t>FCFA</t>
        </is>
      </c>
      <c r="H282" s="24" t="n">
        <v>606.5599999999999</v>
      </c>
      <c r="I282" s="25" t="n">
        <v>67007052695</v>
      </c>
      <c r="J282" s="25" t="n">
        <v>110470609.16</v>
      </c>
    </row>
    <row r="283" hidden="1">
      <c r="A283" t="n">
        <v>2023</v>
      </c>
      <c r="B283" t="inlineStr">
        <is>
          <t>SOMIVA</t>
        </is>
      </c>
      <c r="C283" t="inlineStr">
        <is>
          <t>Phosphate</t>
        </is>
      </c>
      <c r="D283" t="inlineStr">
        <is>
          <t>Tonne</t>
        </is>
      </c>
      <c r="E283" s="3" t="n">
        <v>594170</v>
      </c>
      <c r="F283" s="3" t="n">
        <v>33596052437</v>
      </c>
      <c r="G283" t="inlineStr">
        <is>
          <t>FCFA</t>
        </is>
      </c>
      <c r="H283" s="24" t="n">
        <v>606.5599999999999</v>
      </c>
      <c r="I283" s="25" t="n">
        <v>33596052437</v>
      </c>
      <c r="J283" s="25" t="n">
        <v>55387846.94</v>
      </c>
    </row>
    <row r="284" hidden="1">
      <c r="A284" t="n">
        <v>2023</v>
      </c>
      <c r="B284" t="inlineStr">
        <is>
          <t>SEPHOS</t>
        </is>
      </c>
      <c r="C284" t="inlineStr">
        <is>
          <t>Phosphate</t>
        </is>
      </c>
      <c r="D284" t="inlineStr">
        <is>
          <t>Tonne</t>
        </is>
      </c>
      <c r="E284" s="3" t="n">
        <v>119589</v>
      </c>
      <c r="F284" s="3" t="n">
        <v>9939014397</v>
      </c>
      <c r="G284" t="inlineStr">
        <is>
          <t>FCFA</t>
        </is>
      </c>
      <c r="H284" s="24" t="n">
        <v>606.5599999999999</v>
      </c>
      <c r="I284" s="25" t="n">
        <v>9939014397</v>
      </c>
      <c r="J284" s="25" t="n">
        <v>16385871.8</v>
      </c>
    </row>
    <row r="285" hidden="1">
      <c r="A285" t="n">
        <v>2023</v>
      </c>
      <c r="B285" t="inlineStr">
        <is>
          <t>SSPT</t>
        </is>
      </c>
      <c r="C285" t="inlineStr">
        <is>
          <t>Attapulgite</t>
        </is>
      </c>
      <c r="D285" t="inlineStr">
        <is>
          <t>Tonne</t>
        </is>
      </c>
      <c r="E285" s="3" t="n">
        <v>167000</v>
      </c>
      <c r="F285" s="3" t="n">
        <v>2479013182</v>
      </c>
      <c r="G285" t="inlineStr">
        <is>
          <t>FCFA</t>
        </is>
      </c>
      <c r="H285" s="24" t="n">
        <v>606.5599999999999</v>
      </c>
      <c r="I285" s="25" t="n">
        <v>2479013182</v>
      </c>
      <c r="J285" s="25" t="n">
        <v>4087004.06</v>
      </c>
    </row>
    <row r="286" hidden="1">
      <c r="A286" t="n">
        <v>2023</v>
      </c>
      <c r="B286" t="inlineStr">
        <is>
          <t>SSPT</t>
        </is>
      </c>
      <c r="C286" t="inlineStr">
        <is>
          <t>Attapulgite</t>
        </is>
      </c>
      <c r="D286" t="inlineStr">
        <is>
          <t>Tonne</t>
        </is>
      </c>
      <c r="E286" s="3" t="n">
        <v>7613</v>
      </c>
      <c r="F286" s="3" t="n">
        <v>433598048</v>
      </c>
      <c r="G286" t="inlineStr">
        <is>
          <t>FCFA</t>
        </is>
      </c>
      <c r="H286" s="24" t="n">
        <v>606.5599999999999</v>
      </c>
      <c r="I286" s="25" t="n">
        <v>433598048</v>
      </c>
      <c r="J286" s="25" t="n">
        <v>714847.74</v>
      </c>
    </row>
    <row r="287" hidden="1">
      <c r="A287" t="n">
        <v>2023</v>
      </c>
      <c r="B287" t="inlineStr">
        <is>
          <t>SSPT</t>
        </is>
      </c>
      <c r="C287" t="inlineStr">
        <is>
          <t>Phosphate</t>
        </is>
      </c>
      <c r="D287" t="inlineStr">
        <is>
          <t>Tonne</t>
        </is>
      </c>
      <c r="E287" s="3" t="n">
        <v>429</v>
      </c>
      <c r="F287" s="3" t="n">
        <v>29050872</v>
      </c>
      <c r="G287" t="inlineStr">
        <is>
          <t>FCFA</t>
        </is>
      </c>
      <c r="H287" s="24" t="n">
        <v>606.5599999999999</v>
      </c>
      <c r="I287" s="25" t="n">
        <v>29050872</v>
      </c>
      <c r="J287" s="25" t="n">
        <v>47894.47</v>
      </c>
    </row>
    <row r="288" hidden="1">
      <c r="A288" t="n">
        <v>2023</v>
      </c>
      <c r="B288" t="inlineStr">
        <is>
          <t>BMCC</t>
        </is>
      </c>
      <c r="C288" t="inlineStr">
        <is>
          <t>Phosphate</t>
        </is>
      </c>
      <c r="D288" t="inlineStr">
        <is>
          <t>NC</t>
        </is>
      </c>
      <c r="E288" s="3" t="n">
        <v>252625</v>
      </c>
      <c r="F288" t="inlineStr">
        <is>
          <t>NC</t>
        </is>
      </c>
      <c r="G288" t="inlineStr">
        <is>
          <t>FCFA</t>
        </is>
      </c>
      <c r="H288" s="24" t="n">
        <v>606.5599999999999</v>
      </c>
    </row>
    <row r="289" hidden="1">
      <c r="A289" t="n">
        <v>2023</v>
      </c>
      <c r="B289" t="inlineStr">
        <is>
          <t>CDS</t>
        </is>
      </c>
      <c r="C289" t="inlineStr">
        <is>
          <t>Calcaire</t>
        </is>
      </c>
      <c r="D289" t="inlineStr">
        <is>
          <t>Tonne</t>
        </is>
      </c>
      <c r="E289" s="3" t="n">
        <v>4242786</v>
      </c>
      <c r="F289" t="inlineStr">
        <is>
          <t>NC</t>
        </is>
      </c>
      <c r="G289" t="inlineStr">
        <is>
          <t>FCFA</t>
        </is>
      </c>
      <c r="H289" s="24" t="n">
        <v>606.5599999999999</v>
      </c>
    </row>
    <row r="290" hidden="1">
      <c r="A290" t="n">
        <v>2023</v>
      </c>
      <c r="B290" t="inlineStr">
        <is>
          <t>CDS</t>
        </is>
      </c>
      <c r="C290" t="inlineStr">
        <is>
          <t>Argile</t>
        </is>
      </c>
      <c r="D290" t="inlineStr">
        <is>
          <t>Tonne</t>
        </is>
      </c>
      <c r="E290" s="3" t="n">
        <v>597766</v>
      </c>
      <c r="F290" t="inlineStr">
        <is>
          <t>NC</t>
        </is>
      </c>
      <c r="G290" t="inlineStr">
        <is>
          <t>FCFA</t>
        </is>
      </c>
      <c r="H290" s="24" t="n">
        <v>606.5599999999999</v>
      </c>
    </row>
    <row r="291" hidden="1">
      <c r="A291" t="n">
        <v>2023</v>
      </c>
      <c r="B291" t="inlineStr">
        <is>
          <t>CDS</t>
        </is>
      </c>
      <c r="C291" t="inlineStr">
        <is>
          <t>Latérite</t>
        </is>
      </c>
      <c r="D291" t="inlineStr">
        <is>
          <t>Tonne</t>
        </is>
      </c>
      <c r="E291" s="3" t="n">
        <v>129108</v>
      </c>
      <c r="F291" t="inlineStr">
        <is>
          <t>NC</t>
        </is>
      </c>
      <c r="G291" t="inlineStr">
        <is>
          <t>FCFA</t>
        </is>
      </c>
      <c r="H291" s="24" t="n">
        <v>606.5599999999999</v>
      </c>
    </row>
    <row r="292" hidden="1">
      <c r="A292" t="n">
        <v>2023</v>
      </c>
      <c r="B292" t="inlineStr">
        <is>
          <t>COGECA</t>
        </is>
      </c>
      <c r="C292" t="inlineStr">
        <is>
          <t>Basalte</t>
        </is>
      </c>
      <c r="D292" t="inlineStr">
        <is>
          <t>Tonne</t>
        </is>
      </c>
      <c r="E292" s="3" t="n">
        <v>2160802</v>
      </c>
      <c r="F292" t="inlineStr">
        <is>
          <t>NC</t>
        </is>
      </c>
      <c r="G292" t="inlineStr">
        <is>
          <t>FCFA</t>
        </is>
      </c>
      <c r="H292" s="24"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4" t="n">
        <v>606.5599999999999</v>
      </c>
    </row>
    <row r="294" hidden="1">
      <c r="A294" t="n">
        <v>2023</v>
      </c>
      <c r="B294" t="inlineStr">
        <is>
          <t>GECAMINES</t>
        </is>
      </c>
      <c r="C294" t="inlineStr">
        <is>
          <t>Basalte</t>
        </is>
      </c>
      <c r="D294" t="inlineStr">
        <is>
          <t>Tonne</t>
        </is>
      </c>
      <c r="E294" s="3" t="n">
        <v>559578</v>
      </c>
      <c r="F294" t="inlineStr">
        <is>
          <t>NC</t>
        </is>
      </c>
      <c r="G294" t="inlineStr">
        <is>
          <t>FCFA</t>
        </is>
      </c>
      <c r="H294" s="24" t="n">
        <v>606.5599999999999</v>
      </c>
    </row>
    <row r="295" hidden="1">
      <c r="A295" t="n">
        <v>2023</v>
      </c>
      <c r="B295" t="inlineStr">
        <is>
          <t>GECAMINES</t>
        </is>
      </c>
      <c r="C295" t="inlineStr">
        <is>
          <t>Calcaire</t>
        </is>
      </c>
      <c r="D295" t="inlineStr">
        <is>
          <t>Tonne</t>
        </is>
      </c>
      <c r="E295" s="3" t="n">
        <v>559578</v>
      </c>
      <c r="F295" t="inlineStr">
        <is>
          <t>NC</t>
        </is>
      </c>
      <c r="G295" t="inlineStr">
        <is>
          <t>FCFA</t>
        </is>
      </c>
      <c r="H295" s="24" t="n">
        <v>606.5599999999999</v>
      </c>
    </row>
    <row r="296" hidden="1">
      <c r="A296" t="n">
        <v>2023</v>
      </c>
      <c r="B296" t="inlineStr">
        <is>
          <t>TALIX</t>
        </is>
      </c>
      <c r="C296" t="inlineStr">
        <is>
          <t>Basalte</t>
        </is>
      </c>
      <c r="D296" t="inlineStr">
        <is>
          <t>Tonne</t>
        </is>
      </c>
      <c r="E296" s="3" t="n">
        <v>303961</v>
      </c>
      <c r="F296" t="inlineStr">
        <is>
          <t>NC</t>
        </is>
      </c>
      <c r="G296" t="inlineStr">
        <is>
          <t>FCFA</t>
        </is>
      </c>
      <c r="H296" s="24"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4"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4"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4" t="n">
        <v>606.5599999999999</v>
      </c>
    </row>
    <row r="300">
      <c r="A300" t="n">
        <v>2023</v>
      </c>
      <c r="B300" t="inlineStr">
        <is>
          <t>SORED MINES</t>
        </is>
      </c>
      <c r="C300" t="inlineStr">
        <is>
          <t>Or</t>
        </is>
      </c>
      <c r="D300" t="inlineStr">
        <is>
          <t>Tonne</t>
        </is>
      </c>
      <c r="E300" s="8" t="n">
        <v>0.055883</v>
      </c>
      <c r="F300" t="inlineStr">
        <is>
          <t>NC</t>
        </is>
      </c>
      <c r="G300" t="inlineStr">
        <is>
          <t>FCFA</t>
        </is>
      </c>
      <c r="H300" s="24" t="n">
        <v>606.5599999999999</v>
      </c>
      <c r="L300" s="16">
        <f>K300*0.05</f>
        <v/>
      </c>
    </row>
    <row r="301">
      <c r="A301" t="n">
        <v>2023</v>
      </c>
      <c r="B301" t="inlineStr">
        <is>
          <t>SORED MINES</t>
        </is>
      </c>
      <c r="C301" t="inlineStr">
        <is>
          <t>Argent</t>
        </is>
      </c>
      <c r="D301" t="inlineStr">
        <is>
          <t>Tonne</t>
        </is>
      </c>
      <c r="E301" s="8" t="n">
        <v>0.002999</v>
      </c>
      <c r="F301" t="inlineStr">
        <is>
          <t>NC</t>
        </is>
      </c>
      <c r="G301" t="inlineStr">
        <is>
          <t>FCFA</t>
        </is>
      </c>
      <c r="H301" s="24" t="n">
        <v>606.5599999999999</v>
      </c>
      <c r="L301" s="16">
        <f>K301*0.05</f>
        <v/>
      </c>
    </row>
    <row r="302" hidden="1">
      <c r="A302" t="n">
        <v>2024</v>
      </c>
      <c r="B302" t="inlineStr">
        <is>
          <t>ICS</t>
        </is>
      </c>
      <c r="C302" t="inlineStr">
        <is>
          <t>Acide Phosphorique</t>
        </is>
      </c>
      <c r="D302" t="inlineStr">
        <is>
          <t>Tonne</t>
        </is>
      </c>
      <c r="E302" s="3" t="n">
        <v>523009</v>
      </c>
      <c r="F302" s="3" t="n">
        <v>203916105544</v>
      </c>
      <c r="G302" t="inlineStr">
        <is>
          <t>FCFA</t>
        </is>
      </c>
      <c r="H302" s="24" t="n">
        <v>606.35</v>
      </c>
      <c r="I302" s="25" t="n">
        <v>203916105544</v>
      </c>
      <c r="J302" s="25" t="n">
        <v>336300990.42</v>
      </c>
      <c r="K302">
        <f>38000000000*Tableau1[[#This Row],[Volume produit]]</f>
        <v/>
      </c>
      <c r="L302" s="16">
        <f>K302*0.05</f>
        <v/>
      </c>
    </row>
    <row r="303" hidden="1">
      <c r="A303" t="n">
        <v>2024</v>
      </c>
      <c r="B303" t="inlineStr">
        <is>
          <t>ICS</t>
        </is>
      </c>
      <c r="C303" t="inlineStr">
        <is>
          <t>Phosphate</t>
        </is>
      </c>
      <c r="D303" t="inlineStr">
        <is>
          <t>Tonne</t>
        </is>
      </c>
      <c r="E303" s="3" t="n">
        <v>1800000</v>
      </c>
      <c r="F303" s="3" t="n">
        <v>84083231964</v>
      </c>
      <c r="G303" t="inlineStr">
        <is>
          <t>FCFA</t>
        </is>
      </c>
      <c r="H303" s="24" t="n">
        <v>606.35</v>
      </c>
      <c r="I303" s="25" t="n">
        <v>84083231964</v>
      </c>
      <c r="J303" s="25" t="n">
        <v>138671117.28</v>
      </c>
      <c r="K303">
        <f>38000000000*Tableau1[[#This Row],[Volume produit]]</f>
        <v/>
      </c>
      <c r="L303" s="16">
        <f>K303*0.05</f>
        <v/>
      </c>
    </row>
    <row r="304" hidden="1">
      <c r="A304" t="n">
        <v>2024</v>
      </c>
      <c r="B304" t="inlineStr">
        <is>
          <t>ICS</t>
        </is>
      </c>
      <c r="C304" t="inlineStr">
        <is>
          <t>Engrais</t>
        </is>
      </c>
      <c r="D304" t="inlineStr">
        <is>
          <t>Tonne</t>
        </is>
      </c>
      <c r="E304" s="3" t="n">
        <v>178554</v>
      </c>
      <c r="F304" s="3" t="n">
        <v>50933305135</v>
      </c>
      <c r="G304" t="inlineStr">
        <is>
          <t>FCFA</t>
        </is>
      </c>
      <c r="H304" s="24" t="n">
        <v>606.35</v>
      </c>
      <c r="I304" s="25" t="n">
        <v>50933305135</v>
      </c>
      <c r="J304" s="25" t="n">
        <v>83999843.55</v>
      </c>
      <c r="K304">
        <f>38000000000*Tableau1[[#This Row],[Volume produit]]</f>
        <v/>
      </c>
      <c r="L304" s="16">
        <f>K304*0.05</f>
        <v/>
      </c>
    </row>
    <row r="305" hidden="1">
      <c r="A305" t="n">
        <v>2024</v>
      </c>
      <c r="B305" t="inlineStr">
        <is>
          <t>SGO</t>
        </is>
      </c>
      <c r="C305" t="inlineStr">
        <is>
          <t>Or</t>
        </is>
      </c>
      <c r="D305" t="inlineStr">
        <is>
          <t>Tonne</t>
        </is>
      </c>
      <c r="E305" s="8" t="n">
        <v>7.12627309</v>
      </c>
      <c r="F305" s="3" t="n">
        <v>336554241516</v>
      </c>
      <c r="G305" t="inlineStr">
        <is>
          <t>FCFA</t>
        </is>
      </c>
      <c r="H305" s="24" t="n">
        <v>606.35</v>
      </c>
      <c r="I305" s="25" t="n">
        <v>336554241516</v>
      </c>
      <c r="J305" s="25" t="n">
        <v>555049462.38</v>
      </c>
      <c r="K305">
        <f>38000000000*Tableau1[[#This Row],[Volume produit]]</f>
        <v/>
      </c>
      <c r="L305" s="16">
        <f>K305*0.05</f>
        <v/>
      </c>
    </row>
    <row r="306" hidden="1">
      <c r="A306" t="n">
        <v>2024</v>
      </c>
      <c r="B306" t="inlineStr">
        <is>
          <t>SGO</t>
        </is>
      </c>
      <c r="C306" t="inlineStr">
        <is>
          <t>Argent</t>
        </is>
      </c>
      <c r="D306" t="inlineStr">
        <is>
          <t>Tonne</t>
        </is>
      </c>
      <c r="E306" s="8" t="n">
        <v>0.57389025</v>
      </c>
      <c r="F306" s="3" t="n">
        <v>311205277</v>
      </c>
      <c r="G306" t="inlineStr">
        <is>
          <t>FCFA</t>
        </is>
      </c>
      <c r="H306" s="24" t="n">
        <v>606.35</v>
      </c>
      <c r="I306" s="25" t="n">
        <v>311205277</v>
      </c>
      <c r="J306" s="25" t="n">
        <v>513243.63</v>
      </c>
      <c r="K306">
        <f>38000000000*Tableau1[[#This Row],[Volume produit]]</f>
        <v/>
      </c>
      <c r="L306" s="16">
        <f>K306*0.05</f>
        <v/>
      </c>
    </row>
    <row r="307" hidden="1">
      <c r="A307" t="n">
        <v>2024</v>
      </c>
      <c r="B307" t="inlineStr">
        <is>
          <t>SOCOCIM</t>
        </is>
      </c>
      <c r="C307" t="inlineStr">
        <is>
          <t>Ciment</t>
        </is>
      </c>
      <c r="D307" t="inlineStr">
        <is>
          <t>Tonne</t>
        </is>
      </c>
      <c r="E307" s="3" t="n">
        <v>3214627</v>
      </c>
      <c r="F307" s="3" t="n">
        <v>161254390061</v>
      </c>
      <c r="G307" t="inlineStr">
        <is>
          <t>FCFA</t>
        </is>
      </c>
      <c r="H307" s="24" t="n">
        <v>606.35</v>
      </c>
      <c r="I307" s="25" t="n">
        <v>161254390061</v>
      </c>
      <c r="J307" s="25" t="n">
        <v>265942755.93</v>
      </c>
      <c r="K307">
        <f>38000000000*Tableau1[[#This Row],[Volume produit]]</f>
        <v/>
      </c>
      <c r="L307" s="16">
        <f>K307*0.05</f>
        <v/>
      </c>
    </row>
    <row r="308" hidden="1">
      <c r="A308" t="n">
        <v>2024</v>
      </c>
      <c r="B308" t="inlineStr">
        <is>
          <t>SOCOCIM</t>
        </is>
      </c>
      <c r="C308" t="inlineStr">
        <is>
          <t>Clinker</t>
        </is>
      </c>
      <c r="D308" t="inlineStr">
        <is>
          <t>Tonne</t>
        </is>
      </c>
      <c r="E308" s="3" t="n">
        <v>1789561</v>
      </c>
      <c r="F308" s="3" t="n">
        <v>67108528871</v>
      </c>
      <c r="G308" t="inlineStr">
        <is>
          <t>FCFA</t>
        </is>
      </c>
      <c r="H308" s="24" t="n">
        <v>606.35</v>
      </c>
      <c r="I308" s="25" t="n">
        <v>67108528871</v>
      </c>
      <c r="J308" s="25" t="n">
        <v>110676224.74</v>
      </c>
      <c r="K308">
        <f>38000000000*Tableau1[[#This Row],[Volume produit]]</f>
        <v/>
      </c>
      <c r="L308" s="16">
        <f>K308*0.05</f>
        <v/>
      </c>
    </row>
    <row r="309" hidden="1">
      <c r="A309" t="n">
        <v>2024</v>
      </c>
      <c r="B309" t="inlineStr">
        <is>
          <t>SOCOCIM</t>
        </is>
      </c>
      <c r="C309" t="inlineStr">
        <is>
          <t>Marno-Calcaire</t>
        </is>
      </c>
      <c r="D309" t="inlineStr">
        <is>
          <t>Tonne</t>
        </is>
      </c>
      <c r="E309" s="3" t="n">
        <v>1900013</v>
      </c>
      <c r="F309" s="3" t="n">
        <v>4170528535</v>
      </c>
      <c r="G309" t="inlineStr">
        <is>
          <t>FCFA</t>
        </is>
      </c>
      <c r="H309" s="24" t="n">
        <v>606.35</v>
      </c>
      <c r="I309" s="25" t="n">
        <v>4170528535</v>
      </c>
      <c r="J309" s="25" t="n">
        <v>6878087.8</v>
      </c>
      <c r="K309">
        <f>38000000000*Tableau1[[#This Row],[Volume produit]]</f>
        <v/>
      </c>
      <c r="L309" s="16">
        <f>K309*0.05</f>
        <v/>
      </c>
    </row>
    <row r="310" hidden="1">
      <c r="A310" t="n">
        <v>2024</v>
      </c>
      <c r="B310" t="inlineStr">
        <is>
          <t>SOCOCIM</t>
        </is>
      </c>
      <c r="C310" t="inlineStr">
        <is>
          <t>Calcaire</t>
        </is>
      </c>
      <c r="D310" t="inlineStr">
        <is>
          <t>Tonne</t>
        </is>
      </c>
      <c r="E310" s="3" t="n">
        <v>892199</v>
      </c>
      <c r="F310" s="3" t="n">
        <v>1958376805</v>
      </c>
      <c r="G310" t="inlineStr">
        <is>
          <t>FCFA</t>
        </is>
      </c>
      <c r="H310" s="24" t="n">
        <v>606.35</v>
      </c>
      <c r="I310" s="25" t="n">
        <v>1958376805</v>
      </c>
      <c r="J310" s="25" t="n">
        <v>3229779.51</v>
      </c>
      <c r="K310">
        <f>38000000000*Tableau1[[#This Row],[Volume produit]]</f>
        <v/>
      </c>
      <c r="L310" s="16">
        <f>K310*0.05</f>
        <v/>
      </c>
    </row>
    <row r="311" hidden="1">
      <c r="A311" t="n">
        <v>2024</v>
      </c>
      <c r="B311" t="inlineStr">
        <is>
          <t>SOCOCIM</t>
        </is>
      </c>
      <c r="C311" t="inlineStr">
        <is>
          <t>Calcaire</t>
        </is>
      </c>
      <c r="D311" t="inlineStr">
        <is>
          <t>Tonne</t>
        </is>
      </c>
      <c r="E311" s="3" t="n">
        <v>131432</v>
      </c>
      <c r="F311" s="3" t="n">
        <v>288493240</v>
      </c>
      <c r="G311" t="inlineStr">
        <is>
          <t>FCFA</t>
        </is>
      </c>
      <c r="H311" s="24" t="n">
        <v>606.35</v>
      </c>
      <c r="I311" s="25" t="n">
        <v>288493240</v>
      </c>
      <c r="J311" s="25" t="n">
        <v>475786.66</v>
      </c>
      <c r="K311">
        <f>38000000000*Tableau1[[#This Row],[Volume produit]]</f>
        <v/>
      </c>
      <c r="L311" s="16">
        <f>K311*0.05</f>
        <v/>
      </c>
    </row>
    <row r="312" hidden="1">
      <c r="A312" t="n">
        <v>2024</v>
      </c>
      <c r="B312" t="inlineStr">
        <is>
          <t>SOCOCIM</t>
        </is>
      </c>
      <c r="C312" t="inlineStr">
        <is>
          <t>Latérite</t>
        </is>
      </c>
      <c r="D312" t="inlineStr">
        <is>
          <t>Tonne</t>
        </is>
      </c>
      <c r="E312" s="3" t="n">
        <v>146684</v>
      </c>
      <c r="F312" s="3" t="n">
        <v>571187496</v>
      </c>
      <c r="G312" t="inlineStr">
        <is>
          <t>FCFA</t>
        </is>
      </c>
      <c r="H312" s="24" t="n">
        <v>606.35</v>
      </c>
      <c r="I312" s="25" t="n">
        <v>571187496</v>
      </c>
      <c r="J312" s="25" t="n">
        <v>942009.5600000001</v>
      </c>
      <c r="K312">
        <f>38000000000*Tableau1[[#This Row],[Volume produit]]</f>
        <v/>
      </c>
      <c r="L312" s="16">
        <f>K312*0.05</f>
        <v/>
      </c>
    </row>
    <row r="313" hidden="1">
      <c r="A313" t="n">
        <v>2024</v>
      </c>
      <c r="B313" t="inlineStr">
        <is>
          <t>DANGOTE</t>
        </is>
      </c>
      <c r="C313" t="inlineStr">
        <is>
          <t>Ciment</t>
        </is>
      </c>
      <c r="D313" t="inlineStr">
        <is>
          <t>Tonne</t>
        </is>
      </c>
      <c r="E313" s="3" t="n">
        <v>1492805</v>
      </c>
      <c r="F313" s="3" t="n">
        <v>61676731380</v>
      </c>
      <c r="G313" t="inlineStr">
        <is>
          <t>FCFA</t>
        </is>
      </c>
      <c r="H313" s="24" t="n">
        <v>606.35</v>
      </c>
      <c r="I313" s="25" t="n">
        <v>61676731380</v>
      </c>
      <c r="J313" s="25" t="n">
        <v>101718036.41</v>
      </c>
      <c r="K313">
        <f>38000000000*Tableau1[[#This Row],[Volume produit]]</f>
        <v/>
      </c>
      <c r="L313" s="16">
        <f>K313*0.05</f>
        <v/>
      </c>
    </row>
    <row r="314" hidden="1">
      <c r="A314" t="n">
        <v>2024</v>
      </c>
      <c r="B314" t="inlineStr">
        <is>
          <t>DANGOTE</t>
        </is>
      </c>
      <c r="C314" t="inlineStr">
        <is>
          <t>Clinker</t>
        </is>
      </c>
      <c r="D314" t="inlineStr">
        <is>
          <t>Tonne</t>
        </is>
      </c>
      <c r="E314" s="3" t="n">
        <v>1157227</v>
      </c>
      <c r="F314" s="3" t="n">
        <v>53403711596</v>
      </c>
      <c r="G314" t="inlineStr">
        <is>
          <t>FCFA</t>
        </is>
      </c>
      <c r="H314" s="24" t="n">
        <v>606.35</v>
      </c>
      <c r="I314" s="25" t="n">
        <v>53403711596</v>
      </c>
      <c r="J314" s="25" t="n">
        <v>88074068.77</v>
      </c>
      <c r="K314">
        <f>38000000000*Tableau1[[#This Row],[Volume produit]]</f>
        <v/>
      </c>
      <c r="L314" s="16">
        <f>K314*0.05</f>
        <v/>
      </c>
    </row>
    <row r="315" hidden="1">
      <c r="A315" t="n">
        <v>2024</v>
      </c>
      <c r="B315" t="inlineStr">
        <is>
          <t>GCO</t>
        </is>
      </c>
      <c r="C315" t="inlineStr">
        <is>
          <t>Ilménite</t>
        </is>
      </c>
      <c r="D315" t="inlineStr">
        <is>
          <t>Tonne</t>
        </is>
      </c>
      <c r="E315" s="3" t="n">
        <v>388925</v>
      </c>
      <c r="F315" s="3" t="n">
        <v>57287214720</v>
      </c>
      <c r="G315" t="inlineStr">
        <is>
          <t>FCFA</t>
        </is>
      </c>
      <c r="H315" s="24" t="n">
        <v>606.35</v>
      </c>
      <c r="I315" s="25" t="n">
        <v>57287214720</v>
      </c>
      <c r="J315" s="25" t="n">
        <v>94478790.67</v>
      </c>
      <c r="K315">
        <f>38000000000*Tableau1[[#This Row],[Volume produit]]</f>
        <v/>
      </c>
      <c r="L315" s="16">
        <f>K315*0.05</f>
        <v/>
      </c>
    </row>
    <row r="316" hidden="1">
      <c r="A316" t="n">
        <v>2024</v>
      </c>
      <c r="B316" t="inlineStr">
        <is>
          <t>GCO</t>
        </is>
      </c>
      <c r="C316" t="inlineStr">
        <is>
          <t>Zircon</t>
        </is>
      </c>
      <c r="D316" t="inlineStr">
        <is>
          <t>Tonne</t>
        </is>
      </c>
      <c r="E316" s="3" t="n">
        <v>39119</v>
      </c>
      <c r="F316" s="3" t="n">
        <v>43395398837</v>
      </c>
      <c r="G316" t="inlineStr">
        <is>
          <t>FCFA</t>
        </is>
      </c>
      <c r="H316" s="24" t="n">
        <v>606.35</v>
      </c>
      <c r="I316" s="25" t="n">
        <v>43395398837</v>
      </c>
      <c r="J316" s="25" t="n">
        <v>71568234.25</v>
      </c>
      <c r="K316">
        <f>38000000000*Tableau1[[#This Row],[Volume produit]]</f>
        <v/>
      </c>
      <c r="L316" s="16">
        <f>K316*0.05</f>
        <v/>
      </c>
    </row>
    <row r="317" hidden="1">
      <c r="A317" t="n">
        <v>2024</v>
      </c>
      <c r="B317" t="inlineStr">
        <is>
          <t>GCO</t>
        </is>
      </c>
      <c r="C317" t="inlineStr">
        <is>
          <t>Zircon</t>
        </is>
      </c>
      <c r="D317" t="inlineStr">
        <is>
          <t>Tonne</t>
        </is>
      </c>
      <c r="E317" s="3" t="n">
        <v>28497</v>
      </c>
      <c r="F317" s="3" t="n">
        <v>29824063339</v>
      </c>
      <c r="G317" t="inlineStr">
        <is>
          <t>FCFA</t>
        </is>
      </c>
      <c r="H317" s="24" t="n">
        <v>606.35</v>
      </c>
      <c r="I317" s="25" t="n">
        <v>29824063339</v>
      </c>
      <c r="J317" s="25" t="n">
        <v>49186218.09</v>
      </c>
      <c r="K317">
        <f>38000000000*Tableau1[[#This Row],[Volume produit]]</f>
        <v/>
      </c>
      <c r="L317" s="16">
        <f>K317*0.05</f>
        <v/>
      </c>
    </row>
    <row r="318" hidden="1">
      <c r="A318" t="n">
        <v>2024</v>
      </c>
      <c r="B318" t="inlineStr">
        <is>
          <t>GCO</t>
        </is>
      </c>
      <c r="C318" t="inlineStr">
        <is>
          <t>Ilménite</t>
        </is>
      </c>
      <c r="D318" t="inlineStr">
        <is>
          <t>Tonne</t>
        </is>
      </c>
      <c r="E318" s="3" t="n">
        <v>154180</v>
      </c>
      <c r="F318" s="3" t="n">
        <v>26599636153</v>
      </c>
      <c r="G318" t="inlineStr">
        <is>
          <t>FCFA</t>
        </is>
      </c>
      <c r="H318" s="24" t="n">
        <v>606.35</v>
      </c>
      <c r="I318" s="25" t="n">
        <v>26599636153</v>
      </c>
      <c r="J318" s="25" t="n">
        <v>43868452.47</v>
      </c>
      <c r="K318">
        <f>38000000000*Tableau1[[#This Row],[Volume produit]]</f>
        <v/>
      </c>
      <c r="L318" s="16">
        <f>K318*0.05</f>
        <v/>
      </c>
    </row>
    <row r="319" hidden="1">
      <c r="A319" t="n">
        <v>2024</v>
      </c>
      <c r="B319" t="inlineStr">
        <is>
          <t>GCO</t>
        </is>
      </c>
      <c r="C319" t="inlineStr">
        <is>
          <t>Leucoxène</t>
        </is>
      </c>
      <c r="D319" t="inlineStr">
        <is>
          <t>Tonne</t>
        </is>
      </c>
      <c r="E319" s="3" t="n">
        <v>35430</v>
      </c>
      <c r="F319" s="3" t="n">
        <v>4858220469</v>
      </c>
      <c r="G319" t="inlineStr">
        <is>
          <t>FCFA</t>
        </is>
      </c>
      <c r="H319" s="24" t="n">
        <v>606.35</v>
      </c>
      <c r="I319" s="25" t="n">
        <v>4858220469</v>
      </c>
      <c r="J319" s="25" t="n">
        <v>8012237.93</v>
      </c>
      <c r="K319">
        <f>38000000000*Tableau1[[#This Row],[Volume produit]]</f>
        <v/>
      </c>
      <c r="L319" s="16">
        <f>K319*0.05</f>
        <v/>
      </c>
    </row>
    <row r="320" hidden="1">
      <c r="A320" t="n">
        <v>2024</v>
      </c>
      <c r="B320" t="inlineStr">
        <is>
          <t>GCO</t>
        </is>
      </c>
      <c r="C320" t="inlineStr">
        <is>
          <t>Zircon</t>
        </is>
      </c>
      <c r="D320" t="inlineStr">
        <is>
          <t>Tonne</t>
        </is>
      </c>
      <c r="E320" s="3" t="n">
        <v>6452</v>
      </c>
      <c r="F320" s="3" t="n">
        <v>4808031227</v>
      </c>
      <c r="G320" t="inlineStr">
        <is>
          <t>FCFA</t>
        </is>
      </c>
      <c r="H320" s="24" t="n">
        <v>606.35</v>
      </c>
      <c r="I320" s="25" t="n">
        <v>4808031227</v>
      </c>
      <c r="J320" s="25" t="n">
        <v>7929465.2</v>
      </c>
      <c r="K320">
        <f>38000000000*Tableau1[[#This Row],[Volume produit]]</f>
        <v/>
      </c>
      <c r="L320" s="16">
        <f>K320*0.05</f>
        <v/>
      </c>
    </row>
    <row r="321" hidden="1">
      <c r="A321" t="n">
        <v>2024</v>
      </c>
      <c r="B321" t="inlineStr">
        <is>
          <t>GCO</t>
        </is>
      </c>
      <c r="C321" t="inlineStr">
        <is>
          <t>Rutile</t>
        </is>
      </c>
      <c r="D321" t="inlineStr">
        <is>
          <t>Tonne</t>
        </is>
      </c>
      <c r="E321" s="3" t="n">
        <v>3789</v>
      </c>
      <c r="F321" s="3" t="n">
        <v>4107632243</v>
      </c>
      <c r="G321" t="inlineStr">
        <is>
          <t>FCFA</t>
        </is>
      </c>
      <c r="H321" s="24" t="n">
        <v>606.35</v>
      </c>
      <c r="I321" s="25" t="n">
        <v>4107632243</v>
      </c>
      <c r="J321" s="25" t="n">
        <v>6774358.44</v>
      </c>
      <c r="K321">
        <f>38000000000*Tableau1[[#This Row],[Volume produit]]</f>
        <v/>
      </c>
      <c r="L321" s="16">
        <f>K321*0.05</f>
        <v/>
      </c>
    </row>
    <row r="322" hidden="1">
      <c r="A322" t="n">
        <v>2024</v>
      </c>
      <c r="B322" t="inlineStr">
        <is>
          <t>GCO</t>
        </is>
      </c>
      <c r="C322" t="inlineStr">
        <is>
          <t>Ilménite</t>
        </is>
      </c>
      <c r="D322" t="inlineStr">
        <is>
          <t>Tonne</t>
        </is>
      </c>
      <c r="E322" s="3" t="n">
        <v>27041</v>
      </c>
      <c r="F322" s="3" t="n">
        <v>3732992629</v>
      </c>
      <c r="G322" t="inlineStr">
        <is>
          <t>FCFA</t>
        </is>
      </c>
      <c r="H322" s="24" t="n">
        <v>606.35</v>
      </c>
      <c r="I322" s="25" t="n">
        <v>3732992629</v>
      </c>
      <c r="J322" s="25" t="n">
        <v>6156498.11</v>
      </c>
      <c r="K322">
        <f>38000000000*Tableau1[[#This Row],[Volume produit]]</f>
        <v/>
      </c>
      <c r="L322" s="16">
        <f>K322*0.05</f>
        <v/>
      </c>
    </row>
    <row r="323" hidden="1">
      <c r="A323" t="n">
        <v>2024</v>
      </c>
      <c r="B323" t="inlineStr">
        <is>
          <t>PMC</t>
        </is>
      </c>
      <c r="C323" t="inlineStr">
        <is>
          <t>Or</t>
        </is>
      </c>
      <c r="D323" t="inlineStr">
        <is>
          <t>Tonne</t>
        </is>
      </c>
      <c r="E323" s="8" t="n">
        <v>3.85512043</v>
      </c>
      <c r="F323" s="3" t="n">
        <v>83475795667</v>
      </c>
      <c r="G323" t="inlineStr">
        <is>
          <t>FCFA</t>
        </is>
      </c>
      <c r="H323" s="24" t="n">
        <v>606.35</v>
      </c>
      <c r="I323" s="25" t="n">
        <v>83475795667</v>
      </c>
      <c r="J323" s="25" t="n">
        <v>137669325.75</v>
      </c>
      <c r="K323">
        <f>38000000000*Tableau1[[#This Row],[Volume produit]]</f>
        <v/>
      </c>
      <c r="L323" s="16">
        <f>K323*0.05</f>
        <v/>
      </c>
    </row>
    <row r="324" hidden="1">
      <c r="A324" t="n">
        <v>2024</v>
      </c>
      <c r="B324" t="inlineStr">
        <is>
          <t>SOMIVA</t>
        </is>
      </c>
      <c r="C324" t="inlineStr">
        <is>
          <t>Phosphate</t>
        </is>
      </c>
      <c r="D324" t="inlineStr">
        <is>
          <t>Tonne</t>
        </is>
      </c>
      <c r="E324" s="3" t="n">
        <v>205160</v>
      </c>
      <c r="F324" s="3" t="n">
        <v>17975741206</v>
      </c>
      <c r="G324" t="inlineStr">
        <is>
          <t>FCFA</t>
        </is>
      </c>
      <c r="H324" s="24" t="n">
        <v>606.35</v>
      </c>
      <c r="I324" s="25" t="n">
        <v>17975741206</v>
      </c>
      <c r="J324" s="25" t="n">
        <v>29645817.11</v>
      </c>
      <c r="K324">
        <f>38000000000*Tableau1[[#This Row],[Volume produit]]</f>
        <v/>
      </c>
      <c r="L324" s="16">
        <f>K324*0.05</f>
        <v/>
      </c>
    </row>
    <row r="325" hidden="1">
      <c r="A325" t="n">
        <v>2024</v>
      </c>
      <c r="B325" t="inlineStr">
        <is>
          <t>SEPHOS</t>
        </is>
      </c>
      <c r="C325" t="inlineStr">
        <is>
          <t>Phosphate</t>
        </is>
      </c>
      <c r="D325" t="inlineStr">
        <is>
          <t>Tonne</t>
        </is>
      </c>
      <c r="E325" s="3" t="n">
        <v>163076</v>
      </c>
      <c r="F325" s="3" t="n">
        <v>12974642242</v>
      </c>
      <c r="G325" t="inlineStr">
        <is>
          <t>FCFA</t>
        </is>
      </c>
      <c r="H325" s="24" t="n">
        <v>606.35</v>
      </c>
      <c r="I325" s="25" t="n">
        <v>12974642242</v>
      </c>
      <c r="J325" s="25" t="n">
        <v>21397942.18</v>
      </c>
      <c r="K325">
        <f>38000000000*Tableau1[[#This Row],[Volume produit]]</f>
        <v/>
      </c>
      <c r="L325" s="16">
        <f>K325*0.05</f>
        <v/>
      </c>
    </row>
    <row r="326" hidden="1">
      <c r="A326" t="n">
        <v>2024</v>
      </c>
      <c r="B326" t="inlineStr">
        <is>
          <t>SSPT</t>
        </is>
      </c>
      <c r="C326" t="inlineStr">
        <is>
          <t>Attapulgite</t>
        </is>
      </c>
      <c r="D326" t="inlineStr">
        <is>
          <t>Tonne</t>
        </is>
      </c>
      <c r="E326" s="3" t="n">
        <v>173895</v>
      </c>
      <c r="F326" s="3" t="n">
        <v>2670827443</v>
      </c>
      <c r="G326" t="inlineStr">
        <is>
          <t>FCFA</t>
        </is>
      </c>
      <c r="H326" s="24" t="n">
        <v>606.35</v>
      </c>
      <c r="I326" s="25" t="n">
        <v>2670827443</v>
      </c>
      <c r="J326" s="25" t="n">
        <v>4404762.01</v>
      </c>
      <c r="K326">
        <f>38000000000*Tableau1[[#This Row],[Volume produit]]</f>
        <v/>
      </c>
      <c r="L326" s="16">
        <f>K326*0.05</f>
        <v/>
      </c>
    </row>
    <row r="327" hidden="1">
      <c r="A327" t="n">
        <v>2024</v>
      </c>
      <c r="B327" t="inlineStr">
        <is>
          <t>SSPT</t>
        </is>
      </c>
      <c r="C327" t="inlineStr">
        <is>
          <t>Phosphate</t>
        </is>
      </c>
      <c r="D327" t="inlineStr">
        <is>
          <t>Tonne</t>
        </is>
      </c>
      <c r="E327" s="3" t="n">
        <v>36</v>
      </c>
      <c r="F327" s="3" t="n">
        <v>2787737</v>
      </c>
      <c r="G327" t="inlineStr">
        <is>
          <t>FCFA</t>
        </is>
      </c>
      <c r="H327" s="24" t="n">
        <v>606.35</v>
      </c>
      <c r="I327" s="25" t="n">
        <v>2787737</v>
      </c>
      <c r="J327" s="25" t="n">
        <v>4597.57</v>
      </c>
      <c r="K327">
        <f>38000000000*Tableau1[[#This Row],[Volume produit]]</f>
        <v/>
      </c>
      <c r="L327" s="16">
        <f>K327*0.05</f>
        <v/>
      </c>
    </row>
    <row r="328" hidden="1">
      <c r="A328" t="n">
        <v>2024</v>
      </c>
      <c r="B328" t="inlineStr">
        <is>
          <t>BMCC</t>
        </is>
      </c>
      <c r="C328" t="inlineStr">
        <is>
          <t>Phosphate</t>
        </is>
      </c>
      <c r="D328" t="inlineStr">
        <is>
          <t>NC</t>
        </is>
      </c>
      <c r="E328" s="3" t="n">
        <v>138298</v>
      </c>
      <c r="F328" t="inlineStr">
        <is>
          <t>NC</t>
        </is>
      </c>
      <c r="G328" t="inlineStr">
        <is>
          <t>FCFA</t>
        </is>
      </c>
      <c r="H328" s="24" t="n">
        <v>606.35</v>
      </c>
      <c r="K328">
        <f>38000000000*Tableau1[[#This Row],[Volume produit]]</f>
        <v/>
      </c>
      <c r="L328" s="16">
        <f>K328*0.05</f>
        <v/>
      </c>
    </row>
    <row r="329" hidden="1">
      <c r="A329" t="n">
        <v>2024</v>
      </c>
      <c r="B329" t="inlineStr">
        <is>
          <t>CDS</t>
        </is>
      </c>
      <c r="C329" t="inlineStr">
        <is>
          <t>Calcaire</t>
        </is>
      </c>
      <c r="D329" t="inlineStr">
        <is>
          <t>Tonne</t>
        </is>
      </c>
      <c r="E329" s="3" t="n">
        <v>5041384</v>
      </c>
      <c r="F329" t="inlineStr">
        <is>
          <t>NC</t>
        </is>
      </c>
      <c r="G329" t="inlineStr">
        <is>
          <t>FCFA</t>
        </is>
      </c>
      <c r="H329" s="24" t="n">
        <v>606.35</v>
      </c>
      <c r="K329">
        <f>38000000000*Tableau1[[#This Row],[Volume produit]]</f>
        <v/>
      </c>
      <c r="L329" s="16">
        <f>K329*0.05</f>
        <v/>
      </c>
    </row>
    <row r="330" hidden="1">
      <c r="A330" t="n">
        <v>2024</v>
      </c>
      <c r="B330" t="inlineStr">
        <is>
          <t>CDS</t>
        </is>
      </c>
      <c r="C330" t="inlineStr">
        <is>
          <t>Argile</t>
        </is>
      </c>
      <c r="D330" t="inlineStr">
        <is>
          <t>Tonne</t>
        </is>
      </c>
      <c r="E330" s="3" t="n">
        <v>700909</v>
      </c>
      <c r="F330" t="inlineStr">
        <is>
          <t>NC</t>
        </is>
      </c>
      <c r="G330" t="inlineStr">
        <is>
          <t>FCFA</t>
        </is>
      </c>
      <c r="H330" s="24" t="n">
        <v>606.35</v>
      </c>
      <c r="K330">
        <f>38000000000*Tableau1[[#This Row],[Volume produit]]</f>
        <v/>
      </c>
      <c r="L330" s="16">
        <f>K330*0.05</f>
        <v/>
      </c>
    </row>
    <row r="331" hidden="1">
      <c r="A331" t="n">
        <v>2024</v>
      </c>
      <c r="B331" t="inlineStr">
        <is>
          <t>CDS</t>
        </is>
      </c>
      <c r="C331" t="inlineStr">
        <is>
          <t>Latérite</t>
        </is>
      </c>
      <c r="D331" t="inlineStr">
        <is>
          <t>Tonne</t>
        </is>
      </c>
      <c r="E331" s="3" t="n">
        <v>124142</v>
      </c>
      <c r="F331" t="inlineStr">
        <is>
          <t>NC</t>
        </is>
      </c>
      <c r="G331" t="inlineStr">
        <is>
          <t>FCFA</t>
        </is>
      </c>
      <c r="H331" s="24" t="n">
        <v>606.35</v>
      </c>
      <c r="K331">
        <f>38000000000*Tableau1[[#This Row],[Volume produit]]</f>
        <v/>
      </c>
      <c r="L331" s="16">
        <f>K331*0.05</f>
        <v/>
      </c>
    </row>
    <row r="332" hidden="1">
      <c r="A332" t="n">
        <v>2024</v>
      </c>
      <c r="B332" t="inlineStr">
        <is>
          <t>COGECA</t>
        </is>
      </c>
      <c r="C332" t="inlineStr">
        <is>
          <t>Basalte</t>
        </is>
      </c>
      <c r="D332" t="inlineStr">
        <is>
          <t>Tonne</t>
        </is>
      </c>
      <c r="E332" s="3" t="n">
        <v>2025023</v>
      </c>
      <c r="F332" t="inlineStr">
        <is>
          <t>NC</t>
        </is>
      </c>
      <c r="G332" t="inlineStr">
        <is>
          <t>FCFA</t>
        </is>
      </c>
      <c r="H332" s="24" t="n">
        <v>606.35</v>
      </c>
      <c r="K332">
        <f>38000000000*Tableau1[[#This Row],[Volume produit]]</f>
        <v/>
      </c>
      <c r="L332" s="16">
        <f>K332*0.05</f>
        <v/>
      </c>
    </row>
    <row r="333" hidden="1">
      <c r="A333" t="n">
        <v>2024</v>
      </c>
      <c r="B333" t="inlineStr">
        <is>
          <t>COGECA</t>
        </is>
      </c>
      <c r="C333" t="inlineStr">
        <is>
          <t>Calcaire</t>
        </is>
      </c>
      <c r="D333" t="inlineStr">
        <is>
          <t>Mètre cube</t>
        </is>
      </c>
      <c r="E333" s="3" t="n">
        <v>102243</v>
      </c>
      <c r="F333" t="inlineStr">
        <is>
          <t>NC</t>
        </is>
      </c>
      <c r="G333" t="inlineStr">
        <is>
          <t>FCFA</t>
        </is>
      </c>
      <c r="H333" s="24" t="n">
        <v>606.35</v>
      </c>
      <c r="K333">
        <f>38000000000*Tableau1[[#This Row],[Volume produit]]</f>
        <v/>
      </c>
      <c r="L333" s="16">
        <f>K333*0.05</f>
        <v/>
      </c>
    </row>
    <row r="334" hidden="1">
      <c r="A334" t="n">
        <v>2024</v>
      </c>
      <c r="B334" t="inlineStr">
        <is>
          <t>GECAMINES</t>
        </is>
      </c>
      <c r="C334" t="inlineStr">
        <is>
          <t>Basalte</t>
        </is>
      </c>
      <c r="D334" t="inlineStr">
        <is>
          <t>Tonne</t>
        </is>
      </c>
      <c r="E334" s="3" t="n">
        <v>2304591</v>
      </c>
      <c r="F334" t="inlineStr">
        <is>
          <t>NC</t>
        </is>
      </c>
      <c r="G334" t="inlineStr">
        <is>
          <t>FCFA</t>
        </is>
      </c>
      <c r="H334" s="24" t="n">
        <v>606.35</v>
      </c>
      <c r="K334">
        <f>38000000000*Tableau1[[#This Row],[Volume produit]]</f>
        <v/>
      </c>
      <c r="L334" s="16">
        <f>K334*0.05</f>
        <v/>
      </c>
    </row>
    <row r="335" hidden="1">
      <c r="A335" t="n">
        <v>2024</v>
      </c>
      <c r="B335" t="inlineStr">
        <is>
          <t>GECAMINES</t>
        </is>
      </c>
      <c r="C335" t="inlineStr">
        <is>
          <t>Calcaire</t>
        </is>
      </c>
      <c r="D335" t="inlineStr">
        <is>
          <t>Tonne</t>
        </is>
      </c>
      <c r="E335" s="3" t="n">
        <v>449877</v>
      </c>
      <c r="F335" t="inlineStr">
        <is>
          <t>NC</t>
        </is>
      </c>
      <c r="G335" t="inlineStr">
        <is>
          <t>FCFA</t>
        </is>
      </c>
      <c r="H335" s="24" t="n">
        <v>606.35</v>
      </c>
      <c r="K335">
        <f>38000000000*Tableau1[[#This Row],[Volume produit]]</f>
        <v/>
      </c>
      <c r="L335" s="16">
        <f>K335*0.05</f>
        <v/>
      </c>
    </row>
    <row r="336" hidden="1">
      <c r="A336" t="n">
        <v>2024</v>
      </c>
      <c r="B336" t="inlineStr">
        <is>
          <t>TALIX</t>
        </is>
      </c>
      <c r="C336" t="inlineStr">
        <is>
          <t>Basalte</t>
        </is>
      </c>
      <c r="D336" t="inlineStr">
        <is>
          <t>Tonne</t>
        </is>
      </c>
      <c r="E336" s="3" t="n">
        <v>284800</v>
      </c>
      <c r="F336" t="inlineStr">
        <is>
          <t>NC</t>
        </is>
      </c>
      <c r="G336" t="inlineStr">
        <is>
          <t>FCFA</t>
        </is>
      </c>
      <c r="H336" s="24" t="n">
        <v>606.35</v>
      </c>
      <c r="K336">
        <f>38000000000*Tableau1[[#This Row],[Volume produit]]</f>
        <v/>
      </c>
      <c r="L336" s="16">
        <f>K336*0.05</f>
        <v/>
      </c>
    </row>
    <row r="337">
      <c r="A337" t="n">
        <v>2024</v>
      </c>
      <c r="B337" t="inlineStr">
        <is>
          <t>SORED MINES</t>
        </is>
      </c>
      <c r="C337" t="inlineStr">
        <is>
          <t>Or + Argent</t>
        </is>
      </c>
      <c r="D337" t="inlineStr">
        <is>
          <t>Tonne</t>
        </is>
      </c>
      <c r="E337" s="8" t="n">
        <v>0.051536</v>
      </c>
      <c r="F337" t="inlineStr">
        <is>
          <t>NC</t>
        </is>
      </c>
      <c r="G337" t="inlineStr">
        <is>
          <t>FCFA</t>
        </is>
      </c>
      <c r="H337" s="24" t="n">
        <v>606.35</v>
      </c>
      <c r="L337" s="16">
        <f>K337*0.05</f>
        <v/>
      </c>
    </row>
    <row r="338">
      <c r="A338" t="n">
        <v>2024</v>
      </c>
      <c r="B338" t="inlineStr">
        <is>
          <t>SORED MINES</t>
        </is>
      </c>
      <c r="C338" t="inlineStr">
        <is>
          <t>Stérile</t>
        </is>
      </c>
      <c r="D338" t="inlineStr">
        <is>
          <t>Tonne</t>
        </is>
      </c>
      <c r="E338" s="3" t="n">
        <v>91182</v>
      </c>
      <c r="F338" t="inlineStr">
        <is>
          <t>NC</t>
        </is>
      </c>
      <c r="G338" t="inlineStr">
        <is>
          <t>FCFA</t>
        </is>
      </c>
      <c r="H338" s="24" t="n">
        <v>606.35</v>
      </c>
      <c r="L338" s="16">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opLeftCell="A375" zoomScale="76" workbookViewId="0">
      <selection activeCell="F401" sqref="F401"/>
    </sheetView>
  </sheetViews>
  <sheetFormatPr baseColWidth="10" defaultRowHeight="14.5"/>
  <cols>
    <col width="8.81640625" customWidth="1" min="2" max="2"/>
    <col width="16.26953125" customWidth="1" min="3" max="3"/>
    <col width="7.453125" customWidth="1" min="4" max="4"/>
    <col width="16.1796875" customWidth="1" min="5" max="5"/>
    <col width="21.453125" customWidth="1" min="6" max="6"/>
    <col width="28.54296875" bestFit="1" customWidth="1" min="7" max="7"/>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7" t="inlineStr">
        <is>
          <t>Taux de change (FCFA/USD)</t>
        </is>
      </c>
      <c r="I1" s="17" t="inlineStr">
        <is>
          <t>Valeur exportée (FCFA)</t>
        </is>
      </c>
      <c r="J1" s="17" t="inlineStr">
        <is>
          <t>Valeur exportée (USD)</t>
        </is>
      </c>
    </row>
    <row r="2">
      <c r="A2" t="n">
        <v>2014</v>
      </c>
      <c r="B2" t="inlineStr">
        <is>
          <t>SOCOCIM</t>
        </is>
      </c>
      <c r="C2" t="inlineStr">
        <is>
          <t>Ciment</t>
        </is>
      </c>
      <c r="D2" t="inlineStr">
        <is>
          <t>Tonne</t>
        </is>
      </c>
      <c r="E2" s="3" t="n">
        <v>760</v>
      </c>
      <c r="F2" s="3" t="n">
        <v>24776000</v>
      </c>
      <c r="G2" t="inlineStr">
        <is>
          <t>Bénin</t>
        </is>
      </c>
      <c r="H2" s="24" t="n">
        <v>493.631</v>
      </c>
      <c r="I2" s="25" t="n">
        <v>24776000</v>
      </c>
      <c r="J2" s="25" t="n">
        <v>50191.34</v>
      </c>
    </row>
    <row r="3">
      <c r="A3" t="n">
        <v>2014</v>
      </c>
      <c r="B3" t="inlineStr">
        <is>
          <t>SOCOCIM</t>
        </is>
      </c>
      <c r="C3" t="inlineStr">
        <is>
          <t>Ciment</t>
        </is>
      </c>
      <c r="D3" t="inlineStr">
        <is>
          <t>Tonne</t>
        </is>
      </c>
      <c r="E3" s="3" t="n">
        <v>48809</v>
      </c>
      <c r="F3" s="3" t="n">
        <v>2181553365</v>
      </c>
      <c r="G3" t="inlineStr">
        <is>
          <t>Burkina Faso</t>
        </is>
      </c>
      <c r="H3" s="24" t="n">
        <v>493.631</v>
      </c>
      <c r="I3" s="25" t="n">
        <v>2181553365</v>
      </c>
      <c r="J3" s="25" t="n">
        <v>4419401.06</v>
      </c>
    </row>
    <row r="4">
      <c r="A4" t="n">
        <v>2014</v>
      </c>
      <c r="B4" t="inlineStr">
        <is>
          <t>SOCOCIM</t>
        </is>
      </c>
      <c r="C4" t="inlineStr">
        <is>
          <t>Ciment</t>
        </is>
      </c>
      <c r="D4" t="inlineStr">
        <is>
          <t>Tonne</t>
        </is>
      </c>
      <c r="E4" s="3" t="n">
        <v>133463</v>
      </c>
      <c r="F4" s="3" t="n">
        <v>4696811357</v>
      </c>
      <c r="G4" t="inlineStr">
        <is>
          <t>Gambie</t>
        </is>
      </c>
      <c r="H4" s="24" t="n">
        <v>493.631</v>
      </c>
      <c r="I4" s="25" t="n">
        <v>4696811357</v>
      </c>
      <c r="J4" s="25" t="n">
        <v>9514822.52</v>
      </c>
    </row>
    <row r="5">
      <c r="A5" t="n">
        <v>2014</v>
      </c>
      <c r="B5" t="inlineStr">
        <is>
          <t>SOCOCIM</t>
        </is>
      </c>
      <c r="C5" t="inlineStr">
        <is>
          <t>Ciment</t>
        </is>
      </c>
      <c r="D5" t="inlineStr">
        <is>
          <t>Tonne</t>
        </is>
      </c>
      <c r="E5" s="3" t="n">
        <v>27730</v>
      </c>
      <c r="F5" s="3" t="n">
        <v>1094219972</v>
      </c>
      <c r="G5" t="inlineStr">
        <is>
          <t>Guinée-Bissau</t>
        </is>
      </c>
      <c r="H5" s="24" t="n">
        <v>493.631</v>
      </c>
      <c r="I5" s="25" t="n">
        <v>1094219972</v>
      </c>
      <c r="J5" s="25" t="n">
        <v>2216675.96</v>
      </c>
    </row>
    <row r="6">
      <c r="A6" t="n">
        <v>2014</v>
      </c>
      <c r="B6" t="inlineStr">
        <is>
          <t>SOCOCIM</t>
        </is>
      </c>
      <c r="C6" t="inlineStr">
        <is>
          <t>Ciment</t>
        </is>
      </c>
      <c r="D6" t="inlineStr">
        <is>
          <t>Tonne</t>
        </is>
      </c>
      <c r="E6" s="3" t="n">
        <v>5757</v>
      </c>
      <c r="F6" s="3" t="n">
        <v>232039110</v>
      </c>
      <c r="G6" t="inlineStr">
        <is>
          <t>Guinée</t>
        </is>
      </c>
      <c r="H6" s="24" t="n">
        <v>493.631</v>
      </c>
      <c r="I6" s="25" t="n">
        <v>232039110</v>
      </c>
      <c r="J6" s="25" t="n">
        <v>470065.92</v>
      </c>
    </row>
    <row r="7">
      <c r="A7" t="n">
        <v>2014</v>
      </c>
      <c r="B7" t="inlineStr">
        <is>
          <t>SOCOCIM</t>
        </is>
      </c>
      <c r="C7" t="inlineStr">
        <is>
          <t>Ciment</t>
        </is>
      </c>
      <c r="D7" t="inlineStr">
        <is>
          <t>Tonne</t>
        </is>
      </c>
      <c r="E7" s="3" t="n">
        <v>675213</v>
      </c>
      <c r="F7" s="3" t="n">
        <v>25258577685</v>
      </c>
      <c r="G7" t="inlineStr">
        <is>
          <t>Mali</t>
        </is>
      </c>
      <c r="H7" s="24" t="n">
        <v>493.631</v>
      </c>
      <c r="I7" s="25" t="n">
        <v>25258577685</v>
      </c>
      <c r="J7" s="25" t="n">
        <v>51168945.4</v>
      </c>
    </row>
    <row r="8">
      <c r="A8" t="n">
        <v>2014</v>
      </c>
      <c r="B8" t="inlineStr">
        <is>
          <t>SOCOCIM</t>
        </is>
      </c>
      <c r="C8" t="inlineStr">
        <is>
          <t>Ciment</t>
        </is>
      </c>
      <c r="D8" t="inlineStr">
        <is>
          <t>Tonne</t>
        </is>
      </c>
      <c r="E8" s="3" t="n">
        <v>18550</v>
      </c>
      <c r="F8" s="3" t="n">
        <v>729472298</v>
      </c>
      <c r="G8" t="inlineStr">
        <is>
          <t>Mauritanie</t>
        </is>
      </c>
      <c r="H8" s="24" t="n">
        <v>493.631</v>
      </c>
      <c r="I8" s="25" t="n">
        <v>729472298</v>
      </c>
      <c r="J8" s="25" t="n">
        <v>1477768.41</v>
      </c>
    </row>
    <row r="9">
      <c r="A9" t="n">
        <v>2014</v>
      </c>
      <c r="B9" t="inlineStr">
        <is>
          <t>SOCOCIM</t>
        </is>
      </c>
      <c r="C9" t="inlineStr">
        <is>
          <t>Ciment</t>
        </is>
      </c>
      <c r="D9" t="inlineStr">
        <is>
          <t>Tonne</t>
        </is>
      </c>
      <c r="E9" s="3" t="n">
        <v>20550</v>
      </c>
      <c r="F9" s="3" t="n">
        <v>1087802900</v>
      </c>
      <c r="G9" t="inlineStr">
        <is>
          <t>Sierra Leone</t>
        </is>
      </c>
      <c r="H9" s="24" t="n">
        <v>493.631</v>
      </c>
      <c r="I9" s="25" t="n">
        <v>1087802900</v>
      </c>
      <c r="J9" s="25" t="n">
        <v>2203676.23</v>
      </c>
    </row>
    <row r="10">
      <c r="A10" t="n">
        <v>2014</v>
      </c>
      <c r="B10" t="inlineStr">
        <is>
          <t>SGO</t>
        </is>
      </c>
      <c r="C10" t="inlineStr">
        <is>
          <t>Or</t>
        </is>
      </c>
      <c r="D10" t="inlineStr">
        <is>
          <t>Tonne</t>
        </is>
      </c>
      <c r="E10" s="8" t="n">
        <v>6.41776699</v>
      </c>
      <c r="F10" s="3" t="n">
        <v>129315030912</v>
      </c>
      <c r="G10" t="inlineStr">
        <is>
          <t>Suisse</t>
        </is>
      </c>
      <c r="H10" s="24" t="n">
        <v>493.631</v>
      </c>
      <c r="I10" s="25" t="n">
        <v>129315030912</v>
      </c>
      <c r="J10" s="25" t="n">
        <v>261966997.44</v>
      </c>
    </row>
    <row r="11">
      <c r="A11" t="n">
        <v>2014</v>
      </c>
      <c r="B11" t="inlineStr">
        <is>
          <t>SGO</t>
        </is>
      </c>
      <c r="C11" t="inlineStr">
        <is>
          <t>Argent</t>
        </is>
      </c>
      <c r="D11" t="inlineStr">
        <is>
          <t>Tonne</t>
        </is>
      </c>
      <c r="E11" s="8" t="n">
        <v>1.15732927</v>
      </c>
      <c r="F11" s="3" t="n">
        <v>355030358</v>
      </c>
      <c r="G11" t="inlineStr">
        <is>
          <t>Suisse</t>
        </is>
      </c>
      <c r="H11" s="24" t="n">
        <v>493.631</v>
      </c>
      <c r="I11" s="25" t="n">
        <v>355030358</v>
      </c>
      <c r="J11" s="25" t="n">
        <v>719222.17</v>
      </c>
    </row>
    <row r="12">
      <c r="A12" t="n">
        <v>2014</v>
      </c>
      <c r="B12" t="inlineStr">
        <is>
          <t>CDS</t>
        </is>
      </c>
      <c r="C12" t="inlineStr">
        <is>
          <t>Ciment</t>
        </is>
      </c>
      <c r="D12" t="inlineStr">
        <is>
          <t>Tonne</t>
        </is>
      </c>
      <c r="E12" s="3" t="n">
        <v>723608</v>
      </c>
      <c r="F12" s="3" t="n">
        <v>29517422300</v>
      </c>
      <c r="G12" t="inlineStr">
        <is>
          <t>Zone UEMOA</t>
        </is>
      </c>
      <c r="H12" s="24" t="n">
        <v>493.631</v>
      </c>
      <c r="I12" s="25" t="n">
        <v>29517422300</v>
      </c>
      <c r="J12" s="25" t="n">
        <v>59796532.84</v>
      </c>
    </row>
    <row r="13">
      <c r="A13" t="n">
        <v>2014</v>
      </c>
      <c r="B13" t="inlineStr">
        <is>
          <t>CDS</t>
        </is>
      </c>
      <c r="C13" t="inlineStr">
        <is>
          <t>Ciment</t>
        </is>
      </c>
      <c r="D13" t="inlineStr">
        <is>
          <t>Tonne</t>
        </is>
      </c>
      <c r="E13" s="3" t="n">
        <v>187955</v>
      </c>
      <c r="F13" s="3" t="n">
        <v>7546716275</v>
      </c>
      <c r="G13" t="inlineStr">
        <is>
          <t>Zone hors UEMOA</t>
        </is>
      </c>
      <c r="H13" s="24" t="n">
        <v>493.631</v>
      </c>
      <c r="I13" s="25" t="n">
        <v>7546716275</v>
      </c>
      <c r="J13" s="25" t="n">
        <v>15288173.3</v>
      </c>
    </row>
    <row r="14">
      <c r="A14" t="n">
        <v>2014</v>
      </c>
      <c r="B14" t="inlineStr">
        <is>
          <t>CDS</t>
        </is>
      </c>
      <c r="C14" t="inlineStr">
        <is>
          <t>Clinker</t>
        </is>
      </c>
      <c r="D14" t="inlineStr">
        <is>
          <t>Tonne</t>
        </is>
      </c>
      <c r="E14" s="3" t="n">
        <v>284103</v>
      </c>
      <c r="F14" s="3" t="n">
        <v>7433125300</v>
      </c>
      <c r="G14" t="inlineStr">
        <is>
          <t>Zone UEMOA</t>
        </is>
      </c>
      <c r="H14" s="24" t="n">
        <v>493.631</v>
      </c>
      <c r="I14" s="25" t="n">
        <v>7433125300</v>
      </c>
      <c r="J14" s="25" t="n">
        <v>15058060.17</v>
      </c>
    </row>
    <row r="15">
      <c r="A15" t="n">
        <v>2014</v>
      </c>
      <c r="B15" t="inlineStr">
        <is>
          <t>CDS</t>
        </is>
      </c>
      <c r="C15" t="inlineStr">
        <is>
          <t>Laitier</t>
        </is>
      </c>
      <c r="D15" t="inlineStr">
        <is>
          <t>Tonne</t>
        </is>
      </c>
      <c r="E15" s="3" t="n">
        <v>5000</v>
      </c>
      <c r="F15" s="3" t="n">
        <v>150000000</v>
      </c>
      <c r="G15" t="inlineStr">
        <is>
          <t>Zone UEMOA</t>
        </is>
      </c>
      <c r="H15" s="24" t="n">
        <v>493.631</v>
      </c>
      <c r="I15" s="25" t="n">
        <v>150000000</v>
      </c>
      <c r="J15" s="25" t="n">
        <v>303870.71</v>
      </c>
    </row>
    <row r="16">
      <c r="A16" t="n">
        <v>2014</v>
      </c>
      <c r="B16" t="inlineStr">
        <is>
          <t>CDS</t>
        </is>
      </c>
      <c r="C16" t="inlineStr">
        <is>
          <t>Ciment</t>
        </is>
      </c>
      <c r="D16" t="inlineStr">
        <is>
          <t>Tonne</t>
        </is>
      </c>
      <c r="E16" s="3" t="n">
        <v>1125122</v>
      </c>
      <c r="F16" s="3" t="n">
        <v>52009447265</v>
      </c>
      <c r="G16" t="inlineStr">
        <is>
          <t>Locale</t>
        </is>
      </c>
      <c r="H16" s="24" t="n">
        <v>493.631</v>
      </c>
      <c r="I16" s="25" t="n">
        <v>52009447265</v>
      </c>
      <c r="J16" s="25" t="n">
        <v>105360982.73</v>
      </c>
    </row>
    <row r="17">
      <c r="A17" t="n">
        <v>2014</v>
      </c>
      <c r="B17" t="inlineStr">
        <is>
          <t>GCO</t>
        </is>
      </c>
      <c r="C17" t="inlineStr">
        <is>
          <t>Ilménite</t>
        </is>
      </c>
      <c r="D17" t="inlineStr">
        <is>
          <t>Tonne</t>
        </is>
      </c>
      <c r="E17" s="3" t="n">
        <v>22731</v>
      </c>
      <c r="F17" s="3" t="n">
        <v>1706220853</v>
      </c>
      <c r="G17" t="inlineStr">
        <is>
          <t>Chine</t>
        </is>
      </c>
      <c r="H17" s="24" t="n">
        <v>493.631</v>
      </c>
      <c r="I17" s="25" t="n">
        <v>1706220853</v>
      </c>
      <c r="J17" s="25" t="n">
        <v>3456470.22</v>
      </c>
    </row>
    <row r="18">
      <c r="A18" t="n">
        <v>2014</v>
      </c>
      <c r="B18" t="inlineStr">
        <is>
          <t>GCO</t>
        </is>
      </c>
      <c r="C18" t="inlineStr">
        <is>
          <t>Ilménite</t>
        </is>
      </c>
      <c r="D18" t="inlineStr">
        <is>
          <t>Tonne</t>
        </is>
      </c>
      <c r="E18" s="3" t="n">
        <v>26780</v>
      </c>
      <c r="F18" s="3" t="n">
        <v>1612094738</v>
      </c>
      <c r="G18" t="inlineStr">
        <is>
          <t>Norvège</t>
        </is>
      </c>
      <c r="H18" s="24" t="n">
        <v>493.631</v>
      </c>
      <c r="I18" s="25" t="n">
        <v>1612094738</v>
      </c>
      <c r="J18" s="25" t="n">
        <v>3265789.1</v>
      </c>
    </row>
    <row r="19">
      <c r="A19" t="n">
        <v>2014</v>
      </c>
      <c r="B19" t="inlineStr">
        <is>
          <t>GCO</t>
        </is>
      </c>
      <c r="C19" t="inlineStr">
        <is>
          <t>Ilménite</t>
        </is>
      </c>
      <c r="D19" t="inlineStr">
        <is>
          <t>Tonne</t>
        </is>
      </c>
      <c r="E19" s="3" t="n">
        <v>10103</v>
      </c>
      <c r="F19" s="3" t="n">
        <v>588316570</v>
      </c>
      <c r="G19" t="inlineStr">
        <is>
          <t>États-Unis</t>
        </is>
      </c>
      <c r="H19" s="24" t="n">
        <v>493.631</v>
      </c>
      <c r="I19" s="25" t="n">
        <v>588316570</v>
      </c>
      <c r="J19" s="25" t="n">
        <v>1191814.47</v>
      </c>
    </row>
    <row r="20">
      <c r="A20" t="n">
        <v>2014</v>
      </c>
      <c r="B20" t="inlineStr">
        <is>
          <t>GCO</t>
        </is>
      </c>
      <c r="C20" t="inlineStr">
        <is>
          <t>Ilménite</t>
        </is>
      </c>
      <c r="D20" t="inlineStr">
        <is>
          <t>Tonne</t>
        </is>
      </c>
      <c r="E20" s="3" t="n">
        <v>5343</v>
      </c>
      <c r="F20" s="3" t="n">
        <v>491507653</v>
      </c>
      <c r="G20" t="inlineStr">
        <is>
          <t>Russie</t>
        </is>
      </c>
      <c r="H20" s="24" t="n">
        <v>493.631</v>
      </c>
      <c r="I20" s="25" t="n">
        <v>491507653</v>
      </c>
      <c r="J20" s="25" t="n">
        <v>995698.51</v>
      </c>
    </row>
    <row r="21">
      <c r="A21" t="n">
        <v>2014</v>
      </c>
      <c r="B21" t="inlineStr">
        <is>
          <t>GCO</t>
        </is>
      </c>
      <c r="C21" t="inlineStr">
        <is>
          <t>Ilménite</t>
        </is>
      </c>
      <c r="D21" t="inlineStr">
        <is>
          <t>Tonne</t>
        </is>
      </c>
      <c r="E21" s="3" t="n">
        <v>9967</v>
      </c>
      <c r="F21" s="3" t="n">
        <v>791450503</v>
      </c>
      <c r="G21" t="inlineStr">
        <is>
          <t>États-Unis</t>
        </is>
      </c>
      <c r="H21" s="24" t="n">
        <v>493.631</v>
      </c>
      <c r="I21" s="25" t="n">
        <v>791450503</v>
      </c>
      <c r="J21" s="25" t="n">
        <v>1603324.15</v>
      </c>
    </row>
    <row r="22">
      <c r="A22" t="n">
        <v>2014</v>
      </c>
      <c r="B22" t="inlineStr">
        <is>
          <t>GCO</t>
        </is>
      </c>
      <c r="C22" t="inlineStr">
        <is>
          <t>Zircon</t>
        </is>
      </c>
      <c r="D22" t="inlineStr">
        <is>
          <t>Tonne</t>
        </is>
      </c>
      <c r="E22" s="3" t="n">
        <v>41</v>
      </c>
      <c r="F22" s="3" t="n">
        <v>23753062</v>
      </c>
      <c r="G22" t="inlineStr">
        <is>
          <t>Allemagne</t>
        </is>
      </c>
      <c r="H22" s="24" t="n">
        <v>493.631</v>
      </c>
      <c r="I22" s="25" t="n">
        <v>23753062</v>
      </c>
      <c r="J22" s="25" t="n">
        <v>48119.06</v>
      </c>
    </row>
    <row r="23">
      <c r="A23" t="n">
        <v>2014</v>
      </c>
      <c r="B23" t="inlineStr">
        <is>
          <t>GCO</t>
        </is>
      </c>
      <c r="C23" t="inlineStr">
        <is>
          <t>Zircon</t>
        </is>
      </c>
      <c r="D23" t="inlineStr">
        <is>
          <t>Tonne</t>
        </is>
      </c>
      <c r="E23" s="3" t="n">
        <v>20</v>
      </c>
      <c r="F23" s="3" t="n">
        <v>11874346</v>
      </c>
      <c r="G23" t="inlineStr">
        <is>
          <t>Brésil</t>
        </is>
      </c>
      <c r="H23" s="24" t="n">
        <v>493.631</v>
      </c>
      <c r="I23" s="25" t="n">
        <v>11874346</v>
      </c>
      <c r="J23" s="25" t="n">
        <v>24055.11</v>
      </c>
    </row>
    <row r="24">
      <c r="A24" t="n">
        <v>2014</v>
      </c>
      <c r="B24" t="inlineStr">
        <is>
          <t>GCO</t>
        </is>
      </c>
      <c r="C24" t="inlineStr">
        <is>
          <t>Zircon</t>
        </is>
      </c>
      <c r="D24" t="inlineStr">
        <is>
          <t>Tonne</t>
        </is>
      </c>
      <c r="E24" s="3" t="n">
        <v>101</v>
      </c>
      <c r="F24" s="3" t="n">
        <v>56947988</v>
      </c>
      <c r="G24" t="inlineStr">
        <is>
          <t>Pays-Bas</t>
        </is>
      </c>
      <c r="H24" s="24" t="n">
        <v>493.631</v>
      </c>
      <c r="I24" s="25" t="n">
        <v>56947988</v>
      </c>
      <c r="J24" s="25" t="n">
        <v>115365.5</v>
      </c>
    </row>
    <row r="25">
      <c r="A25" t="n">
        <v>2014</v>
      </c>
      <c r="B25" t="inlineStr">
        <is>
          <t>GCO</t>
        </is>
      </c>
      <c r="C25" t="inlineStr">
        <is>
          <t>Zircon</t>
        </is>
      </c>
      <c r="D25" t="inlineStr">
        <is>
          <t>Tonne</t>
        </is>
      </c>
      <c r="E25" s="3" t="n">
        <v>20</v>
      </c>
      <c r="F25" s="3" t="n">
        <v>13403460</v>
      </c>
      <c r="G25" t="inlineStr">
        <is>
          <t>Australie</t>
        </is>
      </c>
      <c r="H25" s="24" t="n">
        <v>493.631</v>
      </c>
      <c r="I25" s="25" t="n">
        <v>13403460</v>
      </c>
      <c r="J25" s="25" t="n">
        <v>27152.79</v>
      </c>
    </row>
    <row r="26">
      <c r="A26" t="n">
        <v>2014</v>
      </c>
      <c r="B26" t="inlineStr">
        <is>
          <t>GCO</t>
        </is>
      </c>
      <c r="C26" t="inlineStr">
        <is>
          <t>Zircon</t>
        </is>
      </c>
      <c r="D26" t="inlineStr">
        <is>
          <t>Tonne</t>
        </is>
      </c>
      <c r="E26" s="3" t="n">
        <v>61</v>
      </c>
      <c r="F26" s="3" t="n">
        <v>33019768</v>
      </c>
      <c r="G26" t="inlineStr">
        <is>
          <t>Italie</t>
        </is>
      </c>
      <c r="H26" s="24" t="n">
        <v>493.631</v>
      </c>
      <c r="I26" s="25" t="n">
        <v>33019768</v>
      </c>
      <c r="J26" s="25" t="n">
        <v>66891.60000000001</v>
      </c>
    </row>
    <row r="27">
      <c r="A27" t="n">
        <v>2014</v>
      </c>
      <c r="B27" t="inlineStr">
        <is>
          <t>GCO</t>
        </is>
      </c>
      <c r="C27" t="inlineStr">
        <is>
          <t>Zircon</t>
        </is>
      </c>
      <c r="D27" t="inlineStr">
        <is>
          <t>Tonne</t>
        </is>
      </c>
      <c r="E27" s="3" t="n">
        <v>987</v>
      </c>
      <c r="F27" s="3" t="n">
        <v>527417315</v>
      </c>
      <c r="G27" t="inlineStr">
        <is>
          <t>Brésil</t>
        </is>
      </c>
      <c r="H27" s="24" t="n">
        <v>493.631</v>
      </c>
      <c r="I27" s="25" t="n">
        <v>527417315</v>
      </c>
      <c r="J27" s="25" t="n">
        <v>1068444.48</v>
      </c>
    </row>
    <row r="28">
      <c r="A28" t="n">
        <v>2014</v>
      </c>
      <c r="B28" t="inlineStr">
        <is>
          <t>GCO</t>
        </is>
      </c>
      <c r="C28" t="inlineStr">
        <is>
          <t>Zircon</t>
        </is>
      </c>
      <c r="D28" t="inlineStr">
        <is>
          <t>Tonne</t>
        </is>
      </c>
      <c r="E28" s="3" t="n">
        <v>940</v>
      </c>
      <c r="F28" s="3" t="n">
        <v>481852520</v>
      </c>
      <c r="G28" t="inlineStr">
        <is>
          <t>Chine</t>
        </is>
      </c>
      <c r="H28" s="24" t="n">
        <v>493.631</v>
      </c>
      <c r="I28" s="25" t="n">
        <v>481852520</v>
      </c>
      <c r="J28" s="25" t="n">
        <v>976139.1</v>
      </c>
    </row>
    <row r="29">
      <c r="A29" t="n">
        <v>2014</v>
      </c>
      <c r="B29" t="inlineStr">
        <is>
          <t>GCO</t>
        </is>
      </c>
      <c r="C29" t="inlineStr">
        <is>
          <t>Zircon</t>
        </is>
      </c>
      <c r="D29" t="inlineStr">
        <is>
          <t>Tonne</t>
        </is>
      </c>
      <c r="E29" s="3" t="n">
        <v>61</v>
      </c>
      <c r="F29" s="3" t="n">
        <v>34330030</v>
      </c>
      <c r="G29" t="inlineStr">
        <is>
          <t>France</t>
        </is>
      </c>
      <c r="H29" s="24" t="n">
        <v>493.631</v>
      </c>
      <c r="I29" s="25" t="n">
        <v>34330030</v>
      </c>
      <c r="J29" s="25" t="n">
        <v>69545.94</v>
      </c>
    </row>
    <row r="30">
      <c r="A30" t="n">
        <v>2014</v>
      </c>
      <c r="B30" t="inlineStr">
        <is>
          <t>GCO</t>
        </is>
      </c>
      <c r="C30" t="inlineStr">
        <is>
          <t>Zircon</t>
        </is>
      </c>
      <c r="D30" t="inlineStr">
        <is>
          <t>Tonne</t>
        </is>
      </c>
      <c r="E30" s="3" t="n">
        <v>83</v>
      </c>
      <c r="F30" s="3" t="n">
        <v>43426309</v>
      </c>
      <c r="G30" t="inlineStr">
        <is>
          <t>Allemagne</t>
        </is>
      </c>
      <c r="H30" s="24" t="n">
        <v>493.631</v>
      </c>
      <c r="I30" s="25" t="n">
        <v>43426309</v>
      </c>
      <c r="J30" s="25" t="n">
        <v>87973.22</v>
      </c>
    </row>
    <row r="31">
      <c r="A31" t="n">
        <v>2014</v>
      </c>
      <c r="B31" t="inlineStr">
        <is>
          <t>GCO</t>
        </is>
      </c>
      <c r="C31" t="inlineStr">
        <is>
          <t>Zircon</t>
        </is>
      </c>
      <c r="D31" t="inlineStr">
        <is>
          <t>Tonne</t>
        </is>
      </c>
      <c r="E31" s="3" t="n">
        <v>1264</v>
      </c>
      <c r="F31" s="3" t="n">
        <v>642252953</v>
      </c>
      <c r="G31" t="inlineStr">
        <is>
          <t>Italie</t>
        </is>
      </c>
      <c r="H31" s="24" t="n">
        <v>493.631</v>
      </c>
      <c r="I31" s="25" t="n">
        <v>642252953</v>
      </c>
      <c r="J31" s="25" t="n">
        <v>1301079.05</v>
      </c>
    </row>
    <row r="32">
      <c r="A32" t="n">
        <v>2014</v>
      </c>
      <c r="B32" t="inlineStr">
        <is>
          <t>GCO</t>
        </is>
      </c>
      <c r="C32" t="inlineStr">
        <is>
          <t>Zircon</t>
        </is>
      </c>
      <c r="D32" t="inlineStr">
        <is>
          <t>Tonne</t>
        </is>
      </c>
      <c r="E32" s="3" t="n">
        <v>832</v>
      </c>
      <c r="F32" s="3" t="n">
        <v>442829671</v>
      </c>
      <c r="G32" t="inlineStr">
        <is>
          <t>Mexique</t>
        </is>
      </c>
      <c r="H32" s="24" t="n">
        <v>493.631</v>
      </c>
      <c r="I32" s="25" t="n">
        <v>442829671</v>
      </c>
      <c r="J32" s="25" t="n">
        <v>897086.4300000001</v>
      </c>
    </row>
    <row r="33">
      <c r="A33" t="n">
        <v>2014</v>
      </c>
      <c r="B33" t="inlineStr">
        <is>
          <t>GCO</t>
        </is>
      </c>
      <c r="C33" t="inlineStr">
        <is>
          <t>Zircon</t>
        </is>
      </c>
      <c r="D33" t="inlineStr">
        <is>
          <t>Tonne</t>
        </is>
      </c>
      <c r="E33" s="3" t="n">
        <v>1287</v>
      </c>
      <c r="F33" s="3" t="n">
        <v>668628456</v>
      </c>
      <c r="G33" t="inlineStr">
        <is>
          <t>Pays-Bas</t>
        </is>
      </c>
      <c r="H33" s="24" t="n">
        <v>493.631</v>
      </c>
      <c r="I33" s="25" t="n">
        <v>668628456</v>
      </c>
      <c r="J33" s="25" t="n">
        <v>1354510.67</v>
      </c>
    </row>
    <row r="34">
      <c r="A34" t="n">
        <v>2014</v>
      </c>
      <c r="B34" t="inlineStr">
        <is>
          <t>GCO</t>
        </is>
      </c>
      <c r="C34" t="inlineStr">
        <is>
          <t>Zircon</t>
        </is>
      </c>
      <c r="D34" t="inlineStr">
        <is>
          <t>Tonne</t>
        </is>
      </c>
      <c r="E34" s="3" t="n">
        <v>20</v>
      </c>
      <c r="F34" s="3" t="n">
        <v>11600734</v>
      </c>
      <c r="G34" t="inlineStr">
        <is>
          <t>Norvège</t>
        </is>
      </c>
      <c r="H34" s="24" t="n">
        <v>493.631</v>
      </c>
      <c r="I34" s="25" t="n">
        <v>11600734</v>
      </c>
      <c r="J34" s="25" t="n">
        <v>23500.82</v>
      </c>
    </row>
    <row r="35">
      <c r="A35" t="n">
        <v>2014</v>
      </c>
      <c r="B35" t="inlineStr">
        <is>
          <t>GCO</t>
        </is>
      </c>
      <c r="C35" t="inlineStr">
        <is>
          <t>Zircon</t>
        </is>
      </c>
      <c r="D35" t="inlineStr">
        <is>
          <t>Tonne</t>
        </is>
      </c>
      <c r="E35" s="3" t="n">
        <v>1391</v>
      </c>
      <c r="F35" s="3" t="n">
        <v>702353050</v>
      </c>
      <c r="G35" t="inlineStr">
        <is>
          <t>Espagne</t>
        </is>
      </c>
      <c r="H35" s="24" t="n">
        <v>493.631</v>
      </c>
      <c r="I35" s="25" t="n">
        <v>702353050</v>
      </c>
      <c r="J35" s="25" t="n">
        <v>1422830.11</v>
      </c>
    </row>
    <row r="36">
      <c r="A36" t="n">
        <v>2014</v>
      </c>
      <c r="B36" t="inlineStr">
        <is>
          <t>GCO</t>
        </is>
      </c>
      <c r="C36" t="inlineStr">
        <is>
          <t>Zircon</t>
        </is>
      </c>
      <c r="D36" t="inlineStr">
        <is>
          <t>Tonne</t>
        </is>
      </c>
      <c r="E36" s="3" t="n">
        <v>20</v>
      </c>
      <c r="F36" s="3" t="n">
        <v>10261880</v>
      </c>
      <c r="G36" t="inlineStr">
        <is>
          <t>Turquie</t>
        </is>
      </c>
      <c r="H36" s="24" t="n">
        <v>493.631</v>
      </c>
      <c r="I36" s="25" t="n">
        <v>10261880</v>
      </c>
      <c r="J36" s="25" t="n">
        <v>20788.56</v>
      </c>
    </row>
    <row r="37">
      <c r="A37" t="n">
        <v>2014</v>
      </c>
      <c r="B37" t="inlineStr">
        <is>
          <t>GCO</t>
        </is>
      </c>
      <c r="C37" t="inlineStr">
        <is>
          <t>Zircon</t>
        </is>
      </c>
      <c r="D37" t="inlineStr">
        <is>
          <t>Tonne</t>
        </is>
      </c>
      <c r="E37" s="3" t="n">
        <v>40</v>
      </c>
      <c r="F37" s="3" t="n">
        <v>23302935</v>
      </c>
      <c r="G37" t="inlineStr">
        <is>
          <t>États-Unis</t>
        </is>
      </c>
      <c r="H37" s="24" t="n">
        <v>493.631</v>
      </c>
      <c r="I37" s="25" t="n">
        <v>23302935</v>
      </c>
      <c r="J37" s="25" t="n">
        <v>47207.2</v>
      </c>
    </row>
    <row r="38">
      <c r="A38" t="n">
        <v>2014</v>
      </c>
      <c r="B38" t="inlineStr">
        <is>
          <t>GCO</t>
        </is>
      </c>
      <c r="C38" t="inlineStr">
        <is>
          <t>Rutile</t>
        </is>
      </c>
      <c r="D38" t="inlineStr">
        <is>
          <t>Tonne</t>
        </is>
      </c>
      <c r="E38" s="3" t="n">
        <v>162</v>
      </c>
      <c r="F38" s="3" t="n">
        <v>71852009</v>
      </c>
      <c r="G38" t="inlineStr">
        <is>
          <t>Pays-Bas</t>
        </is>
      </c>
      <c r="H38" s="24" t="n">
        <v>493.631</v>
      </c>
      <c r="I38" s="25" t="n">
        <v>71852009</v>
      </c>
      <c r="J38" s="25" t="n">
        <v>145558.14</v>
      </c>
    </row>
    <row r="39">
      <c r="A39" t="n">
        <v>2014</v>
      </c>
      <c r="B39" t="inlineStr">
        <is>
          <t>SSPT</t>
        </is>
      </c>
      <c r="C39" t="inlineStr">
        <is>
          <t>Attapulgite</t>
        </is>
      </c>
      <c r="D39" t="inlineStr">
        <is>
          <t>Tonne</t>
        </is>
      </c>
      <c r="E39" s="3" t="n">
        <v>38995</v>
      </c>
      <c r="F39" s="3" t="n">
        <v>1006248166</v>
      </c>
      <c r="G39" t="inlineStr">
        <is>
          <t>Royaume-Uni</t>
        </is>
      </c>
      <c r="H39" s="24" t="n">
        <v>493.631</v>
      </c>
      <c r="I39" s="25" t="n">
        <v>1006248166</v>
      </c>
      <c r="J39" s="25" t="n">
        <v>2038462.26</v>
      </c>
    </row>
    <row r="40">
      <c r="A40" t="n">
        <v>2014</v>
      </c>
      <c r="B40" t="inlineStr">
        <is>
          <t>SSPT</t>
        </is>
      </c>
      <c r="C40" t="inlineStr">
        <is>
          <t>Attapulgite</t>
        </is>
      </c>
      <c r="D40" t="inlineStr">
        <is>
          <t>Tonne</t>
        </is>
      </c>
      <c r="E40" s="3" t="n">
        <v>40</v>
      </c>
      <c r="F40" s="3" t="n">
        <v>1305777</v>
      </c>
      <c r="G40" t="inlineStr">
        <is>
          <t>Espagne</t>
        </is>
      </c>
      <c r="H40" s="24" t="n">
        <v>493.631</v>
      </c>
      <c r="I40" s="25" t="n">
        <v>1305777</v>
      </c>
      <c r="J40" s="25" t="n">
        <v>2645.25</v>
      </c>
    </row>
    <row r="41">
      <c r="A41" t="n">
        <v>2014</v>
      </c>
      <c r="B41" t="inlineStr">
        <is>
          <t>SSPT</t>
        </is>
      </c>
      <c r="C41" t="inlineStr">
        <is>
          <t>Attapulgite</t>
        </is>
      </c>
      <c r="D41" t="inlineStr">
        <is>
          <t>Tonne</t>
        </is>
      </c>
      <c r="E41" s="3" t="n">
        <v>6025</v>
      </c>
      <c r="F41" s="3" t="n">
        <v>155166230</v>
      </c>
      <c r="G41" t="inlineStr">
        <is>
          <t>Espagne/Royaume-Uni</t>
        </is>
      </c>
      <c r="H41" s="24" t="n">
        <v>493.631</v>
      </c>
      <c r="I41" s="25" t="n">
        <v>155166230</v>
      </c>
      <c r="J41" s="25" t="n">
        <v>314336.48</v>
      </c>
    </row>
    <row r="42">
      <c r="A42" t="n">
        <v>2014</v>
      </c>
      <c r="B42" t="inlineStr">
        <is>
          <t>SSPT</t>
        </is>
      </c>
      <c r="C42" t="inlineStr">
        <is>
          <t>Attapulgite</t>
        </is>
      </c>
      <c r="D42" t="inlineStr">
        <is>
          <t>Tonne</t>
        </is>
      </c>
      <c r="E42" s="3" t="n">
        <v>25468</v>
      </c>
      <c r="F42" s="3" t="n">
        <v>656208488</v>
      </c>
      <c r="G42" t="inlineStr">
        <is>
          <t>Espagne/France</t>
        </is>
      </c>
      <c r="H42" s="24" t="n">
        <v>493.631</v>
      </c>
      <c r="I42" s="25" t="n">
        <v>656208488</v>
      </c>
      <c r="J42" s="25" t="n">
        <v>1329350.24</v>
      </c>
    </row>
    <row r="43">
      <c r="A43" t="n">
        <v>2014</v>
      </c>
      <c r="B43" t="inlineStr">
        <is>
          <t>SSPT</t>
        </is>
      </c>
      <c r="C43" t="inlineStr">
        <is>
          <t>Attapulgite</t>
        </is>
      </c>
      <c r="D43" t="inlineStr">
        <is>
          <t>Tonne</t>
        </is>
      </c>
      <c r="E43" s="3" t="n">
        <v>29118</v>
      </c>
      <c r="F43" s="3" t="n">
        <v>829721191</v>
      </c>
      <c r="G43" t="inlineStr">
        <is>
          <t>Espagne/Pays-Bas</t>
        </is>
      </c>
      <c r="H43" s="24" t="n">
        <v>493.631</v>
      </c>
      <c r="I43" s="25" t="n">
        <v>829721191</v>
      </c>
      <c r="J43" s="25" t="n">
        <v>1680853.09</v>
      </c>
    </row>
    <row r="44">
      <c r="A44" t="n">
        <v>2014</v>
      </c>
      <c r="B44" t="inlineStr">
        <is>
          <t>SSPT</t>
        </is>
      </c>
      <c r="C44" t="inlineStr">
        <is>
          <t>Phosphate</t>
        </is>
      </c>
      <c r="D44" t="inlineStr">
        <is>
          <t>Tonne</t>
        </is>
      </c>
      <c r="E44" s="3" t="n">
        <v>68597</v>
      </c>
      <c r="F44" s="3" t="n">
        <v>1997011693</v>
      </c>
      <c r="G44" t="inlineStr">
        <is>
          <t>France</t>
        </is>
      </c>
      <c r="H44" s="24" t="n">
        <v>493.631</v>
      </c>
      <c r="I44" s="25" t="n">
        <v>1997011693</v>
      </c>
      <c r="J44" s="25" t="n">
        <v>4045555.67</v>
      </c>
    </row>
    <row r="45">
      <c r="A45" t="n">
        <v>2014</v>
      </c>
      <c r="B45" t="inlineStr">
        <is>
          <t>SSPT</t>
        </is>
      </c>
      <c r="C45" t="inlineStr">
        <is>
          <t>Phosphate</t>
        </is>
      </c>
      <c r="D45" t="inlineStr">
        <is>
          <t>Tonne</t>
        </is>
      </c>
      <c r="E45" s="3" t="n">
        <v>18548</v>
      </c>
      <c r="F45" s="3" t="n">
        <v>563330883</v>
      </c>
      <c r="G45" t="inlineStr">
        <is>
          <t>Pays-Bas</t>
        </is>
      </c>
      <c r="H45" s="24" t="n">
        <v>493.631</v>
      </c>
      <c r="I45" s="25" t="n">
        <v>563330883</v>
      </c>
      <c r="J45" s="25" t="n">
        <v>1141198.35</v>
      </c>
    </row>
    <row r="46">
      <c r="A46" t="n">
        <v>2014</v>
      </c>
      <c r="B46" t="inlineStr">
        <is>
          <t>SSPT</t>
        </is>
      </c>
      <c r="C46" t="inlineStr">
        <is>
          <t>Phosphate</t>
        </is>
      </c>
      <c r="D46" t="inlineStr">
        <is>
          <t>Tonne</t>
        </is>
      </c>
      <c r="E46" s="3" t="n">
        <v>892</v>
      </c>
      <c r="F46" s="3" t="n">
        <v>52598228</v>
      </c>
      <c r="G46" t="inlineStr">
        <is>
          <t>Locale</t>
        </is>
      </c>
      <c r="H46" s="24" t="n">
        <v>493.631</v>
      </c>
      <c r="I46" s="25" t="n">
        <v>52598228</v>
      </c>
      <c r="J46" s="25" t="n">
        <v>106553.74</v>
      </c>
    </row>
    <row r="47">
      <c r="A47" t="n">
        <v>2014</v>
      </c>
      <c r="B47" t="inlineStr">
        <is>
          <t>SSPT</t>
        </is>
      </c>
      <c r="C47" t="inlineStr">
        <is>
          <t>Phosphate</t>
        </is>
      </c>
      <c r="D47" t="inlineStr">
        <is>
          <t>Tonne</t>
        </is>
      </c>
      <c r="E47" s="3" t="n">
        <v>6800</v>
      </c>
      <c r="F47" s="3" t="n">
        <v>320621286</v>
      </c>
      <c r="G47" t="inlineStr">
        <is>
          <t>Royaume-Uni</t>
        </is>
      </c>
      <c r="H47" s="24" t="n">
        <v>493.631</v>
      </c>
      <c r="I47" s="25" t="n">
        <v>320621286</v>
      </c>
      <c r="J47" s="25" t="n">
        <v>649516.11</v>
      </c>
    </row>
    <row r="48">
      <c r="A48" t="n">
        <v>2014</v>
      </c>
      <c r="B48" t="inlineStr">
        <is>
          <t>SSPT</t>
        </is>
      </c>
      <c r="C48" t="inlineStr">
        <is>
          <t>Phosphate</t>
        </is>
      </c>
      <c r="D48" t="inlineStr">
        <is>
          <t>Tonne</t>
        </is>
      </c>
      <c r="E48" s="3" t="n">
        <v>200</v>
      </c>
      <c r="F48" s="3" t="n">
        <v>34897000</v>
      </c>
      <c r="G48" t="inlineStr">
        <is>
          <t>Angola</t>
        </is>
      </c>
      <c r="H48" s="24" t="n">
        <v>493.631</v>
      </c>
      <c r="I48" s="25" t="n">
        <v>34897000</v>
      </c>
      <c r="J48" s="25" t="n">
        <v>70694.50999999999</v>
      </c>
    </row>
    <row r="49">
      <c r="A49" t="n">
        <v>2014</v>
      </c>
      <c r="B49" t="inlineStr">
        <is>
          <t>SSPT</t>
        </is>
      </c>
      <c r="C49" t="inlineStr">
        <is>
          <t>Phosphate</t>
        </is>
      </c>
      <c r="D49" t="inlineStr">
        <is>
          <t>Tonne</t>
        </is>
      </c>
      <c r="E49" s="3" t="n">
        <v>675</v>
      </c>
      <c r="F49" s="3" t="n">
        <v>61745850</v>
      </c>
      <c r="G49" t="inlineStr">
        <is>
          <t>Cameroun</t>
        </is>
      </c>
      <c r="H49" s="24" t="n">
        <v>493.631</v>
      </c>
      <c r="I49" s="25" t="n">
        <v>61745850</v>
      </c>
      <c r="J49" s="25" t="n">
        <v>125085.03</v>
      </c>
    </row>
    <row r="50">
      <c r="A50" t="n">
        <v>2014</v>
      </c>
      <c r="B50" t="inlineStr">
        <is>
          <t>SSPT</t>
        </is>
      </c>
      <c r="C50" t="inlineStr">
        <is>
          <t>Phosphate</t>
        </is>
      </c>
      <c r="D50" t="inlineStr">
        <is>
          <t>Tonne</t>
        </is>
      </c>
      <c r="E50" s="3" t="n">
        <v>175</v>
      </c>
      <c r="F50" s="3" t="n">
        <v>20125000</v>
      </c>
      <c r="G50" t="inlineStr">
        <is>
          <t>Libéria</t>
        </is>
      </c>
      <c r="H50" s="24" t="n">
        <v>493.631</v>
      </c>
      <c r="I50" s="25" t="n">
        <v>20125000</v>
      </c>
      <c r="J50" s="25" t="n">
        <v>40769.32</v>
      </c>
    </row>
    <row r="51">
      <c r="A51" t="n">
        <v>2014</v>
      </c>
      <c r="B51" t="inlineStr">
        <is>
          <t>SSPT</t>
        </is>
      </c>
      <c r="C51" t="inlineStr">
        <is>
          <t>Phosphate</t>
        </is>
      </c>
      <c r="D51" t="inlineStr">
        <is>
          <t>Tonne</t>
        </is>
      </c>
      <c r="E51" s="3" t="n">
        <v>448</v>
      </c>
      <c r="F51" s="3" t="n">
        <v>28886400</v>
      </c>
      <c r="G51" t="inlineStr">
        <is>
          <t>Locale</t>
        </is>
      </c>
      <c r="H51" s="24" t="n">
        <v>493.631</v>
      </c>
      <c r="I51" s="25" t="n">
        <v>28886400</v>
      </c>
      <c r="J51" s="25" t="n">
        <v>58518.2</v>
      </c>
    </row>
    <row r="52">
      <c r="A52" t="n">
        <v>2014</v>
      </c>
      <c r="B52" t="inlineStr">
        <is>
          <t>SOMIVA</t>
        </is>
      </c>
      <c r="C52" t="inlineStr">
        <is>
          <t>Phosphate</t>
        </is>
      </c>
      <c r="D52" t="inlineStr">
        <is>
          <t>Tonne</t>
        </is>
      </c>
      <c r="E52" s="3" t="n">
        <v>31612</v>
      </c>
      <c r="F52" s="3" t="n">
        <v>1691042844</v>
      </c>
      <c r="G52" t="inlineStr">
        <is>
          <t>Inde</t>
        </is>
      </c>
      <c r="H52" s="24" t="n">
        <v>493.631</v>
      </c>
      <c r="I52" s="25" t="n">
        <v>1691042844</v>
      </c>
      <c r="J52" s="25" t="n">
        <v>3425722.54</v>
      </c>
    </row>
    <row r="53">
      <c r="A53" t="n">
        <v>2014</v>
      </c>
      <c r="B53" t="inlineStr">
        <is>
          <t>SEPHOS</t>
        </is>
      </c>
      <c r="C53" t="inlineStr">
        <is>
          <t>Phosphate</t>
        </is>
      </c>
      <c r="D53" t="inlineStr">
        <is>
          <t>Tonne</t>
        </is>
      </c>
      <c r="E53" s="3" t="n">
        <v>33175</v>
      </c>
      <c r="F53" s="3" t="n">
        <v>974366088</v>
      </c>
      <c r="G53" t="inlineStr">
        <is>
          <t>Brésil</t>
        </is>
      </c>
      <c r="H53" s="24" t="n">
        <v>493.631</v>
      </c>
      <c r="I53" s="25" t="n">
        <v>974366088</v>
      </c>
      <c r="J53" s="25" t="n">
        <v>1973875.4</v>
      </c>
    </row>
    <row r="54">
      <c r="A54" t="n">
        <v>2014</v>
      </c>
      <c r="B54" t="inlineStr">
        <is>
          <t>SEPHOS</t>
        </is>
      </c>
      <c r="C54" t="inlineStr">
        <is>
          <t>Phosphate</t>
        </is>
      </c>
      <c r="D54" t="inlineStr">
        <is>
          <t>Tonne</t>
        </is>
      </c>
      <c r="E54" s="3" t="n">
        <v>1700</v>
      </c>
      <c r="F54" s="3" t="n">
        <v>49826482</v>
      </c>
      <c r="G54" t="inlineStr">
        <is>
          <t>Côte d'Ivoire</t>
        </is>
      </c>
      <c r="H54" s="24" t="n">
        <v>493.631</v>
      </c>
      <c r="I54" s="25" t="n">
        <v>49826482</v>
      </c>
      <c r="J54" s="25" t="n">
        <v>100938.72</v>
      </c>
    </row>
    <row r="55">
      <c r="A55" t="n">
        <v>2014</v>
      </c>
      <c r="B55" t="inlineStr">
        <is>
          <t>SEPHOS</t>
        </is>
      </c>
      <c r="C55" t="inlineStr">
        <is>
          <t>Phosphate</t>
        </is>
      </c>
      <c r="D55" t="inlineStr">
        <is>
          <t>Tonne</t>
        </is>
      </c>
      <c r="E55" s="3" t="n">
        <v>92461</v>
      </c>
      <c r="F55" s="3" t="n">
        <v>2394015165</v>
      </c>
      <c r="G55" t="inlineStr">
        <is>
          <t>Espagne</t>
        </is>
      </c>
      <c r="H55" s="24" t="n">
        <v>493.631</v>
      </c>
      <c r="I55" s="25" t="n">
        <v>2394015165</v>
      </c>
      <c r="J55" s="25" t="n">
        <v>4849807.17</v>
      </c>
    </row>
    <row r="56">
      <c r="A56" t="n">
        <v>2014</v>
      </c>
      <c r="B56" t="inlineStr">
        <is>
          <t>SEPHOS</t>
        </is>
      </c>
      <c r="C56" t="inlineStr">
        <is>
          <t>Phosphate</t>
        </is>
      </c>
      <c r="D56" t="inlineStr">
        <is>
          <t>Tonne</t>
        </is>
      </c>
      <c r="E56" s="3" t="n">
        <v>1000</v>
      </c>
      <c r="F56" s="3" t="n">
        <v>29222884</v>
      </c>
      <c r="G56" t="inlineStr">
        <is>
          <t>Ghana</t>
        </is>
      </c>
      <c r="H56" s="24" t="n">
        <v>493.631</v>
      </c>
      <c r="I56" s="25" t="n">
        <v>29222884</v>
      </c>
      <c r="J56" s="25" t="n">
        <v>59199.86</v>
      </c>
    </row>
    <row r="57">
      <c r="A57" t="n">
        <v>2014</v>
      </c>
      <c r="B57" t="inlineStr">
        <is>
          <t>SEPHOS</t>
        </is>
      </c>
      <c r="C57" t="inlineStr">
        <is>
          <t>Phosphate</t>
        </is>
      </c>
      <c r="D57" t="inlineStr">
        <is>
          <t>Tonne</t>
        </is>
      </c>
      <c r="E57" s="3" t="n">
        <v>2000</v>
      </c>
      <c r="F57" s="3" t="n">
        <v>58445768</v>
      </c>
      <c r="G57" t="inlineStr">
        <is>
          <t>Inde</t>
        </is>
      </c>
      <c r="H57" s="24" t="n">
        <v>493.631</v>
      </c>
      <c r="I57" s="25" t="n">
        <v>58445768</v>
      </c>
      <c r="J57" s="25" t="n">
        <v>118399.71</v>
      </c>
    </row>
    <row r="58">
      <c r="A58" t="n">
        <v>2014</v>
      </c>
      <c r="B58" t="inlineStr">
        <is>
          <t>SEPHOS</t>
        </is>
      </c>
      <c r="C58" t="inlineStr">
        <is>
          <t>Phosphate</t>
        </is>
      </c>
      <c r="D58" t="inlineStr">
        <is>
          <t>Tonne</t>
        </is>
      </c>
      <c r="E58" s="3" t="n">
        <v>15668</v>
      </c>
      <c r="F58" s="3" t="n">
        <v>298008520</v>
      </c>
      <c r="G58" t="inlineStr">
        <is>
          <t>Italie</t>
        </is>
      </c>
      <c r="H58" s="24" t="n">
        <v>493.631</v>
      </c>
      <c r="I58" s="25" t="n">
        <v>298008520</v>
      </c>
      <c r="J58" s="25" t="n">
        <v>603707.0600000001</v>
      </c>
    </row>
    <row r="59">
      <c r="A59" t="n">
        <v>2014</v>
      </c>
      <c r="B59" t="inlineStr">
        <is>
          <t>SEPHOS</t>
        </is>
      </c>
      <c r="C59" t="inlineStr">
        <is>
          <t>Phosphate</t>
        </is>
      </c>
      <c r="D59" t="inlineStr">
        <is>
          <t>Tonne</t>
        </is>
      </c>
      <c r="E59" s="3" t="n">
        <v>370</v>
      </c>
      <c r="F59" s="3" t="n">
        <v>10812467</v>
      </c>
      <c r="G59" t="inlineStr">
        <is>
          <t>Libéria</t>
        </is>
      </c>
      <c r="H59" s="24" t="n">
        <v>493.631</v>
      </c>
      <c r="I59" s="25" t="n">
        <v>10812467</v>
      </c>
      <c r="J59" s="25" t="n">
        <v>21903.95</v>
      </c>
    </row>
    <row r="60">
      <c r="A60" t="n">
        <v>2014</v>
      </c>
      <c r="B60" t="inlineStr">
        <is>
          <t>SEPHOS</t>
        </is>
      </c>
      <c r="C60" t="inlineStr">
        <is>
          <t>Phosphate</t>
        </is>
      </c>
      <c r="D60" t="inlineStr">
        <is>
          <t>Tonne</t>
        </is>
      </c>
      <c r="E60" s="3" t="n">
        <v>31170</v>
      </c>
      <c r="F60" s="3" t="n">
        <v>733126062</v>
      </c>
      <c r="G60" t="inlineStr">
        <is>
          <t>Malaisie</t>
        </is>
      </c>
      <c r="H60" s="24" t="n">
        <v>493.631</v>
      </c>
      <c r="I60" s="25" t="n">
        <v>733126062</v>
      </c>
      <c r="J60" s="25" t="n">
        <v>1485170.22</v>
      </c>
    </row>
    <row r="61">
      <c r="A61" t="n">
        <v>2014</v>
      </c>
      <c r="B61" t="inlineStr">
        <is>
          <t>SEPHOS</t>
        </is>
      </c>
      <c r="C61" t="inlineStr">
        <is>
          <t>Phosphate</t>
        </is>
      </c>
      <c r="D61" t="inlineStr">
        <is>
          <t>Tonne</t>
        </is>
      </c>
      <c r="E61" s="3" t="n">
        <v>112</v>
      </c>
      <c r="F61" s="3" t="n">
        <v>3349200</v>
      </c>
      <c r="G61" t="inlineStr">
        <is>
          <t>Mauritanie</t>
        </is>
      </c>
      <c r="H61" s="24" t="n">
        <v>493.631</v>
      </c>
      <c r="I61" s="25" t="n">
        <v>3349200</v>
      </c>
      <c r="J61" s="25" t="n">
        <v>6784.83</v>
      </c>
    </row>
    <row r="62">
      <c r="A62" t="n">
        <v>2014</v>
      </c>
      <c r="B62" t="inlineStr">
        <is>
          <t>SEPHOS</t>
        </is>
      </c>
      <c r="C62" t="inlineStr">
        <is>
          <t>Phosphate</t>
        </is>
      </c>
      <c r="D62" t="inlineStr">
        <is>
          <t>Tonne</t>
        </is>
      </c>
      <c r="E62" s="3" t="n">
        <v>136006</v>
      </c>
      <c r="F62" s="3" t="n">
        <v>4375894651</v>
      </c>
      <c r="G62" t="inlineStr">
        <is>
          <t>Pologne</t>
        </is>
      </c>
      <c r="H62" s="24" t="n">
        <v>493.631</v>
      </c>
      <c r="I62" s="25" t="n">
        <v>4375894651</v>
      </c>
      <c r="J62" s="25" t="n">
        <v>8864707.949999999</v>
      </c>
    </row>
    <row r="63">
      <c r="A63" t="n">
        <v>2014</v>
      </c>
      <c r="B63" t="inlineStr">
        <is>
          <t>SEPHOS</t>
        </is>
      </c>
      <c r="C63" t="inlineStr">
        <is>
          <t>Phosphate</t>
        </is>
      </c>
      <c r="D63" t="inlineStr">
        <is>
          <t>Tonne</t>
        </is>
      </c>
      <c r="E63" s="3" t="n">
        <v>14731</v>
      </c>
      <c r="F63" s="3" t="n">
        <v>384572470</v>
      </c>
      <c r="G63" t="inlineStr">
        <is>
          <t>Portugal</t>
        </is>
      </c>
      <c r="H63" s="24" t="n">
        <v>493.631</v>
      </c>
      <c r="I63" s="25" t="n">
        <v>384572470</v>
      </c>
      <c r="J63" s="25" t="n">
        <v>779068.72</v>
      </c>
    </row>
    <row r="64">
      <c r="A64" t="n">
        <v>2014</v>
      </c>
      <c r="B64" t="inlineStr">
        <is>
          <t>SEPHOS</t>
        </is>
      </c>
      <c r="C64" t="inlineStr">
        <is>
          <t>Phosphate</t>
        </is>
      </c>
      <c r="D64" t="inlineStr">
        <is>
          <t>Tonne</t>
        </is>
      </c>
      <c r="E64" s="3" t="n">
        <v>350</v>
      </c>
      <c r="F64" s="3" t="n">
        <v>10227977</v>
      </c>
      <c r="G64" t="inlineStr">
        <is>
          <t>Sierra Leone</t>
        </is>
      </c>
      <c r="H64" s="24" t="n">
        <v>493.631</v>
      </c>
      <c r="I64" s="25" t="n">
        <v>10227977</v>
      </c>
      <c r="J64" s="25" t="n">
        <v>20719.88</v>
      </c>
    </row>
    <row r="65">
      <c r="A65" t="n">
        <v>2014</v>
      </c>
      <c r="B65" t="inlineStr">
        <is>
          <t>SEPHOS</t>
        </is>
      </c>
      <c r="C65" t="inlineStr">
        <is>
          <t>Phosphate</t>
        </is>
      </c>
      <c r="D65" t="inlineStr">
        <is>
          <t>Tonne</t>
        </is>
      </c>
      <c r="E65" s="3" t="n">
        <v>5200</v>
      </c>
      <c r="F65" s="3" t="n">
        <v>78005619</v>
      </c>
      <c r="G65" t="inlineStr">
        <is>
          <t>Malaisie</t>
        </is>
      </c>
      <c r="H65" s="24" t="n">
        <v>493.631</v>
      </c>
      <c r="I65" s="25" t="n">
        <v>78005619</v>
      </c>
      <c r="J65" s="25" t="n">
        <v>158024.15</v>
      </c>
    </row>
    <row r="66">
      <c r="A66" t="n">
        <v>2014</v>
      </c>
      <c r="B66" t="inlineStr">
        <is>
          <t>SEPHOS</t>
        </is>
      </c>
      <c r="C66" t="inlineStr">
        <is>
          <t>Phosphate</t>
        </is>
      </c>
      <c r="D66" t="inlineStr">
        <is>
          <t>Tonne</t>
        </is>
      </c>
      <c r="E66" s="3" t="n">
        <v>8457</v>
      </c>
      <c r="F66" s="3" t="n">
        <v>292245827</v>
      </c>
      <c r="G66" t="inlineStr">
        <is>
          <t>Locale</t>
        </is>
      </c>
      <c r="H66" s="24" t="n">
        <v>493.631</v>
      </c>
      <c r="I66" s="25" t="n">
        <v>292245827</v>
      </c>
      <c r="J66" s="25" t="n">
        <v>592032.97</v>
      </c>
    </row>
    <row r="67">
      <c r="A67" t="n">
        <v>2014</v>
      </c>
      <c r="B67" t="inlineStr">
        <is>
          <t>AIG</t>
        </is>
      </c>
      <c r="C67" t="inlineStr">
        <is>
          <t>Phosphate</t>
        </is>
      </c>
      <c r="D67" t="inlineStr">
        <is>
          <t>Tonne</t>
        </is>
      </c>
      <c r="E67" s="3" t="n">
        <v>214721</v>
      </c>
      <c r="F67" s="3" t="n">
        <v>6895734426</v>
      </c>
      <c r="G67" t="inlineStr">
        <is>
          <t>Pologne</t>
        </is>
      </c>
      <c r="H67" s="24" t="n">
        <v>493.631</v>
      </c>
      <c r="I67" s="25" t="n">
        <v>6895734426</v>
      </c>
      <c r="J67" s="25" t="n">
        <v>13969411.21</v>
      </c>
    </row>
    <row r="68">
      <c r="A68" t="n">
        <v>2014</v>
      </c>
      <c r="B68" t="inlineStr">
        <is>
          <t>SOSECAR</t>
        </is>
      </c>
      <c r="C68" t="inlineStr">
        <is>
          <t>Basalte</t>
        </is>
      </c>
      <c r="D68" t="inlineStr">
        <is>
          <t>Tonne</t>
        </is>
      </c>
      <c r="E68" s="3" t="n">
        <v>345000</v>
      </c>
      <c r="F68" s="3" t="n">
        <v>6743230000</v>
      </c>
      <c r="G68" t="inlineStr">
        <is>
          <t>Locale</t>
        </is>
      </c>
      <c r="H68" s="24" t="n">
        <v>493.631</v>
      </c>
      <c r="I68" s="25" t="n">
        <v>6743230000</v>
      </c>
      <c r="J68" s="25" t="n">
        <v>13660467.03</v>
      </c>
    </row>
    <row r="69">
      <c r="A69" t="n">
        <v>2014</v>
      </c>
      <c r="B69" t="inlineStr">
        <is>
          <t>SOSECAR</t>
        </is>
      </c>
      <c r="C69" t="inlineStr">
        <is>
          <t>Calcaire</t>
        </is>
      </c>
      <c r="D69" t="inlineStr">
        <is>
          <t>Mètre cube</t>
        </is>
      </c>
      <c r="E69" s="3" t="n">
        <v>176660</v>
      </c>
      <c r="F69" s="3" t="n">
        <v>6743230000</v>
      </c>
      <c r="G69" t="inlineStr">
        <is>
          <t>Locale</t>
        </is>
      </c>
      <c r="H69" s="24" t="n">
        <v>493.631</v>
      </c>
      <c r="I69" s="25" t="n">
        <v>6743230000</v>
      </c>
      <c r="J69" s="25" t="n">
        <v>13660467.03</v>
      </c>
    </row>
    <row r="70">
      <c r="A70" t="n">
        <v>2014</v>
      </c>
      <c r="B70" t="inlineStr">
        <is>
          <t>COGECA</t>
        </is>
      </c>
      <c r="C70" t="inlineStr">
        <is>
          <t>Basalte</t>
        </is>
      </c>
      <c r="D70" t="inlineStr">
        <is>
          <t>Tonne</t>
        </is>
      </c>
      <c r="E70" s="3" t="n">
        <v>790000</v>
      </c>
      <c r="F70" s="3" t="n">
        <v>10595000000</v>
      </c>
      <c r="G70" t="inlineStr">
        <is>
          <t>Locale</t>
        </is>
      </c>
      <c r="H70" s="24" t="n">
        <v>493.631</v>
      </c>
      <c r="I70" s="25" t="n">
        <v>10595000000</v>
      </c>
      <c r="J70" s="25" t="n">
        <v>21463400.8</v>
      </c>
    </row>
    <row r="71">
      <c r="A71" t="n">
        <v>2014</v>
      </c>
      <c r="B71" t="inlineStr">
        <is>
          <t>GECAMINES</t>
        </is>
      </c>
      <c r="C71" t="inlineStr">
        <is>
          <t>Basalte</t>
        </is>
      </c>
      <c r="D71" t="inlineStr">
        <is>
          <t>Tonne</t>
        </is>
      </c>
      <c r="E71" s="3" t="n">
        <v>25938</v>
      </c>
      <c r="F71" s="3" t="n">
        <v>170192087</v>
      </c>
      <c r="G71" t="inlineStr">
        <is>
          <t>Gambie</t>
        </is>
      </c>
      <c r="H71" s="24" t="n">
        <v>493.631</v>
      </c>
      <c r="I71" s="25" t="n">
        <v>170192087</v>
      </c>
      <c r="J71" s="25" t="n">
        <v>344775.93</v>
      </c>
    </row>
    <row r="72">
      <c r="A72" t="n">
        <v>2014</v>
      </c>
      <c r="B72" t="inlineStr">
        <is>
          <t>GECAMINES</t>
        </is>
      </c>
      <c r="C72" t="inlineStr">
        <is>
          <t>Basalte</t>
        </is>
      </c>
      <c r="D72" t="inlineStr">
        <is>
          <t>Tonne</t>
        </is>
      </c>
      <c r="E72" s="3" t="n">
        <v>1257661</v>
      </c>
      <c r="F72" s="3" t="n">
        <v>7491748973</v>
      </c>
      <c r="G72" t="inlineStr">
        <is>
          <t>Locale</t>
        </is>
      </c>
      <c r="H72" s="24" t="n">
        <v>493.631</v>
      </c>
      <c r="I72" s="25" t="n">
        <v>7491748973</v>
      </c>
      <c r="J72" s="25" t="n">
        <v>15176820.28</v>
      </c>
    </row>
    <row r="73">
      <c r="A73" t="n">
        <v>2014</v>
      </c>
      <c r="B73" t="inlineStr">
        <is>
          <t>SODEVIT</t>
        </is>
      </c>
      <c r="C73" t="inlineStr">
        <is>
          <t>Calcaire</t>
        </is>
      </c>
      <c r="D73" t="inlineStr">
        <is>
          <t>Mètre cube</t>
        </is>
      </c>
      <c r="E73" s="3" t="n">
        <v>732719</v>
      </c>
      <c r="F73" s="3" t="n">
        <v>4458513802</v>
      </c>
      <c r="G73" t="inlineStr">
        <is>
          <t>Locale</t>
        </is>
      </c>
      <c r="H73" s="24" t="n">
        <v>493.631</v>
      </c>
      <c r="I73" s="25" t="n">
        <v>4458513802</v>
      </c>
      <c r="J73" s="25" t="n">
        <v>9032078.220000001</v>
      </c>
    </row>
    <row r="74">
      <c r="A74" t="n">
        <v>2015</v>
      </c>
      <c r="B74" t="inlineStr">
        <is>
          <t>SOCOCIM</t>
        </is>
      </c>
      <c r="C74" t="inlineStr">
        <is>
          <t>Ciment</t>
        </is>
      </c>
      <c r="D74" t="inlineStr">
        <is>
          <t>Tonne</t>
        </is>
      </c>
      <c r="E74" s="3" t="n">
        <v>28215</v>
      </c>
      <c r="F74" s="3" t="n">
        <v>1091921764</v>
      </c>
      <c r="G74" t="inlineStr">
        <is>
          <t>Burkina Faso</t>
        </is>
      </c>
      <c r="H74" s="24" t="n">
        <v>591.45</v>
      </c>
      <c r="I74" s="25" t="n">
        <v>1091921764</v>
      </c>
      <c r="J74" s="25" t="n">
        <v>1846177.64</v>
      </c>
    </row>
    <row r="75">
      <c r="A75" t="n">
        <v>2015</v>
      </c>
      <c r="B75" t="inlineStr">
        <is>
          <t>SOCOCIM</t>
        </is>
      </c>
      <c r="C75" t="inlineStr">
        <is>
          <t>Ciment</t>
        </is>
      </c>
      <c r="D75" t="inlineStr">
        <is>
          <t>Tonne</t>
        </is>
      </c>
      <c r="E75" s="3" t="n">
        <v>275</v>
      </c>
      <c r="F75" s="3" t="n">
        <v>11000000</v>
      </c>
      <c r="G75" t="inlineStr">
        <is>
          <t>Côte d'Ivoire</t>
        </is>
      </c>
      <c r="H75" s="24" t="n">
        <v>591.45</v>
      </c>
      <c r="I75" s="25" t="n">
        <v>11000000</v>
      </c>
      <c r="J75" s="25" t="n">
        <v>18598.36</v>
      </c>
    </row>
    <row r="76">
      <c r="A76" t="n">
        <v>2015</v>
      </c>
      <c r="B76" t="inlineStr">
        <is>
          <t>SOCOCIM</t>
        </is>
      </c>
      <c r="C76" t="inlineStr">
        <is>
          <t>Ciment</t>
        </is>
      </c>
      <c r="D76" t="inlineStr">
        <is>
          <t>Tonne</t>
        </is>
      </c>
      <c r="E76" s="3" t="n">
        <v>123442</v>
      </c>
      <c r="F76" s="3" t="n">
        <v>4077690593</v>
      </c>
      <c r="G76" t="inlineStr">
        <is>
          <t>Gambie</t>
        </is>
      </c>
      <c r="H76" s="24" t="n">
        <v>591.45</v>
      </c>
      <c r="I76" s="25" t="n">
        <v>4077690593</v>
      </c>
      <c r="J76" s="25" t="n">
        <v>6894396.13</v>
      </c>
    </row>
    <row r="77">
      <c r="A77" t="n">
        <v>2015</v>
      </c>
      <c r="B77" t="inlineStr">
        <is>
          <t>SOCOCIM</t>
        </is>
      </c>
      <c r="C77" t="inlineStr">
        <is>
          <t>Ciment</t>
        </is>
      </c>
      <c r="D77" t="inlineStr">
        <is>
          <t>Tonne</t>
        </is>
      </c>
      <c r="E77" s="3" t="n">
        <v>934</v>
      </c>
      <c r="F77" s="3" t="n">
        <v>36947025</v>
      </c>
      <c r="G77" t="inlineStr">
        <is>
          <t>Guinée</t>
        </is>
      </c>
      <c r="H77" s="24" t="n">
        <v>591.45</v>
      </c>
      <c r="I77" s="25" t="n">
        <v>36947025</v>
      </c>
      <c r="J77" s="25" t="n">
        <v>62468.55</v>
      </c>
    </row>
    <row r="78">
      <c r="A78" t="n">
        <v>2015</v>
      </c>
      <c r="B78" t="inlineStr">
        <is>
          <t>SOCOCIM</t>
        </is>
      </c>
      <c r="C78" t="inlineStr">
        <is>
          <t>Ciment</t>
        </is>
      </c>
      <c r="D78" t="inlineStr">
        <is>
          <t>Tonne</t>
        </is>
      </c>
      <c r="E78" s="3" t="n">
        <v>26238</v>
      </c>
      <c r="F78" s="3" t="n">
        <v>1031108679</v>
      </c>
      <c r="G78" t="inlineStr">
        <is>
          <t>Guinée-Bissau</t>
        </is>
      </c>
      <c r="H78" s="24" t="n">
        <v>591.45</v>
      </c>
      <c r="I78" s="25" t="n">
        <v>1031108679</v>
      </c>
      <c r="J78" s="25" t="n">
        <v>1743357.31</v>
      </c>
    </row>
    <row r="79">
      <c r="A79" t="n">
        <v>2015</v>
      </c>
      <c r="B79" t="inlineStr">
        <is>
          <t>SOCOCIM</t>
        </is>
      </c>
      <c r="C79" t="inlineStr">
        <is>
          <t>Ciment</t>
        </is>
      </c>
      <c r="D79" t="inlineStr">
        <is>
          <t>Tonne</t>
        </is>
      </c>
      <c r="E79" s="3" t="n">
        <v>719989</v>
      </c>
      <c r="F79" s="3" t="n">
        <v>26743504718</v>
      </c>
      <c r="G79" t="inlineStr">
        <is>
          <t>Mali</t>
        </is>
      </c>
      <c r="H79" s="24" t="n">
        <v>591.45</v>
      </c>
      <c r="I79" s="25" t="n">
        <v>26743504718</v>
      </c>
      <c r="J79" s="25" t="n">
        <v>45216847.95</v>
      </c>
    </row>
    <row r="80">
      <c r="A80" t="n">
        <v>2015</v>
      </c>
      <c r="B80" t="inlineStr">
        <is>
          <t>SOCOCIM</t>
        </is>
      </c>
      <c r="C80" t="inlineStr">
        <is>
          <t>Ciment</t>
        </is>
      </c>
      <c r="D80" t="inlineStr">
        <is>
          <t>Tonne</t>
        </is>
      </c>
      <c r="E80" s="3" t="n">
        <v>12567</v>
      </c>
      <c r="F80" s="3" t="n">
        <v>494740187</v>
      </c>
      <c r="G80" t="inlineStr">
        <is>
          <t>Mauritanie</t>
        </is>
      </c>
      <c r="H80" s="24" t="n">
        <v>591.45</v>
      </c>
      <c r="I80" s="25" t="n">
        <v>494740187</v>
      </c>
      <c r="J80" s="25" t="n">
        <v>836486.92</v>
      </c>
    </row>
    <row r="81">
      <c r="A81" t="n">
        <v>2015</v>
      </c>
      <c r="B81" t="inlineStr">
        <is>
          <t>SGO</t>
        </is>
      </c>
      <c r="C81" t="inlineStr">
        <is>
          <t>Or</t>
        </is>
      </c>
      <c r="D81" t="inlineStr">
        <is>
          <t>Tonne</t>
        </is>
      </c>
      <c r="E81" s="8" t="n">
        <v>6.00975158</v>
      </c>
      <c r="F81" s="3" t="n">
        <v>132762285276</v>
      </c>
      <c r="G81" t="inlineStr">
        <is>
          <t>Suisse</t>
        </is>
      </c>
      <c r="H81" s="24" t="n">
        <v>591.45</v>
      </c>
      <c r="I81" s="25" t="n">
        <v>132762285276</v>
      </c>
      <c r="J81" s="25" t="n">
        <v>224469161</v>
      </c>
    </row>
    <row r="82">
      <c r="A82" t="n">
        <v>2015</v>
      </c>
      <c r="B82" t="inlineStr">
        <is>
          <t>SGO</t>
        </is>
      </c>
      <c r="C82" t="inlineStr">
        <is>
          <t>Argent</t>
        </is>
      </c>
      <c r="D82" t="inlineStr">
        <is>
          <t>Tonne</t>
        </is>
      </c>
      <c r="E82" s="8" t="n">
        <v>0.55634789</v>
      </c>
      <c r="F82" s="3" t="n">
        <v>164774191</v>
      </c>
      <c r="G82" t="inlineStr">
        <is>
          <t>Suisse</t>
        </is>
      </c>
      <c r="H82" s="24" t="n">
        <v>591.45</v>
      </c>
      <c r="I82" s="25" t="n">
        <v>164774191</v>
      </c>
      <c r="J82" s="25" t="n">
        <v>278593.61</v>
      </c>
    </row>
    <row r="83">
      <c r="A83" t="n">
        <v>2015</v>
      </c>
      <c r="B83" t="inlineStr">
        <is>
          <t>CDS</t>
        </is>
      </c>
      <c r="C83" t="inlineStr">
        <is>
          <t>Ciment</t>
        </is>
      </c>
      <c r="D83" t="inlineStr">
        <is>
          <t>Tonne</t>
        </is>
      </c>
      <c r="E83" s="3" t="n">
        <v>1009632</v>
      </c>
      <c r="F83" s="3" t="n">
        <v>40305060424</v>
      </c>
      <c r="G83" t="inlineStr">
        <is>
          <t>Zone UEMOA</t>
        </is>
      </c>
      <c r="H83" s="24" t="n">
        <v>591.45</v>
      </c>
      <c r="I83" s="25" t="n">
        <v>40305060424</v>
      </c>
      <c r="J83" s="25" t="n">
        <v>68146183.83</v>
      </c>
    </row>
    <row r="84">
      <c r="A84" t="n">
        <v>2015</v>
      </c>
      <c r="B84" t="inlineStr">
        <is>
          <t>CDS</t>
        </is>
      </c>
      <c r="C84" t="inlineStr">
        <is>
          <t>Ciment</t>
        </is>
      </c>
      <c r="D84" t="inlineStr">
        <is>
          <t>Tonne</t>
        </is>
      </c>
      <c r="E84" s="3" t="n">
        <v>274351</v>
      </c>
      <c r="F84" s="3" t="n">
        <v>11167838001</v>
      </c>
      <c r="G84" t="inlineStr">
        <is>
          <t>Zone hors UEMOA</t>
        </is>
      </c>
      <c r="H84" s="24" t="n">
        <v>591.45</v>
      </c>
      <c r="I84" s="25" t="n">
        <v>11167838001</v>
      </c>
      <c r="J84" s="25" t="n">
        <v>18882133.74</v>
      </c>
    </row>
    <row r="85">
      <c r="A85" t="n">
        <v>2015</v>
      </c>
      <c r="B85" t="inlineStr">
        <is>
          <t>GCO</t>
        </is>
      </c>
      <c r="C85" t="inlineStr">
        <is>
          <t>Ilménite</t>
        </is>
      </c>
      <c r="D85" t="inlineStr">
        <is>
          <t>Tonne</t>
        </is>
      </c>
      <c r="E85" s="3" t="n">
        <v>94794</v>
      </c>
      <c r="F85" s="3" t="n">
        <v>5751939600</v>
      </c>
      <c r="G85" t="inlineStr">
        <is>
          <t>Chine</t>
        </is>
      </c>
      <c r="H85" s="24" t="n">
        <v>591.45</v>
      </c>
      <c r="I85" s="25" t="n">
        <v>5751939600</v>
      </c>
      <c r="J85" s="25" t="n">
        <v>9725149.380000001</v>
      </c>
    </row>
    <row r="86">
      <c r="A86" t="n">
        <v>2015</v>
      </c>
      <c r="B86" t="inlineStr">
        <is>
          <t>GCO</t>
        </is>
      </c>
      <c r="C86" t="inlineStr">
        <is>
          <t>Ilménite</t>
        </is>
      </c>
      <c r="D86" t="inlineStr">
        <is>
          <t>Tonne</t>
        </is>
      </c>
      <c r="E86" s="3" t="n">
        <v>284</v>
      </c>
      <c r="F86" s="3" t="n">
        <v>26281344</v>
      </c>
      <c r="G86" t="inlineStr">
        <is>
          <t>Japon</t>
        </is>
      </c>
      <c r="H86" s="24" t="n">
        <v>591.45</v>
      </c>
      <c r="I86" s="25" t="n">
        <v>26281344</v>
      </c>
      <c r="J86" s="25" t="n">
        <v>44435.45</v>
      </c>
    </row>
    <row r="87">
      <c r="A87" t="n">
        <v>2015</v>
      </c>
      <c r="B87" t="inlineStr">
        <is>
          <t>GCO</t>
        </is>
      </c>
      <c r="C87" t="inlineStr">
        <is>
          <t>Ilménite</t>
        </is>
      </c>
      <c r="D87" t="inlineStr">
        <is>
          <t>Tonne</t>
        </is>
      </c>
      <c r="E87" s="3" t="n">
        <v>55097</v>
      </c>
      <c r="F87" s="3" t="n">
        <v>2681738098</v>
      </c>
      <c r="G87" t="inlineStr">
        <is>
          <t>Norvège</t>
        </is>
      </c>
      <c r="H87" s="24" t="n">
        <v>591.45</v>
      </c>
      <c r="I87" s="25" t="n">
        <v>2681738098</v>
      </c>
      <c r="J87" s="25" t="n">
        <v>4534175.5</v>
      </c>
    </row>
    <row r="88">
      <c r="A88" t="n">
        <v>2015</v>
      </c>
      <c r="B88" t="inlineStr">
        <is>
          <t>GCO</t>
        </is>
      </c>
      <c r="C88" t="inlineStr">
        <is>
          <t>Ilménite</t>
        </is>
      </c>
      <c r="D88" t="inlineStr">
        <is>
          <t>Tonne</t>
        </is>
      </c>
      <c r="E88" s="3" t="n">
        <v>189847</v>
      </c>
      <c r="F88" s="3" t="n">
        <v>8512310281</v>
      </c>
      <c r="G88" t="inlineStr">
        <is>
          <t>Afrique du Sud</t>
        </is>
      </c>
      <c r="H88" s="24" t="n">
        <v>591.45</v>
      </c>
      <c r="I88" s="25" t="n">
        <v>8512310281</v>
      </c>
      <c r="J88" s="25" t="n">
        <v>14392273.7</v>
      </c>
    </row>
    <row r="89">
      <c r="A89" t="n">
        <v>2015</v>
      </c>
      <c r="B89" t="inlineStr">
        <is>
          <t>GCO</t>
        </is>
      </c>
      <c r="C89" t="inlineStr">
        <is>
          <t>Ilménite</t>
        </is>
      </c>
      <c r="D89" t="inlineStr">
        <is>
          <t>Tonne</t>
        </is>
      </c>
      <c r="E89" s="3" t="n">
        <v>30076</v>
      </c>
      <c r="F89" s="3" t="n">
        <v>2796128112</v>
      </c>
      <c r="G89" t="inlineStr">
        <is>
          <t>Mexique</t>
        </is>
      </c>
      <c r="H89" s="24" t="n">
        <v>591.45</v>
      </c>
      <c r="I89" s="25" t="n">
        <v>2796128112</v>
      </c>
      <c r="J89" s="25" t="n">
        <v>4727581.56</v>
      </c>
    </row>
    <row r="90">
      <c r="A90" t="n">
        <v>2015</v>
      </c>
      <c r="B90" t="inlineStr">
        <is>
          <t>GCO</t>
        </is>
      </c>
      <c r="C90" t="inlineStr">
        <is>
          <t>Ilménite</t>
        </is>
      </c>
      <c r="D90" t="inlineStr">
        <is>
          <t>Tonne</t>
        </is>
      </c>
      <c r="E90" s="3" t="n">
        <v>50322</v>
      </c>
      <c r="F90" s="3" t="n">
        <v>4833965499</v>
      </c>
      <c r="G90" t="inlineStr">
        <is>
          <t>États-Unis</t>
        </is>
      </c>
      <c r="H90" s="24" t="n">
        <v>591.45</v>
      </c>
      <c r="I90" s="25" t="n">
        <v>4833965499</v>
      </c>
      <c r="J90" s="25" t="n">
        <v>8173075.49</v>
      </c>
    </row>
    <row r="91">
      <c r="A91" t="n">
        <v>2015</v>
      </c>
      <c r="B91" t="inlineStr">
        <is>
          <t>GCO</t>
        </is>
      </c>
      <c r="C91" t="inlineStr">
        <is>
          <t>Zircon</t>
        </is>
      </c>
      <c r="D91" t="inlineStr">
        <is>
          <t>Tonne</t>
        </is>
      </c>
      <c r="E91" s="3" t="n">
        <v>100</v>
      </c>
      <c r="F91" s="3" t="n">
        <v>69048986</v>
      </c>
      <c r="G91" t="inlineStr">
        <is>
          <t>Australie</t>
        </is>
      </c>
      <c r="H91" s="24" t="n">
        <v>591.45</v>
      </c>
      <c r="I91" s="25" t="n">
        <v>69048986</v>
      </c>
      <c r="J91" s="25" t="n">
        <v>116745.26</v>
      </c>
    </row>
    <row r="92">
      <c r="A92" t="n">
        <v>2015</v>
      </c>
      <c r="B92" t="inlineStr">
        <is>
          <t>GCO</t>
        </is>
      </c>
      <c r="C92" t="inlineStr">
        <is>
          <t>Zircon</t>
        </is>
      </c>
      <c r="D92" t="inlineStr">
        <is>
          <t>Tonne</t>
        </is>
      </c>
      <c r="E92" s="3" t="n">
        <v>1785</v>
      </c>
      <c r="F92" s="3" t="n">
        <v>1154403797</v>
      </c>
      <c r="G92" t="inlineStr">
        <is>
          <t>Brésil</t>
        </is>
      </c>
      <c r="H92" s="24" t="n">
        <v>591.45</v>
      </c>
      <c r="I92" s="25" t="n">
        <v>1154403797</v>
      </c>
      <c r="J92" s="25" t="n">
        <v>1951819.76</v>
      </c>
    </row>
    <row r="93">
      <c r="A93" t="n">
        <v>2015</v>
      </c>
      <c r="B93" t="inlineStr">
        <is>
          <t>GCO</t>
        </is>
      </c>
      <c r="C93" t="inlineStr">
        <is>
          <t>Zircon</t>
        </is>
      </c>
      <c r="D93" t="inlineStr">
        <is>
          <t>Tonne</t>
        </is>
      </c>
      <c r="E93" s="3" t="n">
        <v>2529</v>
      </c>
      <c r="F93" s="3" t="n">
        <v>1547473912</v>
      </c>
      <c r="G93" t="inlineStr">
        <is>
          <t>Chine</t>
        </is>
      </c>
      <c r="H93" s="24" t="n">
        <v>591.45</v>
      </c>
      <c r="I93" s="25" t="n">
        <v>1547473912</v>
      </c>
      <c r="J93" s="25" t="n">
        <v>2616406.99</v>
      </c>
    </row>
    <row r="94">
      <c r="A94" t="n">
        <v>2015</v>
      </c>
      <c r="B94" t="inlineStr">
        <is>
          <t>GCO</t>
        </is>
      </c>
      <c r="C94" t="inlineStr">
        <is>
          <t>Zircon</t>
        </is>
      </c>
      <c r="D94" t="inlineStr">
        <is>
          <t>Tonne</t>
        </is>
      </c>
      <c r="E94" s="3" t="n">
        <v>674</v>
      </c>
      <c r="F94" s="3" t="n">
        <v>438868230</v>
      </c>
      <c r="G94" t="inlineStr">
        <is>
          <t>France</t>
        </is>
      </c>
      <c r="H94" s="24" t="n">
        <v>591.45</v>
      </c>
      <c r="I94" s="25" t="n">
        <v>438868230</v>
      </c>
      <c r="J94" s="25" t="n">
        <v>742020.85</v>
      </c>
    </row>
    <row r="95">
      <c r="A95" t="n">
        <v>2015</v>
      </c>
      <c r="B95" t="inlineStr">
        <is>
          <t>GCO</t>
        </is>
      </c>
      <c r="C95" t="inlineStr">
        <is>
          <t>Zircon</t>
        </is>
      </c>
      <c r="D95" t="inlineStr">
        <is>
          <t>Tonne</t>
        </is>
      </c>
      <c r="E95" s="3" t="n">
        <v>720</v>
      </c>
      <c r="F95" s="3" t="n">
        <v>454072439</v>
      </c>
      <c r="G95" t="inlineStr">
        <is>
          <t>Allemagne</t>
        </is>
      </c>
      <c r="H95" s="24" t="n">
        <v>591.45</v>
      </c>
      <c r="I95" s="25" t="n">
        <v>454072439</v>
      </c>
      <c r="J95" s="25" t="n">
        <v>767727.52</v>
      </c>
    </row>
    <row r="96">
      <c r="A96" t="n">
        <v>2015</v>
      </c>
      <c r="B96" t="inlineStr">
        <is>
          <t>GCO</t>
        </is>
      </c>
      <c r="C96" t="inlineStr">
        <is>
          <t>Zircon</t>
        </is>
      </c>
      <c r="D96" t="inlineStr">
        <is>
          <t>Tonne</t>
        </is>
      </c>
      <c r="E96" s="3" t="n">
        <v>3589</v>
      </c>
      <c r="F96" s="3" t="n">
        <v>2192873157</v>
      </c>
      <c r="G96" t="inlineStr">
        <is>
          <t>Italie</t>
        </is>
      </c>
      <c r="H96" s="24" t="n">
        <v>591.45</v>
      </c>
      <c r="I96" s="25" t="n">
        <v>2192873157</v>
      </c>
      <c r="J96" s="25" t="n">
        <v>3707622.21</v>
      </c>
    </row>
    <row r="97">
      <c r="A97" t="n">
        <v>2015</v>
      </c>
      <c r="B97" t="inlineStr">
        <is>
          <t>GCO</t>
        </is>
      </c>
      <c r="C97" t="inlineStr">
        <is>
          <t>Zircon</t>
        </is>
      </c>
      <c r="D97" t="inlineStr">
        <is>
          <t>Tonne</t>
        </is>
      </c>
      <c r="E97" s="3" t="n">
        <v>20</v>
      </c>
      <c r="F97" s="3" t="n">
        <v>12961529</v>
      </c>
      <c r="G97" t="inlineStr">
        <is>
          <t>Japon</t>
        </is>
      </c>
      <c r="H97" s="24" t="n">
        <v>591.45</v>
      </c>
      <c r="I97" s="25" t="n">
        <v>12961529</v>
      </c>
      <c r="J97" s="25" t="n">
        <v>21914.83</v>
      </c>
    </row>
    <row r="98">
      <c r="A98" t="n">
        <v>2015</v>
      </c>
      <c r="B98" t="inlineStr">
        <is>
          <t>GCO</t>
        </is>
      </c>
      <c r="C98" t="inlineStr">
        <is>
          <t>Zircon</t>
        </is>
      </c>
      <c r="D98" t="inlineStr">
        <is>
          <t>Tonne</t>
        </is>
      </c>
      <c r="E98" s="3" t="n">
        <v>127</v>
      </c>
      <c r="F98" s="3" t="n">
        <v>81161945</v>
      </c>
      <c r="G98" t="inlineStr">
        <is>
          <t>Malaisie</t>
        </is>
      </c>
      <c r="H98" s="24" t="n">
        <v>591.45</v>
      </c>
      <c r="I98" s="25" t="n">
        <v>81161945</v>
      </c>
      <c r="J98" s="25" t="n">
        <v>137225.37</v>
      </c>
    </row>
    <row r="99">
      <c r="A99" t="n">
        <v>2015</v>
      </c>
      <c r="B99" t="inlineStr">
        <is>
          <t>GCO</t>
        </is>
      </c>
      <c r="C99" t="inlineStr">
        <is>
          <t>Zircon</t>
        </is>
      </c>
      <c r="D99" t="inlineStr">
        <is>
          <t>Tonne</t>
        </is>
      </c>
      <c r="E99" s="3" t="n">
        <v>688</v>
      </c>
      <c r="F99" s="3" t="n">
        <v>435154037</v>
      </c>
      <c r="G99" t="inlineStr">
        <is>
          <t>Mexique</t>
        </is>
      </c>
      <c r="H99" s="24" t="n">
        <v>591.45</v>
      </c>
      <c r="I99" s="25" t="n">
        <v>435154037</v>
      </c>
      <c r="J99" s="25" t="n">
        <v>735741.04</v>
      </c>
    </row>
    <row r="100">
      <c r="A100" t="n">
        <v>2015</v>
      </c>
      <c r="B100" t="inlineStr">
        <is>
          <t>GCO</t>
        </is>
      </c>
      <c r="C100" t="inlineStr">
        <is>
          <t>Zircon</t>
        </is>
      </c>
      <c r="D100" t="inlineStr">
        <is>
          <t>Tonne</t>
        </is>
      </c>
      <c r="E100" s="3" t="n">
        <v>898</v>
      </c>
      <c r="F100" s="3" t="n">
        <v>563295917</v>
      </c>
      <c r="G100" t="inlineStr">
        <is>
          <t>Pays-Bas</t>
        </is>
      </c>
      <c r="H100" s="24" t="n">
        <v>591.45</v>
      </c>
      <c r="I100" s="25" t="n">
        <v>563295917</v>
      </c>
      <c r="J100" s="25" t="n">
        <v>952398.2</v>
      </c>
    </row>
    <row r="101">
      <c r="A101" t="n">
        <v>2015</v>
      </c>
      <c r="B101" t="inlineStr">
        <is>
          <t>GCO</t>
        </is>
      </c>
      <c r="C101" t="inlineStr">
        <is>
          <t>Zircon</t>
        </is>
      </c>
      <c r="D101" t="inlineStr">
        <is>
          <t>Tonne</t>
        </is>
      </c>
      <c r="E101" s="3" t="n">
        <v>62</v>
      </c>
      <c r="F101" s="3" t="n">
        <v>39326847</v>
      </c>
      <c r="G101" t="inlineStr">
        <is>
          <t>Afrique du Sud</t>
        </is>
      </c>
      <c r="H101" s="24" t="n">
        <v>591.45</v>
      </c>
      <c r="I101" s="25" t="n">
        <v>39326847</v>
      </c>
      <c r="J101" s="25" t="n">
        <v>66492.25999999999</v>
      </c>
    </row>
    <row r="102">
      <c r="A102" t="n">
        <v>2015</v>
      </c>
      <c r="B102" t="inlineStr">
        <is>
          <t>GCO</t>
        </is>
      </c>
      <c r="C102" t="inlineStr">
        <is>
          <t>Zircon</t>
        </is>
      </c>
      <c r="D102" t="inlineStr">
        <is>
          <t>Tonne</t>
        </is>
      </c>
      <c r="E102" s="3" t="n">
        <v>4461</v>
      </c>
      <c r="F102" s="3" t="n">
        <v>2741057081</v>
      </c>
      <c r="G102" t="inlineStr">
        <is>
          <t>Espagne</t>
        </is>
      </c>
      <c r="H102" s="24" t="n">
        <v>591.45</v>
      </c>
      <c r="I102" s="25" t="n">
        <v>2741057081</v>
      </c>
      <c r="J102" s="25" t="n">
        <v>4634469.66</v>
      </c>
    </row>
    <row r="103">
      <c r="A103" t="n">
        <v>2015</v>
      </c>
      <c r="B103" t="inlineStr">
        <is>
          <t>GCO</t>
        </is>
      </c>
      <c r="C103" t="inlineStr">
        <is>
          <t>Zircon</t>
        </is>
      </c>
      <c r="D103" t="inlineStr">
        <is>
          <t>Tonne</t>
        </is>
      </c>
      <c r="E103" s="3" t="n">
        <v>745</v>
      </c>
      <c r="F103" s="3" t="n">
        <v>453706411</v>
      </c>
      <c r="G103" t="inlineStr">
        <is>
          <t>Turquie</t>
        </is>
      </c>
      <c r="H103" s="24" t="n">
        <v>591.45</v>
      </c>
      <c r="I103" s="25" t="n">
        <v>453706411</v>
      </c>
      <c r="J103" s="25" t="n">
        <v>767108.65</v>
      </c>
    </row>
    <row r="104">
      <c r="A104" t="n">
        <v>2015</v>
      </c>
      <c r="B104" t="inlineStr">
        <is>
          <t>GCO</t>
        </is>
      </c>
      <c r="C104" t="inlineStr">
        <is>
          <t>Zircon</t>
        </is>
      </c>
      <c r="D104" t="inlineStr">
        <is>
          <t>Tonne</t>
        </is>
      </c>
      <c r="E104" s="3" t="n">
        <v>6030</v>
      </c>
      <c r="F104" s="3" t="n">
        <v>4062690283</v>
      </c>
      <c r="G104" t="inlineStr">
        <is>
          <t>États-Unis</t>
        </is>
      </c>
      <c r="H104" s="24" t="n">
        <v>591.45</v>
      </c>
      <c r="I104" s="25" t="n">
        <v>4062690283</v>
      </c>
      <c r="J104" s="25" t="n">
        <v>6869034.21</v>
      </c>
    </row>
    <row r="105">
      <c r="A105" t="n">
        <v>2015</v>
      </c>
      <c r="B105" t="inlineStr">
        <is>
          <t>GCO</t>
        </is>
      </c>
      <c r="C105" t="inlineStr">
        <is>
          <t>Zircon</t>
        </is>
      </c>
      <c r="D105" t="inlineStr">
        <is>
          <t>Tonne</t>
        </is>
      </c>
      <c r="E105" s="3" t="n">
        <v>1996</v>
      </c>
      <c r="F105" s="3" t="n">
        <v>1223021307</v>
      </c>
      <c r="G105" t="inlineStr">
        <is>
          <t>Brésil</t>
        </is>
      </c>
      <c r="H105" s="24" t="n">
        <v>591.45</v>
      </c>
      <c r="I105" s="25" t="n">
        <v>1223021307</v>
      </c>
      <c r="J105" s="25" t="n">
        <v>2067835.5</v>
      </c>
    </row>
    <row r="106">
      <c r="A106" t="n">
        <v>2015</v>
      </c>
      <c r="B106" t="inlineStr">
        <is>
          <t>GCO</t>
        </is>
      </c>
      <c r="C106" t="inlineStr">
        <is>
          <t>Zircon</t>
        </is>
      </c>
      <c r="D106" t="inlineStr">
        <is>
          <t>Tonne</t>
        </is>
      </c>
      <c r="E106" s="3" t="n">
        <v>1809</v>
      </c>
      <c r="F106" s="3" t="n">
        <v>1065918398</v>
      </c>
      <c r="G106" t="inlineStr">
        <is>
          <t>Chine</t>
        </is>
      </c>
      <c r="H106" s="24" t="n">
        <v>591.45</v>
      </c>
      <c r="I106" s="25" t="n">
        <v>1065918398</v>
      </c>
      <c r="J106" s="25" t="n">
        <v>1802212.19</v>
      </c>
    </row>
    <row r="107">
      <c r="A107" t="n">
        <v>2015</v>
      </c>
      <c r="B107" t="inlineStr">
        <is>
          <t>GCO</t>
        </is>
      </c>
      <c r="C107" t="inlineStr">
        <is>
          <t>Zircon</t>
        </is>
      </c>
      <c r="D107" t="inlineStr">
        <is>
          <t>Tonne</t>
        </is>
      </c>
      <c r="E107" s="3" t="n">
        <v>1671</v>
      </c>
      <c r="F107" s="3" t="n">
        <v>985933584</v>
      </c>
      <c r="G107" t="inlineStr">
        <is>
          <t>Allemagne</t>
        </is>
      </c>
      <c r="H107" s="24" t="n">
        <v>591.45</v>
      </c>
      <c r="I107" s="25" t="n">
        <v>985933584</v>
      </c>
      <c r="J107" s="25" t="n">
        <v>1666977.06</v>
      </c>
    </row>
    <row r="108">
      <c r="A108" t="n">
        <v>2015</v>
      </c>
      <c r="B108" t="inlineStr">
        <is>
          <t>GCO</t>
        </is>
      </c>
      <c r="C108" t="inlineStr">
        <is>
          <t>Zircon</t>
        </is>
      </c>
      <c r="D108" t="inlineStr">
        <is>
          <t>Tonne</t>
        </is>
      </c>
      <c r="E108" s="3" t="n">
        <v>108</v>
      </c>
      <c r="F108" s="3" t="n">
        <v>71864109</v>
      </c>
      <c r="G108" t="inlineStr">
        <is>
          <t>Inde</t>
        </is>
      </c>
      <c r="H108" s="24" t="n">
        <v>591.45</v>
      </c>
      <c r="I108" s="25" t="n">
        <v>71864109</v>
      </c>
      <c r="J108" s="25" t="n">
        <v>121504.96</v>
      </c>
    </row>
    <row r="109">
      <c r="A109" t="n">
        <v>2015</v>
      </c>
      <c r="B109" t="inlineStr">
        <is>
          <t>GCO</t>
        </is>
      </c>
      <c r="C109" t="inlineStr">
        <is>
          <t>Zircon</t>
        </is>
      </c>
      <c r="D109" t="inlineStr">
        <is>
          <t>Tonne</t>
        </is>
      </c>
      <c r="E109" s="3" t="n">
        <v>2723</v>
      </c>
      <c r="F109" s="3" t="n">
        <v>1554022015</v>
      </c>
      <c r="G109" t="inlineStr">
        <is>
          <t>Italie</t>
        </is>
      </c>
      <c r="H109" s="24" t="n">
        <v>591.45</v>
      </c>
      <c r="I109" s="25" t="n">
        <v>1554022015</v>
      </c>
      <c r="J109" s="25" t="n">
        <v>2627478.26</v>
      </c>
    </row>
    <row r="110">
      <c r="A110" t="n">
        <v>2015</v>
      </c>
      <c r="B110" t="inlineStr">
        <is>
          <t>GCO</t>
        </is>
      </c>
      <c r="C110" t="inlineStr">
        <is>
          <t>Zircon</t>
        </is>
      </c>
      <c r="D110" t="inlineStr">
        <is>
          <t>Tonne</t>
        </is>
      </c>
      <c r="E110" s="3" t="n">
        <v>43</v>
      </c>
      <c r="F110" s="3" t="n">
        <v>26532888</v>
      </c>
      <c r="G110" t="inlineStr">
        <is>
          <t>Malaisie</t>
        </is>
      </c>
      <c r="H110" s="24" t="n">
        <v>591.45</v>
      </c>
      <c r="I110" s="25" t="n">
        <v>26532888</v>
      </c>
      <c r="J110" s="25" t="n">
        <v>44860.75</v>
      </c>
    </row>
    <row r="111">
      <c r="A111" t="n">
        <v>2015</v>
      </c>
      <c r="B111" t="inlineStr">
        <is>
          <t>GCO</t>
        </is>
      </c>
      <c r="C111" t="inlineStr">
        <is>
          <t>Zircon</t>
        </is>
      </c>
      <c r="D111" t="inlineStr">
        <is>
          <t>Tonne</t>
        </is>
      </c>
      <c r="E111" s="3" t="n">
        <v>209</v>
      </c>
      <c r="F111" s="3" t="n">
        <v>124134815</v>
      </c>
      <c r="G111" t="inlineStr">
        <is>
          <t>Mexique</t>
        </is>
      </c>
      <c r="H111" s="24" t="n">
        <v>591.45</v>
      </c>
      <c r="I111" s="25" t="n">
        <v>124134815</v>
      </c>
      <c r="J111" s="25" t="n">
        <v>209882.18</v>
      </c>
    </row>
    <row r="112">
      <c r="A112" t="n">
        <v>2015</v>
      </c>
      <c r="B112" t="inlineStr">
        <is>
          <t>GCO</t>
        </is>
      </c>
      <c r="C112" t="inlineStr">
        <is>
          <t>Zircon</t>
        </is>
      </c>
      <c r="D112" t="inlineStr">
        <is>
          <t>Tonne</t>
        </is>
      </c>
      <c r="E112" s="3" t="n">
        <v>1794</v>
      </c>
      <c r="F112" s="3" t="n">
        <v>1058379034</v>
      </c>
      <c r="G112" t="inlineStr">
        <is>
          <t>Pays-Bas</t>
        </is>
      </c>
      <c r="H112" s="24" t="n">
        <v>591.45</v>
      </c>
      <c r="I112" s="25" t="n">
        <v>1058379034</v>
      </c>
      <c r="J112" s="25" t="n">
        <v>1789464.93</v>
      </c>
    </row>
    <row r="113">
      <c r="A113" t="n">
        <v>2015</v>
      </c>
      <c r="B113" t="inlineStr">
        <is>
          <t>GCO</t>
        </is>
      </c>
      <c r="C113" t="inlineStr">
        <is>
          <t>Zircon</t>
        </is>
      </c>
      <c r="D113" t="inlineStr">
        <is>
          <t>Tonne</t>
        </is>
      </c>
      <c r="E113" s="3" t="n">
        <v>79</v>
      </c>
      <c r="F113" s="3" t="n">
        <v>48238816</v>
      </c>
      <c r="G113" t="inlineStr">
        <is>
          <t>Norvège</t>
        </is>
      </c>
      <c r="H113" s="24" t="n">
        <v>591.45</v>
      </c>
      <c r="I113" s="25" t="n">
        <v>48238816</v>
      </c>
      <c r="J113" s="25" t="n">
        <v>81560.25999999999</v>
      </c>
    </row>
    <row r="114">
      <c r="A114" t="n">
        <v>2015</v>
      </c>
      <c r="B114" t="inlineStr">
        <is>
          <t>GCO</t>
        </is>
      </c>
      <c r="C114" t="inlineStr">
        <is>
          <t>Zircon</t>
        </is>
      </c>
      <c r="D114" t="inlineStr">
        <is>
          <t>Tonne</t>
        </is>
      </c>
      <c r="E114" s="3" t="n">
        <v>4433</v>
      </c>
      <c r="F114" s="3" t="n">
        <v>2557285731</v>
      </c>
      <c r="G114" t="inlineStr">
        <is>
          <t>Espagne</t>
        </is>
      </c>
      <c r="H114" s="24" t="n">
        <v>591.45</v>
      </c>
      <c r="I114" s="25" t="n">
        <v>2557285731</v>
      </c>
      <c r="J114" s="25" t="n">
        <v>4323756.41</v>
      </c>
    </row>
    <row r="115">
      <c r="A115" t="n">
        <v>2015</v>
      </c>
      <c r="B115" t="inlineStr">
        <is>
          <t>GCO</t>
        </is>
      </c>
      <c r="C115" t="inlineStr">
        <is>
          <t>Zircon</t>
        </is>
      </c>
      <c r="D115" t="inlineStr">
        <is>
          <t>Tonne</t>
        </is>
      </c>
      <c r="E115" s="3" t="n">
        <v>649</v>
      </c>
      <c r="F115" s="3" t="n">
        <v>370515633</v>
      </c>
      <c r="G115" t="inlineStr">
        <is>
          <t>Turquie</t>
        </is>
      </c>
      <c r="H115" s="24" t="n">
        <v>591.45</v>
      </c>
      <c r="I115" s="25" t="n">
        <v>370515633</v>
      </c>
      <c r="J115" s="25" t="n">
        <v>626453.01</v>
      </c>
    </row>
    <row r="116">
      <c r="A116" t="n">
        <v>2015</v>
      </c>
      <c r="B116" t="inlineStr">
        <is>
          <t>GCO</t>
        </is>
      </c>
      <c r="C116" t="inlineStr">
        <is>
          <t>Zircon</t>
        </is>
      </c>
      <c r="D116" t="inlineStr">
        <is>
          <t>Tonne</t>
        </is>
      </c>
      <c r="E116" s="3" t="n">
        <v>3895</v>
      </c>
      <c r="F116" s="3" t="n">
        <v>2508165310</v>
      </c>
      <c r="G116" t="inlineStr">
        <is>
          <t>États-Unis</t>
        </is>
      </c>
      <c r="H116" s="24" t="n">
        <v>591.45</v>
      </c>
      <c r="I116" s="25" t="n">
        <v>2508165310</v>
      </c>
      <c r="J116" s="25" t="n">
        <v>4240705.57</v>
      </c>
    </row>
    <row r="117">
      <c r="A117" t="n">
        <v>2015</v>
      </c>
      <c r="B117" t="inlineStr">
        <is>
          <t>GCO</t>
        </is>
      </c>
      <c r="C117" t="inlineStr">
        <is>
          <t>Rutile</t>
        </is>
      </c>
      <c r="D117" t="inlineStr">
        <is>
          <t>Tonne</t>
        </is>
      </c>
      <c r="E117" s="3" t="n">
        <v>324</v>
      </c>
      <c r="F117" s="3" t="n">
        <v>152401165</v>
      </c>
      <c r="G117" t="inlineStr">
        <is>
          <t>Chine</t>
        </is>
      </c>
      <c r="H117" s="24" t="n">
        <v>591.45</v>
      </c>
      <c r="I117" s="25" t="n">
        <v>152401165</v>
      </c>
      <c r="J117" s="25" t="n">
        <v>257673.79</v>
      </c>
    </row>
    <row r="118">
      <c r="A118" t="n">
        <v>2015</v>
      </c>
      <c r="B118" t="inlineStr">
        <is>
          <t>GCO</t>
        </is>
      </c>
      <c r="C118" t="inlineStr">
        <is>
          <t>Rutile</t>
        </is>
      </c>
      <c r="D118" t="inlineStr">
        <is>
          <t>Tonne</t>
        </is>
      </c>
      <c r="E118" s="3" t="n">
        <v>20</v>
      </c>
      <c r="F118" s="3" t="n">
        <v>10097122</v>
      </c>
      <c r="G118" t="inlineStr">
        <is>
          <t>Luxembourg</t>
        </is>
      </c>
      <c r="H118" s="24" t="n">
        <v>591.45</v>
      </c>
      <c r="I118" s="25" t="n">
        <v>10097122</v>
      </c>
      <c r="J118" s="25" t="n">
        <v>17071.81</v>
      </c>
    </row>
    <row r="119">
      <c r="A119" t="n">
        <v>2015</v>
      </c>
      <c r="B119" t="inlineStr">
        <is>
          <t>GCO</t>
        </is>
      </c>
      <c r="C119" t="inlineStr">
        <is>
          <t>Rutile</t>
        </is>
      </c>
      <c r="D119" t="inlineStr">
        <is>
          <t>Tonne</t>
        </is>
      </c>
      <c r="E119" s="3" t="n">
        <v>100</v>
      </c>
      <c r="F119" s="3" t="n">
        <v>47613365</v>
      </c>
      <c r="G119" t="inlineStr">
        <is>
          <t>Pays-Bas</t>
        </is>
      </c>
      <c r="H119" s="24" t="n">
        <v>591.45</v>
      </c>
      <c r="I119" s="25" t="n">
        <v>47613365</v>
      </c>
      <c r="J119" s="25" t="n">
        <v>80502.77</v>
      </c>
    </row>
    <row r="120">
      <c r="A120" t="n">
        <v>2015</v>
      </c>
      <c r="B120" t="inlineStr">
        <is>
          <t>GCO</t>
        </is>
      </c>
      <c r="C120" t="inlineStr">
        <is>
          <t>Rutile</t>
        </is>
      </c>
      <c r="D120" t="inlineStr">
        <is>
          <t>Tonne</t>
        </is>
      </c>
      <c r="E120" s="3" t="n">
        <v>4</v>
      </c>
      <c r="F120" s="3" t="n">
        <v>2002816</v>
      </c>
      <c r="G120" t="inlineStr">
        <is>
          <t>Portugal</t>
        </is>
      </c>
      <c r="H120" s="24" t="n">
        <v>591.45</v>
      </c>
      <c r="I120" s="25" t="n">
        <v>2002816</v>
      </c>
      <c r="J120" s="25" t="n">
        <v>3386.28</v>
      </c>
    </row>
    <row r="121">
      <c r="A121" t="n">
        <v>2015</v>
      </c>
      <c r="B121" t="inlineStr">
        <is>
          <t>GCO</t>
        </is>
      </c>
      <c r="C121" t="inlineStr">
        <is>
          <t>Rutile</t>
        </is>
      </c>
      <c r="D121" t="inlineStr">
        <is>
          <t>Tonne</t>
        </is>
      </c>
      <c r="E121" s="3" t="n">
        <v>1523</v>
      </c>
      <c r="F121" s="3" t="n">
        <v>737763809</v>
      </c>
      <c r="G121" t="inlineStr">
        <is>
          <t>Corée du Sud</t>
        </is>
      </c>
      <c r="H121" s="24" t="n">
        <v>591.45</v>
      </c>
      <c r="I121" s="25" t="n">
        <v>737763809</v>
      </c>
      <c r="J121" s="25" t="n">
        <v>1247381.54</v>
      </c>
    </row>
    <row r="122">
      <c r="A122" t="n">
        <v>2015</v>
      </c>
      <c r="B122" t="inlineStr">
        <is>
          <t>GCO</t>
        </is>
      </c>
      <c r="C122" t="inlineStr">
        <is>
          <t>Leucoxène</t>
        </is>
      </c>
      <c r="D122" t="inlineStr">
        <is>
          <t>Tonne</t>
        </is>
      </c>
      <c r="E122" s="3" t="n">
        <v>2159</v>
      </c>
      <c r="F122" s="3" t="n">
        <v>493091465</v>
      </c>
      <c r="G122" t="inlineStr">
        <is>
          <t>Chine</t>
        </is>
      </c>
      <c r="H122" s="24" t="n">
        <v>591.45</v>
      </c>
      <c r="I122" s="25" t="n">
        <v>493091465</v>
      </c>
      <c r="J122" s="25" t="n">
        <v>833699.3199999999</v>
      </c>
    </row>
    <row r="123">
      <c r="A123" t="n">
        <v>2015</v>
      </c>
      <c r="B123" t="inlineStr">
        <is>
          <t>GCO</t>
        </is>
      </c>
      <c r="C123" t="inlineStr">
        <is>
          <t>Leucoxène</t>
        </is>
      </c>
      <c r="D123" t="inlineStr">
        <is>
          <t>Tonne</t>
        </is>
      </c>
      <c r="E123" s="3" t="n">
        <v>438</v>
      </c>
      <c r="F123" s="3" t="n">
        <v>119873654</v>
      </c>
      <c r="G123" t="inlineStr">
        <is>
          <t>Émirats Arabes Unis</t>
        </is>
      </c>
      <c r="H123" s="24" t="n">
        <v>591.45</v>
      </c>
      <c r="I123" s="25" t="n">
        <v>119873654</v>
      </c>
      <c r="J123" s="25" t="n">
        <v>202677.58</v>
      </c>
    </row>
    <row r="124">
      <c r="A124" t="n">
        <v>2015</v>
      </c>
      <c r="B124" t="inlineStr">
        <is>
          <t>GCO</t>
        </is>
      </c>
      <c r="C124" t="inlineStr">
        <is>
          <t>Leucoxène</t>
        </is>
      </c>
      <c r="D124" t="inlineStr">
        <is>
          <t>Tonne</t>
        </is>
      </c>
      <c r="E124" s="3" t="n">
        <v>20</v>
      </c>
      <c r="F124" s="3" t="n">
        <v>7197479</v>
      </c>
      <c r="G124" t="inlineStr">
        <is>
          <t>Luxembourg</t>
        </is>
      </c>
      <c r="H124" s="24" t="n">
        <v>591.45</v>
      </c>
      <c r="I124" s="25" t="n">
        <v>7197479</v>
      </c>
      <c r="J124" s="25" t="n">
        <v>12169.21</v>
      </c>
    </row>
    <row r="125">
      <c r="A125" t="n">
        <v>2015</v>
      </c>
      <c r="B125" t="inlineStr">
        <is>
          <t>GCO</t>
        </is>
      </c>
      <c r="C125" t="inlineStr">
        <is>
          <t>Leucoxène</t>
        </is>
      </c>
      <c r="D125" t="inlineStr">
        <is>
          <t>Tonne</t>
        </is>
      </c>
      <c r="E125" s="3" t="n">
        <v>21</v>
      </c>
      <c r="F125" s="3" t="n">
        <v>7495591</v>
      </c>
      <c r="G125" t="inlineStr">
        <is>
          <t>Corée du Sud</t>
        </is>
      </c>
      <c r="H125" s="24" t="n">
        <v>591.45</v>
      </c>
      <c r="I125" s="25" t="n">
        <v>7495591</v>
      </c>
      <c r="J125" s="25" t="n">
        <v>12673.25</v>
      </c>
    </row>
    <row r="126">
      <c r="A126" t="n">
        <v>2015</v>
      </c>
      <c r="B126" t="inlineStr">
        <is>
          <t>SSPT</t>
        </is>
      </c>
      <c r="C126" t="inlineStr">
        <is>
          <t>Attapulgite</t>
        </is>
      </c>
      <c r="D126" t="inlineStr">
        <is>
          <t>Tonne</t>
        </is>
      </c>
      <c r="E126" s="3" t="n">
        <v>86233</v>
      </c>
      <c r="F126" s="3" t="n">
        <v>2412531451</v>
      </c>
      <c r="G126" t="inlineStr">
        <is>
          <t>France</t>
        </is>
      </c>
      <c r="H126" s="24" t="n">
        <v>591.45</v>
      </c>
      <c r="I126" s="25" t="n">
        <v>2412531451</v>
      </c>
      <c r="J126" s="25" t="n">
        <v>4079011.67</v>
      </c>
    </row>
    <row r="127">
      <c r="A127" t="n">
        <v>2015</v>
      </c>
      <c r="B127" t="inlineStr">
        <is>
          <t>SSPT</t>
        </is>
      </c>
      <c r="C127" t="inlineStr">
        <is>
          <t>Attapulgite</t>
        </is>
      </c>
      <c r="D127" t="inlineStr">
        <is>
          <t>Tonne</t>
        </is>
      </c>
      <c r="E127" s="3" t="n">
        <v>42754</v>
      </c>
      <c r="F127" s="3" t="n">
        <v>1158384148</v>
      </c>
      <c r="G127" t="inlineStr">
        <is>
          <t>Pays-Bas</t>
        </is>
      </c>
      <c r="H127" s="24" t="n">
        <v>591.45</v>
      </c>
      <c r="I127" s="25" t="n">
        <v>1158384148</v>
      </c>
      <c r="J127" s="25" t="n">
        <v>1958549.58</v>
      </c>
    </row>
    <row r="128">
      <c r="A128" t="n">
        <v>2015</v>
      </c>
      <c r="B128" t="inlineStr">
        <is>
          <t>SSPT</t>
        </is>
      </c>
      <c r="C128" t="inlineStr">
        <is>
          <t>Attapulgite</t>
        </is>
      </c>
      <c r="D128" t="inlineStr">
        <is>
          <t>Tonne</t>
        </is>
      </c>
      <c r="E128" s="3" t="n">
        <v>53810</v>
      </c>
      <c r="F128" s="3" t="n">
        <v>1388799880</v>
      </c>
      <c r="G128" t="inlineStr">
        <is>
          <t>Royaume-Uni</t>
        </is>
      </c>
      <c r="H128" s="24" t="n">
        <v>591.45</v>
      </c>
      <c r="I128" s="25" t="n">
        <v>1388799880</v>
      </c>
      <c r="J128" s="25" t="n">
        <v>2348127.28</v>
      </c>
    </row>
    <row r="129">
      <c r="A129" t="n">
        <v>2015</v>
      </c>
      <c r="B129" t="inlineStr">
        <is>
          <t>SSPT</t>
        </is>
      </c>
      <c r="C129" t="inlineStr">
        <is>
          <t>Attapulgite</t>
        </is>
      </c>
      <c r="D129" t="inlineStr">
        <is>
          <t>Tonne</t>
        </is>
      </c>
      <c r="E129" s="3" t="n">
        <v>418</v>
      </c>
      <c r="F129" s="3" t="n">
        <v>23441510</v>
      </c>
      <c r="G129" t="inlineStr">
        <is>
          <t>Locale</t>
        </is>
      </c>
      <c r="H129" s="24" t="n">
        <v>591.45</v>
      </c>
      <c r="I129" s="25" t="n">
        <v>23441510</v>
      </c>
      <c r="J129" s="25" t="n">
        <v>39633.97</v>
      </c>
    </row>
    <row r="130">
      <c r="A130" t="n">
        <v>2015</v>
      </c>
      <c r="B130" t="inlineStr">
        <is>
          <t>SSPT</t>
        </is>
      </c>
      <c r="C130" t="inlineStr">
        <is>
          <t>Phosphate</t>
        </is>
      </c>
      <c r="D130" t="inlineStr">
        <is>
          <t>Tonne</t>
        </is>
      </c>
      <c r="E130" s="3" t="n">
        <v>200</v>
      </c>
      <c r="F130" s="3" t="n">
        <v>23160600</v>
      </c>
      <c r="G130" t="inlineStr">
        <is>
          <t>Angola</t>
        </is>
      </c>
      <c r="H130" s="24" t="n">
        <v>591.45</v>
      </c>
      <c r="I130" s="25" t="n">
        <v>23160600</v>
      </c>
      <c r="J130" s="25" t="n">
        <v>39159.02</v>
      </c>
    </row>
    <row r="131">
      <c r="A131" t="n">
        <v>2015</v>
      </c>
      <c r="B131" t="inlineStr">
        <is>
          <t>SSPT</t>
        </is>
      </c>
      <c r="C131" t="inlineStr">
        <is>
          <t>Phosphate</t>
        </is>
      </c>
      <c r="D131" t="inlineStr">
        <is>
          <t>Tonne</t>
        </is>
      </c>
      <c r="E131" s="3" t="n">
        <v>384</v>
      </c>
      <c r="F131" s="3" t="n">
        <v>36145920</v>
      </c>
      <c r="G131" t="inlineStr">
        <is>
          <t>Cameroun</t>
        </is>
      </c>
      <c r="H131" s="24" t="n">
        <v>591.45</v>
      </c>
      <c r="I131" s="25" t="n">
        <v>36145920</v>
      </c>
      <c r="J131" s="25" t="n">
        <v>61114.08</v>
      </c>
    </row>
    <row r="132">
      <c r="A132" t="n">
        <v>2015</v>
      </c>
      <c r="B132" t="inlineStr">
        <is>
          <t>SSPT</t>
        </is>
      </c>
      <c r="C132" t="inlineStr">
        <is>
          <t>Phosphate</t>
        </is>
      </c>
      <c r="D132" t="inlineStr">
        <is>
          <t>Tonne</t>
        </is>
      </c>
      <c r="E132" s="3" t="n">
        <v>1090</v>
      </c>
      <c r="F132" s="3" t="n">
        <v>60029576</v>
      </c>
      <c r="G132" t="inlineStr">
        <is>
          <t>Locale</t>
        </is>
      </c>
      <c r="H132" s="24" t="n">
        <v>591.45</v>
      </c>
      <c r="I132" s="25" t="n">
        <v>60029576</v>
      </c>
      <c r="J132" s="25" t="n">
        <v>101495.61</v>
      </c>
    </row>
    <row r="133">
      <c r="A133" t="n">
        <v>2015</v>
      </c>
      <c r="B133" t="inlineStr">
        <is>
          <t>DANGOTE</t>
        </is>
      </c>
      <c r="C133" t="inlineStr">
        <is>
          <t>Ciment</t>
        </is>
      </c>
      <c r="D133" t="inlineStr">
        <is>
          <t>Tonne</t>
        </is>
      </c>
      <c r="E133" s="3" t="n">
        <v>12050</v>
      </c>
      <c r="F133" s="3" t="n">
        <v>492707561</v>
      </c>
      <c r="G133" t="inlineStr">
        <is>
          <t>Gambie</t>
        </is>
      </c>
      <c r="H133" s="24" t="n">
        <v>591.45</v>
      </c>
      <c r="I133" s="25" t="n">
        <v>492707561</v>
      </c>
      <c r="J133" s="25" t="n">
        <v>833050.23</v>
      </c>
    </row>
    <row r="134">
      <c r="A134" t="n">
        <v>2015</v>
      </c>
      <c r="B134" t="inlineStr">
        <is>
          <t>DANGOTE</t>
        </is>
      </c>
      <c r="C134" t="inlineStr">
        <is>
          <t>Ciment</t>
        </is>
      </c>
      <c r="D134" t="inlineStr">
        <is>
          <t>Tonne</t>
        </is>
      </c>
      <c r="E134" s="3" t="n">
        <v>1370</v>
      </c>
      <c r="F134" s="3" t="n">
        <v>57868800</v>
      </c>
      <c r="G134" t="inlineStr">
        <is>
          <t>Guinée-Bissau</t>
        </is>
      </c>
      <c r="H134" s="24" t="n">
        <v>591.45</v>
      </c>
      <c r="I134" s="25" t="n">
        <v>57868800</v>
      </c>
      <c r="J134" s="25" t="n">
        <v>97842.25</v>
      </c>
    </row>
    <row r="135">
      <c r="A135" t="n">
        <v>2015</v>
      </c>
      <c r="B135" t="inlineStr">
        <is>
          <t>DANGOTE</t>
        </is>
      </c>
      <c r="C135" t="inlineStr">
        <is>
          <t>Ciment</t>
        </is>
      </c>
      <c r="D135" t="inlineStr">
        <is>
          <t>Tonne</t>
        </is>
      </c>
      <c r="E135" s="3" t="n">
        <v>18235</v>
      </c>
      <c r="F135" s="3" t="n">
        <v>706558340</v>
      </c>
      <c r="G135" t="inlineStr">
        <is>
          <t>Mali</t>
        </is>
      </c>
      <c r="H135" s="24" t="n">
        <v>591.45</v>
      </c>
      <c r="I135" s="25" t="n">
        <v>706558340</v>
      </c>
      <c r="J135" s="25" t="n">
        <v>1194620.58</v>
      </c>
    </row>
    <row r="136">
      <c r="A136" t="n">
        <v>2015</v>
      </c>
      <c r="B136" t="inlineStr">
        <is>
          <t>SOMIVA</t>
        </is>
      </c>
      <c r="C136" t="inlineStr">
        <is>
          <t>Phosphate</t>
        </is>
      </c>
      <c r="D136" t="inlineStr">
        <is>
          <t>Tonne</t>
        </is>
      </c>
      <c r="E136" s="3" t="n">
        <v>45371</v>
      </c>
      <c r="F136" s="3" t="n">
        <v>2140604690</v>
      </c>
      <c r="G136" t="inlineStr">
        <is>
          <t>Canada</t>
        </is>
      </c>
      <c r="H136" s="24" t="n">
        <v>591.45</v>
      </c>
      <c r="I136" s="25" t="n">
        <v>2140604690</v>
      </c>
      <c r="J136" s="25" t="n">
        <v>3619248.78</v>
      </c>
    </row>
    <row r="137">
      <c r="A137" t="n">
        <v>2015</v>
      </c>
      <c r="B137" t="inlineStr">
        <is>
          <t>SOMIVA</t>
        </is>
      </c>
      <c r="C137" t="inlineStr">
        <is>
          <t>Phosphate</t>
        </is>
      </c>
      <c r="D137" t="inlineStr">
        <is>
          <t>Tonne</t>
        </is>
      </c>
      <c r="E137" s="3" t="n">
        <v>173824</v>
      </c>
      <c r="F137" s="3" t="n">
        <v>9969039563</v>
      </c>
      <c r="G137" t="inlineStr">
        <is>
          <t>Liban</t>
        </is>
      </c>
      <c r="H137" s="24" t="n">
        <v>591.45</v>
      </c>
      <c r="I137" s="25" t="n">
        <v>9969039563</v>
      </c>
      <c r="J137" s="25" t="n">
        <v>16855253.3</v>
      </c>
    </row>
    <row r="138">
      <c r="A138" t="n">
        <v>2015</v>
      </c>
      <c r="B138" t="inlineStr">
        <is>
          <t>SOMIVA</t>
        </is>
      </c>
      <c r="C138" t="inlineStr">
        <is>
          <t>Phosphate</t>
        </is>
      </c>
      <c r="D138" t="inlineStr">
        <is>
          <t>Tonne</t>
        </is>
      </c>
      <c r="E138" s="3" t="n">
        <v>73056</v>
      </c>
      <c r="F138" s="3" t="n">
        <v>3457854444</v>
      </c>
      <c r="G138" t="inlineStr">
        <is>
          <t>Suisse</t>
        </is>
      </c>
      <c r="H138" s="24" t="n">
        <v>591.45</v>
      </c>
      <c r="I138" s="25" t="n">
        <v>3457854444</v>
      </c>
      <c r="J138" s="25" t="n">
        <v>5846401.97</v>
      </c>
    </row>
    <row r="139">
      <c r="A139" t="n">
        <v>2015</v>
      </c>
      <c r="B139" t="inlineStr">
        <is>
          <t>SEPHOS</t>
        </is>
      </c>
      <c r="C139" t="inlineStr">
        <is>
          <t>Phosphate</t>
        </is>
      </c>
      <c r="D139" t="inlineStr">
        <is>
          <t>Tonne</t>
        </is>
      </c>
      <c r="E139" s="3" t="n">
        <v>16509</v>
      </c>
      <c r="F139" s="3" t="n">
        <v>546767468</v>
      </c>
      <c r="G139" t="inlineStr">
        <is>
          <t>Brésil</t>
        </is>
      </c>
      <c r="H139" s="24" t="n">
        <v>591.45</v>
      </c>
      <c r="I139" s="25" t="n">
        <v>546767468</v>
      </c>
      <c r="J139" s="25" t="n">
        <v>924452.5600000001</v>
      </c>
    </row>
    <row r="140">
      <c r="A140" t="n">
        <v>2015</v>
      </c>
      <c r="B140" t="inlineStr">
        <is>
          <t>SEPHOS</t>
        </is>
      </c>
      <c r="C140" t="inlineStr">
        <is>
          <t>Phosphate</t>
        </is>
      </c>
      <c r="D140" t="inlineStr">
        <is>
          <t>Tonne</t>
        </is>
      </c>
      <c r="E140" s="3" t="n">
        <v>76534</v>
      </c>
      <c r="F140" s="3" t="n">
        <v>2108539403</v>
      </c>
      <c r="G140" t="inlineStr">
        <is>
          <t>Espagne</t>
        </is>
      </c>
      <c r="H140" s="24" t="n">
        <v>591.45</v>
      </c>
      <c r="I140" s="25" t="n">
        <v>2108539403</v>
      </c>
      <c r="J140" s="25" t="n">
        <v>3565034.07</v>
      </c>
    </row>
    <row r="141">
      <c r="A141" t="n">
        <v>2015</v>
      </c>
      <c r="B141" t="inlineStr">
        <is>
          <t>SEPHOS</t>
        </is>
      </c>
      <c r="C141" t="inlineStr">
        <is>
          <t>Phosphate</t>
        </is>
      </c>
      <c r="D141" t="inlineStr">
        <is>
          <t>Tonne</t>
        </is>
      </c>
      <c r="E141" s="3" t="n">
        <v>67888</v>
      </c>
      <c r="F141" s="3" t="n">
        <v>2212868408</v>
      </c>
      <c r="G141" t="inlineStr">
        <is>
          <t>Inde</t>
        </is>
      </c>
      <c r="H141" s="24" t="n">
        <v>591.45</v>
      </c>
      <c r="I141" s="25" t="n">
        <v>2212868408</v>
      </c>
      <c r="J141" s="25" t="n">
        <v>3741429.38</v>
      </c>
    </row>
    <row r="142">
      <c r="A142" t="n">
        <v>2015</v>
      </c>
      <c r="B142" t="inlineStr">
        <is>
          <t>SEPHOS</t>
        </is>
      </c>
      <c r="C142" t="inlineStr">
        <is>
          <t>Phosphate</t>
        </is>
      </c>
      <c r="D142" t="inlineStr">
        <is>
          <t>Tonne</t>
        </is>
      </c>
      <c r="E142" s="3" t="n">
        <v>12528</v>
      </c>
      <c r="F142" s="3" t="n">
        <v>320487566</v>
      </c>
      <c r="G142" t="inlineStr">
        <is>
          <t>Indonésie</t>
        </is>
      </c>
      <c r="H142" s="24" t="n">
        <v>591.45</v>
      </c>
      <c r="I142" s="25" t="n">
        <v>320487566</v>
      </c>
      <c r="J142" s="25" t="n">
        <v>541867.5600000001</v>
      </c>
    </row>
    <row r="143">
      <c r="A143" t="n">
        <v>2015</v>
      </c>
      <c r="B143" t="inlineStr">
        <is>
          <t>SEPHOS</t>
        </is>
      </c>
      <c r="C143" t="inlineStr">
        <is>
          <t>Phosphate</t>
        </is>
      </c>
      <c r="D143" t="inlineStr">
        <is>
          <t>Tonne</t>
        </is>
      </c>
      <c r="E143" s="3" t="n">
        <v>9333</v>
      </c>
      <c r="F143" s="3" t="n">
        <v>141424159</v>
      </c>
      <c r="G143" t="inlineStr">
        <is>
          <t>Italie</t>
        </is>
      </c>
      <c r="H143" s="24" t="n">
        <v>591.45</v>
      </c>
      <c r="I143" s="25" t="n">
        <v>141424159</v>
      </c>
      <c r="J143" s="25" t="n">
        <v>239114.31</v>
      </c>
    </row>
    <row r="144">
      <c r="A144" t="n">
        <v>2015</v>
      </c>
      <c r="B144" t="inlineStr">
        <is>
          <t>SEPHOS</t>
        </is>
      </c>
      <c r="C144" t="inlineStr">
        <is>
          <t>Phosphate</t>
        </is>
      </c>
      <c r="D144" t="inlineStr">
        <is>
          <t>Tonne</t>
        </is>
      </c>
      <c r="E144" s="3" t="n">
        <v>325</v>
      </c>
      <c r="F144" s="3" t="n">
        <v>20166289</v>
      </c>
      <c r="G144" t="inlineStr">
        <is>
          <t>Libéria</t>
        </is>
      </c>
      <c r="H144" s="24" t="n">
        <v>591.45</v>
      </c>
      <c r="I144" s="25" t="n">
        <v>20166289</v>
      </c>
      <c r="J144" s="25" t="n">
        <v>34096.35</v>
      </c>
    </row>
    <row r="145">
      <c r="A145" t="n">
        <v>2015</v>
      </c>
      <c r="B145" t="inlineStr">
        <is>
          <t>SEPHOS</t>
        </is>
      </c>
      <c r="C145" t="inlineStr">
        <is>
          <t>Phosphate</t>
        </is>
      </c>
      <c r="D145" t="inlineStr">
        <is>
          <t>Tonne</t>
        </is>
      </c>
      <c r="E145" s="4" t="n">
        <v>31305.461</v>
      </c>
      <c r="F145" s="3" t="n">
        <v>788557010</v>
      </c>
      <c r="G145" t="inlineStr">
        <is>
          <t>Malaisie</t>
        </is>
      </c>
      <c r="H145" s="24" t="n">
        <v>591.45</v>
      </c>
      <c r="I145" s="25" t="n">
        <v>788557010</v>
      </c>
      <c r="J145" s="25" t="n">
        <v>1333260.65</v>
      </c>
    </row>
    <row r="146">
      <c r="A146" t="n">
        <v>2015</v>
      </c>
      <c r="B146" t="inlineStr">
        <is>
          <t>SEPHOS</t>
        </is>
      </c>
      <c r="C146" t="inlineStr">
        <is>
          <t>Phosphate</t>
        </is>
      </c>
      <c r="D146" t="inlineStr">
        <is>
          <t>Tonne</t>
        </is>
      </c>
      <c r="E146" s="3" t="n">
        <v>199865</v>
      </c>
      <c r="F146" s="3" t="n">
        <v>7196026537</v>
      </c>
      <c r="G146" t="inlineStr">
        <is>
          <t>Pologne</t>
        </is>
      </c>
      <c r="H146" s="24" t="n">
        <v>591.45</v>
      </c>
      <c r="I146" s="25" t="n">
        <v>7196026537</v>
      </c>
      <c r="J146" s="25" t="n">
        <v>12166753.8</v>
      </c>
    </row>
    <row r="147">
      <c r="A147" t="n">
        <v>2015</v>
      </c>
      <c r="B147" t="inlineStr">
        <is>
          <t>SEPHOS</t>
        </is>
      </c>
      <c r="C147" t="inlineStr">
        <is>
          <t>Phosphate</t>
        </is>
      </c>
      <c r="D147" t="inlineStr">
        <is>
          <t>Tonne</t>
        </is>
      </c>
      <c r="E147" s="4" t="n">
        <v>7599.614</v>
      </c>
      <c r="F147" s="3" t="n">
        <v>229340803</v>
      </c>
      <c r="G147" t="inlineStr">
        <is>
          <t>Portugal</t>
        </is>
      </c>
      <c r="H147" s="24" t="n">
        <v>591.45</v>
      </c>
      <c r="I147" s="25" t="n">
        <v>229340803</v>
      </c>
      <c r="J147" s="25" t="n">
        <v>387760.26</v>
      </c>
    </row>
    <row r="148">
      <c r="A148" t="n">
        <v>2015</v>
      </c>
      <c r="B148" t="inlineStr">
        <is>
          <t>SEPHOS</t>
        </is>
      </c>
      <c r="C148" t="inlineStr">
        <is>
          <t>Phosphate</t>
        </is>
      </c>
      <c r="D148" t="inlineStr">
        <is>
          <t>Tonne</t>
        </is>
      </c>
      <c r="E148" s="3" t="n">
        <v>2834</v>
      </c>
      <c r="F148" s="3" t="n">
        <v>108284561</v>
      </c>
      <c r="G148" t="inlineStr">
        <is>
          <t>Sierra Leone</t>
        </is>
      </c>
      <c r="H148" s="24" t="n">
        <v>591.45</v>
      </c>
      <c r="I148" s="25" t="n">
        <v>108284561</v>
      </c>
      <c r="J148" s="25" t="n">
        <v>183083.2</v>
      </c>
    </row>
    <row r="149">
      <c r="A149" t="n">
        <v>2015</v>
      </c>
      <c r="B149" t="inlineStr">
        <is>
          <t>SEPHOS</t>
        </is>
      </c>
      <c r="C149" t="inlineStr">
        <is>
          <t>Phosphate</t>
        </is>
      </c>
      <c r="D149" t="inlineStr">
        <is>
          <t>Tonne</t>
        </is>
      </c>
      <c r="E149" s="3" t="n">
        <v>125</v>
      </c>
      <c r="F149" s="3" t="n">
        <v>13084013</v>
      </c>
      <c r="G149" t="inlineStr">
        <is>
          <t>Locale</t>
        </is>
      </c>
      <c r="H149" s="24" t="n">
        <v>591.45</v>
      </c>
      <c r="I149" s="25" t="n">
        <v>13084013</v>
      </c>
      <c r="J149" s="25" t="n">
        <v>22121.93</v>
      </c>
    </row>
    <row r="150">
      <c r="A150" t="n">
        <v>2015</v>
      </c>
      <c r="B150" t="inlineStr">
        <is>
          <t>AIG</t>
        </is>
      </c>
      <c r="C150" t="inlineStr">
        <is>
          <t>Phosphate</t>
        </is>
      </c>
      <c r="D150" t="inlineStr">
        <is>
          <t>Tonne</t>
        </is>
      </c>
      <c r="E150" s="3" t="n">
        <v>222754</v>
      </c>
      <c r="F150" s="3" t="n">
        <v>9522341287</v>
      </c>
      <c r="G150" t="inlineStr">
        <is>
          <t>Pologne</t>
        </is>
      </c>
      <c r="H150" s="24" t="n">
        <v>591.45</v>
      </c>
      <c r="I150" s="25" t="n">
        <v>9522341287</v>
      </c>
      <c r="J150" s="25" t="n">
        <v>16099993.72</v>
      </c>
    </row>
    <row r="151">
      <c r="A151" t="n">
        <v>2015</v>
      </c>
      <c r="B151" t="inlineStr">
        <is>
          <t>GECAMINES</t>
        </is>
      </c>
      <c r="C151" t="inlineStr">
        <is>
          <t>Basalte</t>
        </is>
      </c>
      <c r="D151" t="inlineStr">
        <is>
          <t>Tonne</t>
        </is>
      </c>
      <c r="E151" s="3" t="n">
        <v>92099</v>
      </c>
      <c r="F151" s="3" t="n">
        <v>548550818</v>
      </c>
      <c r="G151" t="inlineStr">
        <is>
          <t>Gambie</t>
        </is>
      </c>
      <c r="H151" s="24" t="n">
        <v>591.45</v>
      </c>
      <c r="I151" s="25" t="n">
        <v>548550818</v>
      </c>
      <c r="J151" s="25" t="n">
        <v>927467.78</v>
      </c>
    </row>
    <row r="152">
      <c r="A152" t="n">
        <v>2016</v>
      </c>
      <c r="B152" t="inlineStr">
        <is>
          <t>SOCOCIM</t>
        </is>
      </c>
      <c r="C152" t="inlineStr">
        <is>
          <t>Ciment</t>
        </is>
      </c>
      <c r="D152" t="inlineStr">
        <is>
          <t>Tonne</t>
        </is>
      </c>
      <c r="E152" s="3" t="n">
        <v>332</v>
      </c>
      <c r="F152" s="3" t="n">
        <v>13172100</v>
      </c>
      <c r="G152" t="inlineStr">
        <is>
          <t>Burkina Faso</t>
        </is>
      </c>
      <c r="H152" s="24" t="n">
        <v>593.008</v>
      </c>
      <c r="I152" s="25" t="n">
        <v>13172100</v>
      </c>
      <c r="J152" s="25" t="n">
        <v>22212.35</v>
      </c>
    </row>
    <row r="153">
      <c r="A153" t="n">
        <v>2016</v>
      </c>
      <c r="B153" t="inlineStr">
        <is>
          <t>SOCOCIM</t>
        </is>
      </c>
      <c r="C153" t="inlineStr">
        <is>
          <t>Ciment</t>
        </is>
      </c>
      <c r="D153" t="inlineStr">
        <is>
          <t>Tonne</t>
        </is>
      </c>
      <c r="E153" s="3" t="n">
        <v>34832</v>
      </c>
      <c r="F153" s="3" t="n">
        <v>1161791321</v>
      </c>
      <c r="G153" t="inlineStr">
        <is>
          <t>Gambie</t>
        </is>
      </c>
      <c r="H153" s="24" t="n">
        <v>593.008</v>
      </c>
      <c r="I153" s="25" t="n">
        <v>1161791321</v>
      </c>
      <c r="J153" s="25" t="n">
        <v>1959149.49</v>
      </c>
    </row>
    <row r="154">
      <c r="A154" t="n">
        <v>2016</v>
      </c>
      <c r="B154" t="inlineStr">
        <is>
          <t>SOCOCIM</t>
        </is>
      </c>
      <c r="C154" t="inlineStr">
        <is>
          <t>Ciment</t>
        </is>
      </c>
      <c r="D154" t="inlineStr">
        <is>
          <t>Tonne</t>
        </is>
      </c>
      <c r="E154" s="3" t="n">
        <v>160</v>
      </c>
      <c r="F154" s="3" t="n">
        <v>6404000</v>
      </c>
      <c r="G154" t="inlineStr">
        <is>
          <t>Guinée</t>
        </is>
      </c>
      <c r="H154" s="24" t="n">
        <v>593.008</v>
      </c>
      <c r="I154" s="25" t="n">
        <v>6404000</v>
      </c>
      <c r="J154" s="25" t="n">
        <v>10799.18</v>
      </c>
    </row>
    <row r="155">
      <c r="A155" t="n">
        <v>2016</v>
      </c>
      <c r="B155" t="inlineStr">
        <is>
          <t>SOCOCIM</t>
        </is>
      </c>
      <c r="C155" t="inlineStr">
        <is>
          <t>Ciment</t>
        </is>
      </c>
      <c r="D155" t="inlineStr">
        <is>
          <t>Tonne</t>
        </is>
      </c>
      <c r="E155" s="3" t="n">
        <v>18576</v>
      </c>
      <c r="F155" s="3" t="n">
        <v>777276010</v>
      </c>
      <c r="G155" t="inlineStr">
        <is>
          <t>Guinée-Bissau</t>
        </is>
      </c>
      <c r="H155" s="24" t="n">
        <v>593.008</v>
      </c>
      <c r="I155" s="25" t="n">
        <v>777276010</v>
      </c>
      <c r="J155" s="25" t="n">
        <v>1310734.44</v>
      </c>
    </row>
    <row r="156">
      <c r="A156" t="n">
        <v>2016</v>
      </c>
      <c r="B156" t="inlineStr">
        <is>
          <t>SOCOCIM</t>
        </is>
      </c>
      <c r="C156" t="inlineStr">
        <is>
          <t>Ciment</t>
        </is>
      </c>
      <c r="D156" t="inlineStr">
        <is>
          <t>Tonne</t>
        </is>
      </c>
      <c r="E156" s="3" t="n">
        <v>784605</v>
      </c>
      <c r="F156" s="3" t="n">
        <v>29417738467</v>
      </c>
      <c r="G156" t="inlineStr">
        <is>
          <t>Mali</t>
        </is>
      </c>
      <c r="H156" s="24" t="n">
        <v>593.008</v>
      </c>
      <c r="I156" s="25" t="n">
        <v>29417738467</v>
      </c>
      <c r="J156" s="25" t="n">
        <v>49607658.69</v>
      </c>
    </row>
    <row r="157">
      <c r="A157" t="n">
        <v>2016</v>
      </c>
      <c r="B157" t="inlineStr">
        <is>
          <t>SOCOCIM</t>
        </is>
      </c>
      <c r="C157" t="inlineStr">
        <is>
          <t>Ciment</t>
        </is>
      </c>
      <c r="D157" t="inlineStr">
        <is>
          <t>Tonne</t>
        </is>
      </c>
      <c r="E157" s="3" t="n">
        <v>7292</v>
      </c>
      <c r="F157" s="3" t="n">
        <v>287514225</v>
      </c>
      <c r="G157" t="inlineStr">
        <is>
          <t>Mauritanie</t>
        </is>
      </c>
      <c r="H157" s="24" t="n">
        <v>593.008</v>
      </c>
      <c r="I157" s="25" t="n">
        <v>287514225</v>
      </c>
      <c r="J157" s="25" t="n">
        <v>484840.38</v>
      </c>
    </row>
    <row r="158">
      <c r="A158" t="n">
        <v>2016</v>
      </c>
      <c r="B158" t="inlineStr">
        <is>
          <t>SGO</t>
        </is>
      </c>
      <c r="C158" t="inlineStr">
        <is>
          <t>Or</t>
        </is>
      </c>
      <c r="D158" t="inlineStr">
        <is>
          <t>Tonne</t>
        </is>
      </c>
      <c r="E158" s="8" t="n">
        <v>6.76973393</v>
      </c>
      <c r="F158" s="3" t="n">
        <v>158823700311</v>
      </c>
      <c r="G158" t="inlineStr">
        <is>
          <t>Suisse</t>
        </is>
      </c>
      <c r="H158" s="24" t="n">
        <v>593.008</v>
      </c>
      <c r="I158" s="25" t="n">
        <v>158823700311</v>
      </c>
      <c r="J158" s="25" t="n">
        <v>267827247.37</v>
      </c>
    </row>
    <row r="159">
      <c r="A159" t="n">
        <v>2016</v>
      </c>
      <c r="B159" t="inlineStr">
        <is>
          <t>SGO</t>
        </is>
      </c>
      <c r="C159" t="inlineStr">
        <is>
          <t>Argent</t>
        </is>
      </c>
      <c r="D159" t="inlineStr">
        <is>
          <t>Tonne</t>
        </is>
      </c>
      <c r="E159" s="8" t="n">
        <v>0.58269253</v>
      </c>
      <c r="F159" s="3" t="n">
        <v>199447095</v>
      </c>
      <c r="G159" t="inlineStr">
        <is>
          <t>Suisse</t>
        </is>
      </c>
      <c r="H159" s="24" t="n">
        <v>593.008</v>
      </c>
      <c r="I159" s="25" t="n">
        <v>199447095</v>
      </c>
      <c r="J159" s="25" t="n">
        <v>336331.2</v>
      </c>
    </row>
    <row r="160">
      <c r="A160" t="n">
        <v>2016</v>
      </c>
      <c r="B160" t="inlineStr">
        <is>
          <t>CDS</t>
        </is>
      </c>
      <c r="C160" t="inlineStr">
        <is>
          <t>Ciment</t>
        </is>
      </c>
      <c r="D160" t="inlineStr">
        <is>
          <t>Tonne</t>
        </is>
      </c>
      <c r="E160" s="3" t="n">
        <v>1136389</v>
      </c>
      <c r="F160" s="3" t="n">
        <v>45008559300</v>
      </c>
      <c r="G160" t="inlineStr">
        <is>
          <t>Zone UEMOA</t>
        </is>
      </c>
      <c r="H160" s="24" t="n">
        <v>593.008</v>
      </c>
      <c r="I160" s="25" t="n">
        <v>45008559300</v>
      </c>
      <c r="J160" s="25" t="n">
        <v>75898738.8</v>
      </c>
    </row>
    <row r="161">
      <c r="A161" t="n">
        <v>2016</v>
      </c>
      <c r="B161" t="inlineStr">
        <is>
          <t>CDS</t>
        </is>
      </c>
      <c r="C161" t="inlineStr">
        <is>
          <t>Ciment</t>
        </is>
      </c>
      <c r="D161" t="inlineStr">
        <is>
          <t>Tonne</t>
        </is>
      </c>
      <c r="E161" s="3" t="n">
        <v>808665</v>
      </c>
      <c r="F161" s="3" t="n">
        <v>33964143475</v>
      </c>
      <c r="G161" t="inlineStr">
        <is>
          <t>Zone hors UEMOA</t>
        </is>
      </c>
      <c r="H161" s="24" t="n">
        <v>593.008</v>
      </c>
      <c r="I161" s="25" t="n">
        <v>33964143475</v>
      </c>
      <c r="J161" s="25" t="n">
        <v>57274342.8</v>
      </c>
    </row>
    <row r="162">
      <c r="A162" t="n">
        <v>2016</v>
      </c>
      <c r="B162" t="inlineStr">
        <is>
          <t>GCO</t>
        </is>
      </c>
      <c r="C162" t="inlineStr">
        <is>
          <t>Ilménite</t>
        </is>
      </c>
      <c r="D162" t="inlineStr">
        <is>
          <t>Tonne</t>
        </is>
      </c>
      <c r="E162" s="3" t="n">
        <v>142042</v>
      </c>
      <c r="F162" s="3" t="n">
        <v>9116452148</v>
      </c>
      <c r="G162" t="inlineStr">
        <is>
          <t>Chine</t>
        </is>
      </c>
      <c r="H162" s="24" t="n">
        <v>593.008</v>
      </c>
      <c r="I162" s="25" t="n">
        <v>9116452148</v>
      </c>
      <c r="J162" s="25" t="n">
        <v>15373236.36</v>
      </c>
    </row>
    <row r="163">
      <c r="A163" t="n">
        <v>2016</v>
      </c>
      <c r="B163" t="inlineStr">
        <is>
          <t>GCO</t>
        </is>
      </c>
      <c r="C163" t="inlineStr">
        <is>
          <t>Ilménite</t>
        </is>
      </c>
      <c r="D163" t="inlineStr">
        <is>
          <t>Tonne</t>
        </is>
      </c>
      <c r="E163" s="3" t="n">
        <v>13211</v>
      </c>
      <c r="F163" s="3" t="n">
        <v>1084919507</v>
      </c>
      <c r="G163" t="inlineStr">
        <is>
          <t>Japon</t>
        </is>
      </c>
      <c r="H163" s="24" t="n">
        <v>593.008</v>
      </c>
      <c r="I163" s="25" t="n">
        <v>1084919507</v>
      </c>
      <c r="J163" s="25" t="n">
        <v>1829519.18</v>
      </c>
    </row>
    <row r="164">
      <c r="A164" t="n">
        <v>2016</v>
      </c>
      <c r="B164" t="inlineStr">
        <is>
          <t>GCO</t>
        </is>
      </c>
      <c r="C164" t="inlineStr">
        <is>
          <t>Ilménite</t>
        </is>
      </c>
      <c r="D164" t="inlineStr">
        <is>
          <t>Tonne</t>
        </is>
      </c>
      <c r="E164" s="3" t="n">
        <v>175871</v>
      </c>
      <c r="F164" s="3" t="n">
        <v>9305515648</v>
      </c>
      <c r="G164" t="inlineStr">
        <is>
          <t>Norvège</t>
        </is>
      </c>
      <c r="H164" s="24" t="n">
        <v>593.008</v>
      </c>
      <c r="I164" s="25" t="n">
        <v>9305515648</v>
      </c>
      <c r="J164" s="25" t="n">
        <v>15692057.52</v>
      </c>
    </row>
    <row r="165">
      <c r="A165" t="n">
        <v>2016</v>
      </c>
      <c r="B165" t="inlineStr">
        <is>
          <t>GCO</t>
        </is>
      </c>
      <c r="C165" t="inlineStr">
        <is>
          <t>Ilménite</t>
        </is>
      </c>
      <c r="D165" t="inlineStr">
        <is>
          <t>Tonne</t>
        </is>
      </c>
      <c r="E165" s="3" t="n">
        <v>27761</v>
      </c>
      <c r="F165" s="3" t="n">
        <v>2583954951</v>
      </c>
      <c r="G165" t="inlineStr">
        <is>
          <t>Mexique</t>
        </is>
      </c>
      <c r="H165" s="24" t="n">
        <v>593.008</v>
      </c>
      <c r="I165" s="25" t="n">
        <v>2583954951</v>
      </c>
      <c r="J165" s="25" t="n">
        <v>4357369.46</v>
      </c>
    </row>
    <row r="166">
      <c r="A166" t="n">
        <v>2016</v>
      </c>
      <c r="B166" t="inlineStr">
        <is>
          <t>GCO</t>
        </is>
      </c>
      <c r="C166" t="inlineStr">
        <is>
          <t>Ilménite</t>
        </is>
      </c>
      <c r="D166" t="inlineStr">
        <is>
          <t>Tonne</t>
        </is>
      </c>
      <c r="E166" s="3" t="n">
        <v>51939</v>
      </c>
      <c r="F166" s="3" t="n">
        <v>4879431058</v>
      </c>
      <c r="G166" t="inlineStr">
        <is>
          <t>États-Unis</t>
        </is>
      </c>
      <c r="H166" s="24" t="n">
        <v>593.008</v>
      </c>
      <c r="I166" s="25" t="n">
        <v>4879431058</v>
      </c>
      <c r="J166" s="25" t="n">
        <v>8228271.89</v>
      </c>
    </row>
    <row r="167">
      <c r="A167" t="n">
        <v>2016</v>
      </c>
      <c r="B167" t="inlineStr">
        <is>
          <t>GCO</t>
        </is>
      </c>
      <c r="C167" t="inlineStr">
        <is>
          <t>Zircon</t>
        </is>
      </c>
      <c r="D167" t="inlineStr">
        <is>
          <t>Tonne</t>
        </is>
      </c>
      <c r="E167" s="3" t="n">
        <v>360</v>
      </c>
      <c r="F167" s="3" t="n">
        <v>226861184</v>
      </c>
      <c r="G167" t="inlineStr">
        <is>
          <t>Australie</t>
        </is>
      </c>
      <c r="H167" s="24" t="n">
        <v>593.008</v>
      </c>
      <c r="I167" s="25" t="n">
        <v>226861184</v>
      </c>
      <c r="J167" s="25" t="n">
        <v>382560.07</v>
      </c>
    </row>
    <row r="168">
      <c r="A168" t="n">
        <v>2016</v>
      </c>
      <c r="B168" t="inlineStr">
        <is>
          <t>GCO</t>
        </is>
      </c>
      <c r="C168" t="inlineStr">
        <is>
          <t>Zircon</t>
        </is>
      </c>
      <c r="D168" t="inlineStr">
        <is>
          <t>Tonne</t>
        </is>
      </c>
      <c r="E168" s="3" t="n">
        <v>3960</v>
      </c>
      <c r="F168" s="3" t="n">
        <v>2163790092</v>
      </c>
      <c r="G168" t="inlineStr">
        <is>
          <t>Brésil</t>
        </is>
      </c>
      <c r="H168" s="24" t="n">
        <v>593.008</v>
      </c>
      <c r="I168" s="25" t="n">
        <v>2163790092</v>
      </c>
      <c r="J168" s="25" t="n">
        <v>3648837.94</v>
      </c>
    </row>
    <row r="169">
      <c r="A169" t="n">
        <v>2016</v>
      </c>
      <c r="B169" t="inlineStr">
        <is>
          <t>GCO</t>
        </is>
      </c>
      <c r="C169" t="inlineStr">
        <is>
          <t>Zircon</t>
        </is>
      </c>
      <c r="D169" t="inlineStr">
        <is>
          <t>Tonne</t>
        </is>
      </c>
      <c r="E169" s="3" t="n">
        <v>5179</v>
      </c>
      <c r="F169" s="3" t="n">
        <v>2721677631</v>
      </c>
      <c r="G169" t="inlineStr">
        <is>
          <t>Chine</t>
        </is>
      </c>
      <c r="H169" s="24" t="n">
        <v>593.008</v>
      </c>
      <c r="I169" s="25" t="n">
        <v>2721677631</v>
      </c>
      <c r="J169" s="25" t="n">
        <v>4589613.68</v>
      </c>
    </row>
    <row r="170">
      <c r="A170" t="n">
        <v>2016</v>
      </c>
      <c r="B170" t="inlineStr">
        <is>
          <t>GCO</t>
        </is>
      </c>
      <c r="C170" t="inlineStr">
        <is>
          <t>Zircon</t>
        </is>
      </c>
      <c r="D170" t="inlineStr">
        <is>
          <t>Tonne</t>
        </is>
      </c>
      <c r="E170" s="3" t="n">
        <v>818</v>
      </c>
      <c r="F170" s="3" t="n">
        <v>501136334</v>
      </c>
      <c r="G170" t="inlineStr">
        <is>
          <t>France</t>
        </is>
      </c>
      <c r="H170" s="24" t="n">
        <v>593.008</v>
      </c>
      <c r="I170" s="25" t="n">
        <v>501136334</v>
      </c>
      <c r="J170" s="25" t="n">
        <v>845075.17</v>
      </c>
    </row>
    <row r="171">
      <c r="A171" t="n">
        <v>2016</v>
      </c>
      <c r="B171" t="inlineStr">
        <is>
          <t>GCO</t>
        </is>
      </c>
      <c r="C171" t="inlineStr">
        <is>
          <t>Zircon</t>
        </is>
      </c>
      <c r="D171" t="inlineStr">
        <is>
          <t>Tonne</t>
        </is>
      </c>
      <c r="E171" s="3" t="n">
        <v>193</v>
      </c>
      <c r="F171" s="3" t="n">
        <v>107698226</v>
      </c>
      <c r="G171" t="inlineStr">
        <is>
          <t>Allemagne</t>
        </is>
      </c>
      <c r="H171" s="24" t="n">
        <v>593.008</v>
      </c>
      <c r="I171" s="25" t="n">
        <v>107698226</v>
      </c>
      <c r="J171" s="25" t="n">
        <v>181613.45</v>
      </c>
    </row>
    <row r="172">
      <c r="A172" t="n">
        <v>2016</v>
      </c>
      <c r="B172" t="inlineStr">
        <is>
          <t>GCO</t>
        </is>
      </c>
      <c r="C172" t="inlineStr">
        <is>
          <t>Zircon</t>
        </is>
      </c>
      <c r="D172" t="inlineStr">
        <is>
          <t>Tonne</t>
        </is>
      </c>
      <c r="E172" s="3" t="n">
        <v>1058</v>
      </c>
      <c r="F172" s="3" t="n">
        <v>578019802</v>
      </c>
      <c r="G172" t="inlineStr">
        <is>
          <t>Inde</t>
        </is>
      </c>
      <c r="H172" s="24" t="n">
        <v>593.008</v>
      </c>
      <c r="I172" s="25" t="n">
        <v>578019802</v>
      </c>
      <c r="J172" s="25" t="n">
        <v>974725.13</v>
      </c>
    </row>
    <row r="173">
      <c r="A173" t="n">
        <v>2016</v>
      </c>
      <c r="B173" t="inlineStr">
        <is>
          <t>GCO</t>
        </is>
      </c>
      <c r="C173" t="inlineStr">
        <is>
          <t>Zircon</t>
        </is>
      </c>
      <c r="D173" t="inlineStr">
        <is>
          <t>Tonne</t>
        </is>
      </c>
      <c r="E173" s="3" t="n">
        <v>837</v>
      </c>
      <c r="F173" s="3" t="n">
        <v>373848321</v>
      </c>
      <c r="G173" t="inlineStr">
        <is>
          <t>Italie</t>
        </is>
      </c>
      <c r="H173" s="24" t="n">
        <v>593.008</v>
      </c>
      <c r="I173" s="25" t="n">
        <v>373848321</v>
      </c>
      <c r="J173" s="25" t="n">
        <v>630427.11</v>
      </c>
    </row>
    <row r="174">
      <c r="A174" t="n">
        <v>2016</v>
      </c>
      <c r="B174" t="inlineStr">
        <is>
          <t>GCO</t>
        </is>
      </c>
      <c r="C174" t="inlineStr">
        <is>
          <t>Zircon</t>
        </is>
      </c>
      <c r="D174" t="inlineStr">
        <is>
          <t>Tonne</t>
        </is>
      </c>
      <c r="E174" s="3" t="n">
        <v>2</v>
      </c>
      <c r="F174" s="3" t="n">
        <v>1644663</v>
      </c>
      <c r="G174" t="inlineStr">
        <is>
          <t>Japon</t>
        </is>
      </c>
      <c r="H174" s="24" t="n">
        <v>593.008</v>
      </c>
      <c r="I174" s="25" t="n">
        <v>1644663</v>
      </c>
      <c r="J174" s="25" t="n">
        <v>2773.42</v>
      </c>
    </row>
    <row r="175">
      <c r="A175" t="n">
        <v>2016</v>
      </c>
      <c r="B175" t="inlineStr">
        <is>
          <t>GCO</t>
        </is>
      </c>
      <c r="C175" t="inlineStr">
        <is>
          <t>Zircon</t>
        </is>
      </c>
      <c r="D175" t="inlineStr">
        <is>
          <t>Tonne</t>
        </is>
      </c>
      <c r="E175" s="3" t="n">
        <v>610</v>
      </c>
      <c r="F175" s="3" t="n">
        <v>308899790</v>
      </c>
      <c r="G175" t="inlineStr">
        <is>
          <t>Mexique</t>
        </is>
      </c>
      <c r="H175" s="24" t="n">
        <v>593.008</v>
      </c>
      <c r="I175" s="25" t="n">
        <v>308899790</v>
      </c>
      <c r="J175" s="25" t="n">
        <v>520903.24</v>
      </c>
    </row>
    <row r="176">
      <c r="A176" t="n">
        <v>2016</v>
      </c>
      <c r="B176" t="inlineStr">
        <is>
          <t>GCO</t>
        </is>
      </c>
      <c r="C176" t="inlineStr">
        <is>
          <t>Zircon</t>
        </is>
      </c>
      <c r="D176" t="inlineStr">
        <is>
          <t>Tonne</t>
        </is>
      </c>
      <c r="E176" s="3" t="n">
        <v>946</v>
      </c>
      <c r="F176" s="3" t="n">
        <v>582843898</v>
      </c>
      <c r="G176" t="inlineStr">
        <is>
          <t>Pays-Bas</t>
        </is>
      </c>
      <c r="H176" s="24" t="n">
        <v>593.008</v>
      </c>
      <c r="I176" s="25" t="n">
        <v>582843898</v>
      </c>
      <c r="J176" s="25" t="n">
        <v>982860.09</v>
      </c>
    </row>
    <row r="177">
      <c r="A177" t="n">
        <v>2016</v>
      </c>
      <c r="B177" t="inlineStr">
        <is>
          <t>GCO</t>
        </is>
      </c>
      <c r="C177" t="inlineStr">
        <is>
          <t>Zircon</t>
        </is>
      </c>
      <c r="D177" t="inlineStr">
        <is>
          <t>Tonne</t>
        </is>
      </c>
      <c r="E177" t="inlineStr">
        <is>
          <t>NC</t>
        </is>
      </c>
      <c r="F177" s="3" t="n">
        <v>-40556021</v>
      </c>
      <c r="G177" t="inlineStr">
        <is>
          <t>Norvège</t>
        </is>
      </c>
      <c r="H177" s="24" t="n">
        <v>593.008</v>
      </c>
      <c r="I177" s="25" t="n">
        <v>-40556021</v>
      </c>
      <c r="J177" s="25" t="n">
        <v>-68390.34</v>
      </c>
    </row>
    <row r="178">
      <c r="A178" t="n">
        <v>2016</v>
      </c>
      <c r="B178" t="inlineStr">
        <is>
          <t>GCO</t>
        </is>
      </c>
      <c r="C178" t="inlineStr">
        <is>
          <t>Zircon</t>
        </is>
      </c>
      <c r="D178" t="inlineStr">
        <is>
          <t>Tonne</t>
        </is>
      </c>
      <c r="E178" s="3" t="n">
        <v>5631</v>
      </c>
      <c r="F178" s="3" t="n">
        <v>2774890931</v>
      </c>
      <c r="G178" t="inlineStr">
        <is>
          <t>Espagne</t>
        </is>
      </c>
      <c r="H178" s="24" t="n">
        <v>593.008</v>
      </c>
      <c r="I178" s="25" t="n">
        <v>2774890931</v>
      </c>
      <c r="J178" s="25" t="n">
        <v>4679348.22</v>
      </c>
    </row>
    <row r="179">
      <c r="A179" t="n">
        <v>2016</v>
      </c>
      <c r="B179" t="inlineStr">
        <is>
          <t>GCO</t>
        </is>
      </c>
      <c r="C179" t="inlineStr">
        <is>
          <t>Zircon</t>
        </is>
      </c>
      <c r="D179" t="inlineStr">
        <is>
          <t>Tonne</t>
        </is>
      </c>
      <c r="E179" s="3" t="n">
        <v>300</v>
      </c>
      <c r="F179" s="3" t="n">
        <v>139683322</v>
      </c>
      <c r="G179" t="inlineStr">
        <is>
          <t>Turquie</t>
        </is>
      </c>
      <c r="H179" s="24" t="n">
        <v>593.008</v>
      </c>
      <c r="I179" s="25" t="n">
        <v>139683322</v>
      </c>
      <c r="J179" s="25" t="n">
        <v>235550.48</v>
      </c>
    </row>
    <row r="180">
      <c r="A180" t="n">
        <v>2016</v>
      </c>
      <c r="B180" t="inlineStr">
        <is>
          <t>GCO</t>
        </is>
      </c>
      <c r="C180" t="inlineStr">
        <is>
          <t>Zircon</t>
        </is>
      </c>
      <c r="D180" t="inlineStr">
        <is>
          <t>Tonne</t>
        </is>
      </c>
      <c r="E180" s="3" t="n">
        <v>8227</v>
      </c>
      <c r="F180" s="3" t="n">
        <v>5168864038</v>
      </c>
      <c r="G180" t="inlineStr">
        <is>
          <t>États-Unis</t>
        </is>
      </c>
      <c r="H180" s="24" t="n">
        <v>593.008</v>
      </c>
      <c r="I180" s="25" t="n">
        <v>5168864038</v>
      </c>
      <c r="J180" s="25" t="n">
        <v>8716347.9</v>
      </c>
    </row>
    <row r="181">
      <c r="A181" t="n">
        <v>2016</v>
      </c>
      <c r="B181" t="inlineStr">
        <is>
          <t>GCO</t>
        </is>
      </c>
      <c r="C181" t="inlineStr">
        <is>
          <t>Zircon</t>
        </is>
      </c>
      <c r="D181" t="inlineStr">
        <is>
          <t>Tonne</t>
        </is>
      </c>
      <c r="E181" s="3" t="n">
        <v>1028</v>
      </c>
      <c r="F181" s="3" t="n">
        <v>489443458</v>
      </c>
      <c r="G181" t="inlineStr">
        <is>
          <t>Brésil</t>
        </is>
      </c>
      <c r="H181" s="24" t="n">
        <v>593.008</v>
      </c>
      <c r="I181" s="25" t="n">
        <v>489443458</v>
      </c>
      <c r="J181" s="25" t="n">
        <v>825357.26</v>
      </c>
    </row>
    <row r="182">
      <c r="A182" t="n">
        <v>2016</v>
      </c>
      <c r="B182" t="inlineStr">
        <is>
          <t>GCO</t>
        </is>
      </c>
      <c r="C182" t="inlineStr">
        <is>
          <t>Zircon</t>
        </is>
      </c>
      <c r="D182" t="inlineStr">
        <is>
          <t>Tonne</t>
        </is>
      </c>
      <c r="E182" s="3" t="n">
        <v>427</v>
      </c>
      <c r="F182" s="3" t="n">
        <v>176376216</v>
      </c>
      <c r="G182" t="inlineStr">
        <is>
          <t>Chine</t>
        </is>
      </c>
      <c r="H182" s="24" t="n">
        <v>593.008</v>
      </c>
      <c r="I182" s="25" t="n">
        <v>176376216</v>
      </c>
      <c r="J182" s="25" t="n">
        <v>297426.37</v>
      </c>
    </row>
    <row r="183">
      <c r="A183" t="n">
        <v>2016</v>
      </c>
      <c r="B183" t="inlineStr">
        <is>
          <t>GCO</t>
        </is>
      </c>
      <c r="C183" t="inlineStr">
        <is>
          <t>Zircon</t>
        </is>
      </c>
      <c r="D183" t="inlineStr">
        <is>
          <t>Tonne</t>
        </is>
      </c>
      <c r="E183" s="3" t="n">
        <v>42</v>
      </c>
      <c r="F183" s="3" t="n">
        <v>21553002</v>
      </c>
      <c r="G183" t="inlineStr">
        <is>
          <t>France</t>
        </is>
      </c>
      <c r="H183" s="24" t="n">
        <v>593.008</v>
      </c>
      <c r="I183" s="25" t="n">
        <v>21553002</v>
      </c>
      <c r="J183" s="25" t="n">
        <v>36345.21</v>
      </c>
    </row>
    <row r="184">
      <c r="A184" t="n">
        <v>2016</v>
      </c>
      <c r="B184" t="inlineStr">
        <is>
          <t>GCO</t>
        </is>
      </c>
      <c r="C184" t="inlineStr">
        <is>
          <t>Zircon</t>
        </is>
      </c>
      <c r="D184" t="inlineStr">
        <is>
          <t>Tonne</t>
        </is>
      </c>
      <c r="E184" s="3" t="n">
        <v>952</v>
      </c>
      <c r="F184" s="3" t="n">
        <v>544849783</v>
      </c>
      <c r="G184" t="inlineStr">
        <is>
          <t>Allemagne</t>
        </is>
      </c>
      <c r="H184" s="24" t="n">
        <v>593.008</v>
      </c>
      <c r="I184" s="25" t="n">
        <v>544849783</v>
      </c>
      <c r="J184" s="25" t="n">
        <v>918789.9399999999</v>
      </c>
    </row>
    <row r="185">
      <c r="A185" t="n">
        <v>2016</v>
      </c>
      <c r="B185" t="inlineStr">
        <is>
          <t>GCO</t>
        </is>
      </c>
      <c r="C185" t="inlineStr">
        <is>
          <t>Zircon</t>
        </is>
      </c>
      <c r="D185" t="inlineStr">
        <is>
          <t>Tonne</t>
        </is>
      </c>
      <c r="E185" s="3" t="n">
        <v>1082</v>
      </c>
      <c r="F185" s="3" t="n">
        <v>526143941</v>
      </c>
      <c r="G185" t="inlineStr">
        <is>
          <t>Inde</t>
        </is>
      </c>
      <c r="H185" s="24" t="n">
        <v>593.008</v>
      </c>
      <c r="I185" s="25" t="n">
        <v>526143941</v>
      </c>
      <c r="J185" s="25" t="n">
        <v>887245.9399999999</v>
      </c>
    </row>
    <row r="186">
      <c r="A186" t="n">
        <v>2016</v>
      </c>
      <c r="B186" t="inlineStr">
        <is>
          <t>GCO</t>
        </is>
      </c>
      <c r="C186" t="inlineStr">
        <is>
          <t>Zircon</t>
        </is>
      </c>
      <c r="D186" t="inlineStr">
        <is>
          <t>Tonne</t>
        </is>
      </c>
      <c r="E186" s="3" t="n">
        <v>3607</v>
      </c>
      <c r="F186" s="3" t="n">
        <v>1804344653</v>
      </c>
      <c r="G186" t="inlineStr">
        <is>
          <t>Italie</t>
        </is>
      </c>
      <c r="H186" s="24" t="n">
        <v>593.008</v>
      </c>
      <c r="I186" s="25" t="n">
        <v>1804344653</v>
      </c>
      <c r="J186" s="25" t="n">
        <v>3042698.67</v>
      </c>
    </row>
    <row r="187">
      <c r="A187" t="n">
        <v>2016</v>
      </c>
      <c r="B187" t="inlineStr">
        <is>
          <t>GCO</t>
        </is>
      </c>
      <c r="C187" t="inlineStr">
        <is>
          <t>Zircon</t>
        </is>
      </c>
      <c r="D187" t="inlineStr">
        <is>
          <t>Tonne</t>
        </is>
      </c>
      <c r="E187" s="3" t="n">
        <v>2931</v>
      </c>
      <c r="F187" s="3" t="n">
        <v>1533291572</v>
      </c>
      <c r="G187" t="inlineStr">
        <is>
          <t>Mexique</t>
        </is>
      </c>
      <c r="H187" s="24" t="n">
        <v>593.008</v>
      </c>
      <c r="I187" s="25" t="n">
        <v>1533291572</v>
      </c>
      <c r="J187" s="25" t="n">
        <v>2585617.01</v>
      </c>
    </row>
    <row r="188">
      <c r="A188" t="n">
        <v>2016</v>
      </c>
      <c r="B188" t="inlineStr">
        <is>
          <t>GCO</t>
        </is>
      </c>
      <c r="C188" t="inlineStr">
        <is>
          <t>Zircon</t>
        </is>
      </c>
      <c r="D188" t="inlineStr">
        <is>
          <t>Tonne</t>
        </is>
      </c>
      <c r="E188" s="3" t="n">
        <v>1494</v>
      </c>
      <c r="F188" s="3" t="n">
        <v>757982549</v>
      </c>
      <c r="G188" t="inlineStr">
        <is>
          <t>Pays-Bas</t>
        </is>
      </c>
      <c r="H188" s="24" t="n">
        <v>593.008</v>
      </c>
      <c r="I188" s="25" t="n">
        <v>757982549</v>
      </c>
      <c r="J188" s="25" t="n">
        <v>1278199.53</v>
      </c>
    </row>
    <row r="189">
      <c r="A189" t="n">
        <v>2016</v>
      </c>
      <c r="B189" t="inlineStr">
        <is>
          <t>GCO</t>
        </is>
      </c>
      <c r="C189" t="inlineStr">
        <is>
          <t>Zircon</t>
        </is>
      </c>
      <c r="D189" t="inlineStr">
        <is>
          <t>Tonne</t>
        </is>
      </c>
      <c r="E189" s="3" t="n">
        <v>108</v>
      </c>
      <c r="F189" s="3" t="n">
        <v>53251754</v>
      </c>
      <c r="G189" t="inlineStr">
        <is>
          <t>Norvège</t>
        </is>
      </c>
      <c r="H189" s="24" t="n">
        <v>593.008</v>
      </c>
      <c r="I189" s="25" t="n">
        <v>53251754</v>
      </c>
      <c r="J189" s="25" t="n">
        <v>89799.39</v>
      </c>
    </row>
    <row r="190">
      <c r="A190" t="n">
        <v>2016</v>
      </c>
      <c r="B190" t="inlineStr">
        <is>
          <t>GCO</t>
        </is>
      </c>
      <c r="C190" t="inlineStr">
        <is>
          <t>Zircon</t>
        </is>
      </c>
      <c r="D190" t="inlineStr">
        <is>
          <t>Tonne</t>
        </is>
      </c>
      <c r="E190" s="3" t="n">
        <v>105</v>
      </c>
      <c r="F190" s="3" t="n">
        <v>55054642</v>
      </c>
      <c r="G190" t="inlineStr">
        <is>
          <t>Afrique du Sud</t>
        </is>
      </c>
      <c r="H190" s="24" t="n">
        <v>593.008</v>
      </c>
      <c r="I190" s="25" t="n">
        <v>55054642</v>
      </c>
      <c r="J190" s="25" t="n">
        <v>92839.63</v>
      </c>
    </row>
    <row r="191">
      <c r="A191" t="n">
        <v>2016</v>
      </c>
      <c r="B191" t="inlineStr">
        <is>
          <t>GCO</t>
        </is>
      </c>
      <c r="C191" t="inlineStr">
        <is>
          <t>Zircon</t>
        </is>
      </c>
      <c r="D191" t="inlineStr">
        <is>
          <t>Tonne</t>
        </is>
      </c>
      <c r="E191" s="3" t="n">
        <v>8616</v>
      </c>
      <c r="F191" s="3" t="n">
        <v>4284380289</v>
      </c>
      <c r="G191" t="inlineStr">
        <is>
          <t>Espagne</t>
        </is>
      </c>
      <c r="H191" s="24" t="n">
        <v>593.008</v>
      </c>
      <c r="I191" s="25" t="n">
        <v>4284380289</v>
      </c>
      <c r="J191" s="25" t="n">
        <v>7224827.13</v>
      </c>
    </row>
    <row r="192">
      <c r="A192" t="n">
        <v>2016</v>
      </c>
      <c r="B192" t="inlineStr">
        <is>
          <t>GCO</t>
        </is>
      </c>
      <c r="C192" t="inlineStr">
        <is>
          <t>Zircon</t>
        </is>
      </c>
      <c r="D192" t="inlineStr">
        <is>
          <t>Tonne</t>
        </is>
      </c>
      <c r="E192" s="3" t="n">
        <v>1443</v>
      </c>
      <c r="F192" s="3" t="n">
        <v>713974137</v>
      </c>
      <c r="G192" t="inlineStr">
        <is>
          <t>Turquie</t>
        </is>
      </c>
      <c r="H192" s="24" t="n">
        <v>593.008</v>
      </c>
      <c r="I192" s="25" t="n">
        <v>713974137</v>
      </c>
      <c r="J192" s="25" t="n">
        <v>1203987.36</v>
      </c>
    </row>
    <row r="193">
      <c r="A193" t="n">
        <v>2016</v>
      </c>
      <c r="B193" t="inlineStr">
        <is>
          <t>GCO</t>
        </is>
      </c>
      <c r="C193" t="inlineStr">
        <is>
          <t>Zircon</t>
        </is>
      </c>
      <c r="D193" t="inlineStr">
        <is>
          <t>Tonne</t>
        </is>
      </c>
      <c r="E193" s="3" t="n">
        <v>3144</v>
      </c>
      <c r="F193" s="3" t="n">
        <v>1641825740</v>
      </c>
      <c r="G193" t="inlineStr">
        <is>
          <t>États-Unis</t>
        </is>
      </c>
      <c r="H193" s="24" t="n">
        <v>593.008</v>
      </c>
      <c r="I193" s="25" t="n">
        <v>1641825740</v>
      </c>
      <c r="J193" s="25" t="n">
        <v>2768640.12</v>
      </c>
    </row>
    <row r="194">
      <c r="A194" t="n">
        <v>2016</v>
      </c>
      <c r="B194" t="inlineStr">
        <is>
          <t>GCO</t>
        </is>
      </c>
      <c r="C194" t="inlineStr">
        <is>
          <t>Zircon</t>
        </is>
      </c>
      <c r="D194" t="inlineStr">
        <is>
          <t>Tonne</t>
        </is>
      </c>
      <c r="E194" s="3" t="n">
        <v>9242</v>
      </c>
      <c r="F194" s="3" t="n">
        <v>1764808793</v>
      </c>
      <c r="G194" t="inlineStr">
        <is>
          <t>Chine</t>
        </is>
      </c>
      <c r="H194" s="24" t="n">
        <v>593.008</v>
      </c>
      <c r="I194" s="25" t="n">
        <v>1764808793</v>
      </c>
      <c r="J194" s="25" t="n">
        <v>2976028.64</v>
      </c>
    </row>
    <row r="195">
      <c r="A195" t="n">
        <v>2016</v>
      </c>
      <c r="B195" t="inlineStr">
        <is>
          <t>GCO</t>
        </is>
      </c>
      <c r="C195" t="inlineStr">
        <is>
          <t>Zircon</t>
        </is>
      </c>
      <c r="D195" t="inlineStr">
        <is>
          <t>Tonne</t>
        </is>
      </c>
      <c r="E195" s="3" t="n">
        <v>49</v>
      </c>
      <c r="F195" s="3" t="n">
        <v>11620370</v>
      </c>
      <c r="G195" t="inlineStr">
        <is>
          <t>Thaïlande</t>
        </is>
      </c>
      <c r="H195" s="24" t="n">
        <v>593.008</v>
      </c>
      <c r="I195" s="25" t="n">
        <v>11620370</v>
      </c>
      <c r="J195" s="25" t="n">
        <v>19595.64</v>
      </c>
    </row>
    <row r="196">
      <c r="A196" t="n">
        <v>2016</v>
      </c>
      <c r="B196" t="inlineStr">
        <is>
          <t>GCO</t>
        </is>
      </c>
      <c r="C196" t="inlineStr">
        <is>
          <t>Rutile</t>
        </is>
      </c>
      <c r="D196" t="inlineStr">
        <is>
          <t>Tonne</t>
        </is>
      </c>
      <c r="E196" s="3" t="n">
        <v>20</v>
      </c>
      <c r="F196" s="3" t="n">
        <v>5808867</v>
      </c>
      <c r="G196" t="inlineStr">
        <is>
          <t>Chine</t>
        </is>
      </c>
      <c r="H196" s="24" t="n">
        <v>593.008</v>
      </c>
      <c r="I196" s="25" t="n">
        <v>5808867</v>
      </c>
      <c r="J196" s="25" t="n">
        <v>9795.6</v>
      </c>
    </row>
    <row r="197">
      <c r="A197" t="n">
        <v>2016</v>
      </c>
      <c r="B197" t="inlineStr">
        <is>
          <t>GCO</t>
        </is>
      </c>
      <c r="C197" t="inlineStr">
        <is>
          <t>Rutile</t>
        </is>
      </c>
      <c r="D197" t="inlineStr">
        <is>
          <t>Tonne</t>
        </is>
      </c>
      <c r="E197" s="3" t="n">
        <v>2</v>
      </c>
      <c r="F197" s="3" t="n">
        <v>925882</v>
      </c>
      <c r="G197" t="inlineStr">
        <is>
          <t>Japon</t>
        </is>
      </c>
      <c r="H197" s="24" t="n">
        <v>593.008</v>
      </c>
      <c r="I197" s="25" t="n">
        <v>925882</v>
      </c>
      <c r="J197" s="25" t="n">
        <v>1561.33</v>
      </c>
    </row>
    <row r="198">
      <c r="A198" t="n">
        <v>2016</v>
      </c>
      <c r="B198" t="inlineStr">
        <is>
          <t>GCO</t>
        </is>
      </c>
      <c r="C198" t="inlineStr">
        <is>
          <t>Rutile</t>
        </is>
      </c>
      <c r="D198" t="inlineStr">
        <is>
          <t>Tonne</t>
        </is>
      </c>
      <c r="E198" s="3" t="n">
        <v>20</v>
      </c>
      <c r="F198" s="3" t="n">
        <v>8596166</v>
      </c>
      <c r="G198" t="inlineStr">
        <is>
          <t>Pays-Bas</t>
        </is>
      </c>
      <c r="H198" s="24" t="n">
        <v>593.008</v>
      </c>
      <c r="I198" s="25" t="n">
        <v>8596166</v>
      </c>
      <c r="J198" s="25" t="n">
        <v>14495.87</v>
      </c>
    </row>
    <row r="199">
      <c r="A199" t="n">
        <v>2016</v>
      </c>
      <c r="B199" t="inlineStr">
        <is>
          <t>GCO</t>
        </is>
      </c>
      <c r="C199" t="inlineStr">
        <is>
          <t>Rutile</t>
        </is>
      </c>
      <c r="D199" t="inlineStr">
        <is>
          <t>Tonne</t>
        </is>
      </c>
      <c r="E199" s="3" t="n">
        <v>20</v>
      </c>
      <c r="F199" s="3" t="n">
        <v>8374781</v>
      </c>
      <c r="G199" t="inlineStr">
        <is>
          <t>Pologne</t>
        </is>
      </c>
      <c r="H199" s="24" t="n">
        <v>593.008</v>
      </c>
      <c r="I199" s="25" t="n">
        <v>8374781</v>
      </c>
      <c r="J199" s="25" t="n">
        <v>14122.54</v>
      </c>
    </row>
    <row r="200">
      <c r="A200" t="n">
        <v>2016</v>
      </c>
      <c r="B200" t="inlineStr">
        <is>
          <t>GCO</t>
        </is>
      </c>
      <c r="C200" t="inlineStr">
        <is>
          <t>Rutile</t>
        </is>
      </c>
      <c r="D200" t="inlineStr">
        <is>
          <t>Tonne</t>
        </is>
      </c>
      <c r="E200" s="3" t="n">
        <v>40</v>
      </c>
      <c r="F200" s="3" t="n">
        <v>17068788</v>
      </c>
      <c r="G200" t="inlineStr">
        <is>
          <t>Portugal</t>
        </is>
      </c>
      <c r="H200" s="24" t="n">
        <v>593.008</v>
      </c>
      <c r="I200" s="25" t="n">
        <v>17068788</v>
      </c>
      <c r="J200" s="25" t="n">
        <v>28783.4</v>
      </c>
    </row>
    <row r="201">
      <c r="A201" t="n">
        <v>2016</v>
      </c>
      <c r="B201" t="inlineStr">
        <is>
          <t>GCO</t>
        </is>
      </c>
      <c r="C201" t="inlineStr">
        <is>
          <t>Rutile</t>
        </is>
      </c>
      <c r="D201" t="inlineStr">
        <is>
          <t>Tonne</t>
        </is>
      </c>
      <c r="E201" s="3" t="n">
        <v>2539</v>
      </c>
      <c r="F201" s="3" t="n">
        <v>1138849252</v>
      </c>
      <c r="G201" t="inlineStr">
        <is>
          <t>Corée du Sud</t>
        </is>
      </c>
      <c r="H201" s="24" t="n">
        <v>593.008</v>
      </c>
      <c r="I201" s="25" t="n">
        <v>1138849252</v>
      </c>
      <c r="J201" s="25" t="n">
        <v>1920461.87</v>
      </c>
    </row>
    <row r="202">
      <c r="A202" t="n">
        <v>2016</v>
      </c>
      <c r="B202" t="inlineStr">
        <is>
          <t>GCO</t>
        </is>
      </c>
      <c r="C202" t="inlineStr">
        <is>
          <t>Leucoxène</t>
        </is>
      </c>
      <c r="D202" t="inlineStr">
        <is>
          <t>Tonne</t>
        </is>
      </c>
      <c r="E202" s="3" t="n">
        <v>3494</v>
      </c>
      <c r="F202" s="3" t="n">
        <v>714767830</v>
      </c>
      <c r="G202" t="inlineStr">
        <is>
          <t>Chine</t>
        </is>
      </c>
      <c r="H202" s="24" t="n">
        <v>593.008</v>
      </c>
      <c r="I202" s="25" t="n">
        <v>714767830</v>
      </c>
      <c r="J202" s="25" t="n">
        <v>1205325.78</v>
      </c>
    </row>
    <row r="203">
      <c r="A203" t="n">
        <v>2016</v>
      </c>
      <c r="B203" t="inlineStr">
        <is>
          <t>GCO</t>
        </is>
      </c>
      <c r="C203" t="inlineStr">
        <is>
          <t>Leucoxène</t>
        </is>
      </c>
      <c r="D203" t="inlineStr">
        <is>
          <t>Tonne</t>
        </is>
      </c>
      <c r="E203" s="3" t="n">
        <v>1123</v>
      </c>
      <c r="F203" s="3" t="n">
        <v>295113864</v>
      </c>
      <c r="G203" t="inlineStr">
        <is>
          <t>Émirats Arabes Unis</t>
        </is>
      </c>
      <c r="H203" s="24" t="n">
        <v>593.008</v>
      </c>
      <c r="I203" s="25" t="n">
        <v>295113864</v>
      </c>
      <c r="J203" s="25" t="n">
        <v>497655.79</v>
      </c>
    </row>
    <row r="204">
      <c r="A204" t="n">
        <v>2016</v>
      </c>
      <c r="B204" t="inlineStr">
        <is>
          <t>GCO</t>
        </is>
      </c>
      <c r="C204" t="inlineStr">
        <is>
          <t>Leucoxène</t>
        </is>
      </c>
      <c r="D204" t="inlineStr">
        <is>
          <t>Tonne</t>
        </is>
      </c>
      <c r="E204" s="3" t="n">
        <v>479</v>
      </c>
      <c r="F204" s="3" t="n">
        <v>123771283</v>
      </c>
      <c r="G204" t="inlineStr">
        <is>
          <t>Royaume-Uni</t>
        </is>
      </c>
      <c r="H204" s="24" t="n">
        <v>593.008</v>
      </c>
      <c r="I204" s="25" t="n">
        <v>123771283</v>
      </c>
      <c r="J204" s="25" t="n">
        <v>208717.73</v>
      </c>
    </row>
    <row r="205">
      <c r="A205" t="n">
        <v>2016</v>
      </c>
      <c r="B205" t="inlineStr">
        <is>
          <t>GCO</t>
        </is>
      </c>
      <c r="C205" t="inlineStr">
        <is>
          <t>Leucoxène</t>
        </is>
      </c>
      <c r="D205" t="inlineStr">
        <is>
          <t>Tonne</t>
        </is>
      </c>
      <c r="E205" s="3" t="n">
        <v>20</v>
      </c>
      <c r="F205" s="3" t="n">
        <v>8083832</v>
      </c>
      <c r="G205" t="inlineStr">
        <is>
          <t>Japon</t>
        </is>
      </c>
      <c r="H205" s="24" t="n">
        <v>593.008</v>
      </c>
      <c r="I205" s="25" t="n">
        <v>8083832</v>
      </c>
      <c r="J205" s="25" t="n">
        <v>13631.91</v>
      </c>
    </row>
    <row r="206">
      <c r="A206" t="n">
        <v>2016</v>
      </c>
      <c r="B206" t="inlineStr">
        <is>
          <t>GCO</t>
        </is>
      </c>
      <c r="C206" t="inlineStr">
        <is>
          <t>Leucoxène</t>
        </is>
      </c>
      <c r="D206" t="inlineStr">
        <is>
          <t>Tonne</t>
        </is>
      </c>
      <c r="E206" s="3" t="n">
        <v>782</v>
      </c>
      <c r="F206" s="3" t="n">
        <v>276588506</v>
      </c>
      <c r="G206" t="inlineStr">
        <is>
          <t>Luxembourg</t>
        </is>
      </c>
      <c r="H206" s="24" t="n">
        <v>593.008</v>
      </c>
      <c r="I206" s="25" t="n">
        <v>276588506</v>
      </c>
      <c r="J206" s="25" t="n">
        <v>466416.15</v>
      </c>
    </row>
    <row r="207">
      <c r="A207" t="n">
        <v>2016</v>
      </c>
      <c r="B207" t="inlineStr">
        <is>
          <t>GCO</t>
        </is>
      </c>
      <c r="C207" t="inlineStr">
        <is>
          <t>Leucoxène</t>
        </is>
      </c>
      <c r="D207" t="inlineStr">
        <is>
          <t>Tonne</t>
        </is>
      </c>
      <c r="E207" s="3" t="n">
        <v>280</v>
      </c>
      <c r="F207" s="3" t="n">
        <v>82717809</v>
      </c>
      <c r="G207" t="inlineStr">
        <is>
          <t>Corée du Sud</t>
        </is>
      </c>
      <c r="H207" s="24" t="n">
        <v>593.008</v>
      </c>
      <c r="I207" s="25" t="n">
        <v>82717809</v>
      </c>
      <c r="J207" s="25" t="n">
        <v>139488.52</v>
      </c>
    </row>
    <row r="208">
      <c r="A208" t="n">
        <v>2016</v>
      </c>
      <c r="B208" t="inlineStr">
        <is>
          <t>SSPT</t>
        </is>
      </c>
      <c r="C208" t="inlineStr">
        <is>
          <t>Attapulgite</t>
        </is>
      </c>
      <c r="D208" t="inlineStr">
        <is>
          <t>Tonne</t>
        </is>
      </c>
      <c r="E208" s="3" t="n">
        <v>64119</v>
      </c>
      <c r="F208" s="3" t="n">
        <v>1773407588</v>
      </c>
      <c r="G208" t="inlineStr">
        <is>
          <t>France</t>
        </is>
      </c>
      <c r="H208" s="24" t="n">
        <v>593.008</v>
      </c>
      <c r="I208" s="25" t="n">
        <v>1773407588</v>
      </c>
      <c r="J208" s="25" t="n">
        <v>2990528.94</v>
      </c>
    </row>
    <row r="209">
      <c r="A209" t="n">
        <v>2016</v>
      </c>
      <c r="B209" t="inlineStr">
        <is>
          <t>SSPT</t>
        </is>
      </c>
      <c r="C209" t="inlineStr">
        <is>
          <t>Attapulgite</t>
        </is>
      </c>
      <c r="D209" t="inlineStr">
        <is>
          <t>Tonne</t>
        </is>
      </c>
      <c r="E209" s="3" t="n">
        <v>27952</v>
      </c>
      <c r="F209" s="3" t="n">
        <v>804986698</v>
      </c>
      <c r="G209" t="inlineStr">
        <is>
          <t>France/Pays-Bas</t>
        </is>
      </c>
      <c r="H209" s="24" t="n">
        <v>593.008</v>
      </c>
      <c r="I209" s="25" t="n">
        <v>804986698</v>
      </c>
      <c r="J209" s="25" t="n">
        <v>1357463.47</v>
      </c>
    </row>
    <row r="210">
      <c r="A210" t="n">
        <v>2016</v>
      </c>
      <c r="B210" t="inlineStr">
        <is>
          <t>SSPT</t>
        </is>
      </c>
      <c r="C210" t="inlineStr">
        <is>
          <t>Attapulgite</t>
        </is>
      </c>
      <c r="D210" t="inlineStr">
        <is>
          <t>Tonne</t>
        </is>
      </c>
      <c r="E210" s="3" t="n">
        <v>36820</v>
      </c>
      <c r="F210" s="3" t="n">
        <v>1037894747</v>
      </c>
      <c r="G210" t="inlineStr">
        <is>
          <t>Pays-Bas</t>
        </is>
      </c>
      <c r="H210" s="24" t="n">
        <v>593.008</v>
      </c>
      <c r="I210" s="25" t="n">
        <v>1037894747</v>
      </c>
      <c r="J210" s="25" t="n">
        <v>1750220.48</v>
      </c>
    </row>
    <row r="211">
      <c r="A211" t="n">
        <v>2016</v>
      </c>
      <c r="B211" t="inlineStr">
        <is>
          <t>SSPT</t>
        </is>
      </c>
      <c r="C211" t="inlineStr">
        <is>
          <t>Attapulgite</t>
        </is>
      </c>
      <c r="D211" t="inlineStr">
        <is>
          <t>Tonne</t>
        </is>
      </c>
      <c r="E211" s="3" t="n">
        <v>31289</v>
      </c>
      <c r="F211" s="3" t="n">
        <v>808727234</v>
      </c>
      <c r="G211" t="inlineStr">
        <is>
          <t>Royaume-Uni</t>
        </is>
      </c>
      <c r="H211" s="24" t="n">
        <v>593.008</v>
      </c>
      <c r="I211" s="25" t="n">
        <v>808727234</v>
      </c>
      <c r="J211" s="25" t="n">
        <v>1363771.2</v>
      </c>
    </row>
    <row r="212">
      <c r="A212" t="n">
        <v>2016</v>
      </c>
      <c r="B212" t="inlineStr">
        <is>
          <t>SSPT</t>
        </is>
      </c>
      <c r="C212" t="inlineStr">
        <is>
          <t>Attapulgite</t>
        </is>
      </c>
      <c r="D212" t="inlineStr">
        <is>
          <t>Tonne</t>
        </is>
      </c>
      <c r="E212" s="3" t="n">
        <v>714</v>
      </c>
      <c r="F212" s="3" t="n">
        <v>38902814</v>
      </c>
      <c r="G212" t="inlineStr">
        <is>
          <t>Locale</t>
        </is>
      </c>
      <c r="H212" s="24" t="n">
        <v>593.008</v>
      </c>
      <c r="I212" s="25" t="n">
        <v>38902814</v>
      </c>
      <c r="J212" s="25" t="n">
        <v>65602.50999999999</v>
      </c>
    </row>
    <row r="213">
      <c r="A213" t="n">
        <v>2016</v>
      </c>
      <c r="B213" t="inlineStr">
        <is>
          <t>SSPT</t>
        </is>
      </c>
      <c r="C213" t="inlineStr">
        <is>
          <t>Phosphate</t>
        </is>
      </c>
      <c r="D213" t="inlineStr">
        <is>
          <t>Tonne</t>
        </is>
      </c>
      <c r="E213" s="3" t="n">
        <v>1653</v>
      </c>
      <c r="F213" s="3" t="n">
        <v>98898014</v>
      </c>
      <c r="G213" t="inlineStr">
        <is>
          <t>Locale</t>
        </is>
      </c>
      <c r="H213" s="24" t="n">
        <v>593.008</v>
      </c>
      <c r="I213" s="25" t="n">
        <v>98898014</v>
      </c>
      <c r="J213" s="25" t="n">
        <v>166773.49</v>
      </c>
    </row>
    <row r="214">
      <c r="A214" t="n">
        <v>2016</v>
      </c>
      <c r="B214" t="inlineStr">
        <is>
          <t>DANGOTE</t>
        </is>
      </c>
      <c r="C214" t="inlineStr">
        <is>
          <t>Ciment</t>
        </is>
      </c>
      <c r="D214" t="inlineStr">
        <is>
          <t>N/A</t>
        </is>
      </c>
      <c r="E214" s="3" t="n">
        <v>16233</v>
      </c>
      <c r="F214" s="3" t="n">
        <v>662041427</v>
      </c>
      <c r="G214" t="inlineStr">
        <is>
          <t>Gambie</t>
        </is>
      </c>
      <c r="H214" s="24" t="n">
        <v>593.008</v>
      </c>
      <c r="I214" s="25" t="n">
        <v>662041427</v>
      </c>
      <c r="J214" s="25" t="n">
        <v>1116412.3</v>
      </c>
    </row>
    <row r="215">
      <c r="A215" t="n">
        <v>2016</v>
      </c>
      <c r="B215" t="inlineStr">
        <is>
          <t>DANGOTE</t>
        </is>
      </c>
      <c r="C215" t="inlineStr">
        <is>
          <t>Ciment</t>
        </is>
      </c>
      <c r="D215" t="inlineStr">
        <is>
          <t>N/A</t>
        </is>
      </c>
      <c r="E215" s="3" t="n">
        <v>6126</v>
      </c>
      <c r="F215" s="3" t="n">
        <v>244848920</v>
      </c>
      <c r="G215" t="inlineStr">
        <is>
          <t>Guinée-Bissau</t>
        </is>
      </c>
      <c r="H215" s="24" t="n">
        <v>593.008</v>
      </c>
      <c r="I215" s="25" t="n">
        <v>244848920</v>
      </c>
      <c r="J215" s="25" t="n">
        <v>412893.11</v>
      </c>
    </row>
    <row r="216">
      <c r="A216" t="n">
        <v>2016</v>
      </c>
      <c r="B216" t="inlineStr">
        <is>
          <t>DANGOTE</t>
        </is>
      </c>
      <c r="C216" t="inlineStr">
        <is>
          <t>Ciment</t>
        </is>
      </c>
      <c r="D216" t="inlineStr">
        <is>
          <t>N/A</t>
        </is>
      </c>
      <c r="E216" s="3" t="n">
        <v>98066</v>
      </c>
      <c r="F216" s="3" t="n">
        <v>3834686280</v>
      </c>
      <c r="G216" t="inlineStr">
        <is>
          <t>Mali</t>
        </is>
      </c>
      <c r="H216" s="24" t="n">
        <v>593.008</v>
      </c>
      <c r="I216" s="25" t="n">
        <v>3834686280</v>
      </c>
      <c r="J216" s="25" t="n">
        <v>6466500.08</v>
      </c>
    </row>
    <row r="217">
      <c r="A217" t="n">
        <v>2016</v>
      </c>
      <c r="B217" t="inlineStr">
        <is>
          <t>SOMIVA</t>
        </is>
      </c>
      <c r="C217" t="inlineStr">
        <is>
          <t>Phosphate</t>
        </is>
      </c>
      <c r="D217" t="inlineStr">
        <is>
          <t>Tonne</t>
        </is>
      </c>
      <c r="E217" s="3" t="n">
        <v>19874</v>
      </c>
      <c r="F217" s="3" t="n">
        <v>500408354</v>
      </c>
      <c r="G217" t="inlineStr">
        <is>
          <t>Greenwich</t>
        </is>
      </c>
      <c r="H217" s="24" t="n">
        <v>593.008</v>
      </c>
      <c r="I217" s="25" t="n">
        <v>500408354</v>
      </c>
      <c r="J217" s="25" t="n">
        <v>843847.5600000001</v>
      </c>
    </row>
    <row r="218">
      <c r="A218" t="n">
        <v>2016</v>
      </c>
      <c r="B218" t="inlineStr">
        <is>
          <t>SOMIVA</t>
        </is>
      </c>
      <c r="C218" t="inlineStr">
        <is>
          <t>Phosphate</t>
        </is>
      </c>
      <c r="D218" t="inlineStr">
        <is>
          <t>Tonne</t>
        </is>
      </c>
      <c r="E218" s="3" t="n">
        <v>147702</v>
      </c>
      <c r="F218" s="3" t="n">
        <v>6349437667</v>
      </c>
      <c r="G218" t="inlineStr">
        <is>
          <t>Liban</t>
        </is>
      </c>
      <c r="H218" s="24" t="n">
        <v>593.008</v>
      </c>
      <c r="I218" s="25" t="n">
        <v>6349437667</v>
      </c>
      <c r="J218" s="25" t="n">
        <v>10707170.34</v>
      </c>
    </row>
    <row r="219">
      <c r="A219" t="n">
        <v>2016</v>
      </c>
      <c r="B219" t="inlineStr">
        <is>
          <t>SOMIVA</t>
        </is>
      </c>
      <c r="C219" t="inlineStr">
        <is>
          <t>Phosphate</t>
        </is>
      </c>
      <c r="D219" t="inlineStr">
        <is>
          <t>Tonne</t>
        </is>
      </c>
      <c r="E219" s="3" t="n">
        <v>55000</v>
      </c>
      <c r="F219" s="3" t="n">
        <v>1475000000</v>
      </c>
      <c r="G219" t="inlineStr">
        <is>
          <t>Mali</t>
        </is>
      </c>
      <c r="H219" s="24" t="n">
        <v>593.008</v>
      </c>
      <c r="I219" s="25" t="n">
        <v>1475000000</v>
      </c>
      <c r="J219" s="25" t="n">
        <v>2487318.89</v>
      </c>
    </row>
    <row r="220">
      <c r="A220" t="n">
        <v>2016</v>
      </c>
      <c r="B220" t="inlineStr">
        <is>
          <t>SOMIVA</t>
        </is>
      </c>
      <c r="C220" t="inlineStr">
        <is>
          <t>Phosphate</t>
        </is>
      </c>
      <c r="D220" t="inlineStr">
        <is>
          <t>Tonne</t>
        </is>
      </c>
      <c r="E220" s="3" t="n">
        <v>106527</v>
      </c>
      <c r="F220" s="3" t="n">
        <v>4408862755</v>
      </c>
      <c r="G220" t="inlineStr">
        <is>
          <t>Suisse</t>
        </is>
      </c>
      <c r="H220" s="24" t="n">
        <v>593.008</v>
      </c>
      <c r="I220" s="25" t="n">
        <v>4408862755</v>
      </c>
      <c r="J220" s="25" t="n">
        <v>7434744.14</v>
      </c>
    </row>
    <row r="221">
      <c r="A221" t="n">
        <v>2016</v>
      </c>
      <c r="B221" t="inlineStr">
        <is>
          <t>SEPHOS</t>
        </is>
      </c>
      <c r="C221" t="inlineStr">
        <is>
          <t>Phosphate</t>
        </is>
      </c>
      <c r="D221" t="inlineStr">
        <is>
          <t>Tonne</t>
        </is>
      </c>
      <c r="E221" s="3" t="n">
        <v>59012</v>
      </c>
      <c r="F221" s="3" t="n">
        <v>1921546452</v>
      </c>
      <c r="G221" t="inlineStr">
        <is>
          <t>Espagne</t>
        </is>
      </c>
      <c r="H221" s="24" t="n">
        <v>593.008</v>
      </c>
      <c r="I221" s="25" t="n">
        <v>1921546452</v>
      </c>
      <c r="J221" s="25" t="n">
        <v>3240338.16</v>
      </c>
    </row>
    <row r="222">
      <c r="A222" t="n">
        <v>2016</v>
      </c>
      <c r="B222" t="inlineStr">
        <is>
          <t>SEPHOS</t>
        </is>
      </c>
      <c r="C222" t="inlineStr">
        <is>
          <t>Phosphate</t>
        </is>
      </c>
      <c r="D222" t="inlineStr">
        <is>
          <t>Tonne</t>
        </is>
      </c>
      <c r="E222" s="3" t="n">
        <v>325</v>
      </c>
      <c r="F222" s="3" t="n">
        <v>25548676</v>
      </c>
      <c r="G222" t="inlineStr">
        <is>
          <t>Ghana</t>
        </is>
      </c>
      <c r="H222" s="24" t="n">
        <v>593.008</v>
      </c>
      <c r="I222" s="25" t="n">
        <v>25548676</v>
      </c>
      <c r="J222" s="25" t="n">
        <v>43083.19</v>
      </c>
    </row>
    <row r="223">
      <c r="A223" t="n">
        <v>2016</v>
      </c>
      <c r="B223" t="inlineStr">
        <is>
          <t>SEPHOS</t>
        </is>
      </c>
      <c r="C223" t="inlineStr">
        <is>
          <t>Phosphate</t>
        </is>
      </c>
      <c r="D223" t="inlineStr">
        <is>
          <t>Tonne</t>
        </is>
      </c>
      <c r="E223" s="3" t="n">
        <v>47477</v>
      </c>
      <c r="F223" s="3" t="n">
        <v>1190642580</v>
      </c>
      <c r="G223" t="inlineStr">
        <is>
          <t>Malaisie</t>
        </is>
      </c>
      <c r="H223" s="24" t="n">
        <v>593.008</v>
      </c>
      <c r="I223" s="25" t="n">
        <v>1190642580</v>
      </c>
      <c r="J223" s="25" t="n">
        <v>2007801.88</v>
      </c>
    </row>
    <row r="224">
      <c r="A224" t="n">
        <v>2016</v>
      </c>
      <c r="B224" t="inlineStr">
        <is>
          <t>SEPHOS</t>
        </is>
      </c>
      <c r="C224" t="inlineStr">
        <is>
          <t>Phosphate</t>
        </is>
      </c>
      <c r="D224" t="inlineStr">
        <is>
          <t>Tonne</t>
        </is>
      </c>
      <c r="E224" s="3" t="n">
        <v>127090</v>
      </c>
      <c r="F224" s="3" t="n">
        <v>4122703043</v>
      </c>
      <c r="G224" t="inlineStr">
        <is>
          <t>Pologne</t>
        </is>
      </c>
      <c r="H224" s="24" t="n">
        <v>593.008</v>
      </c>
      <c r="I224" s="25" t="n">
        <v>4122703043</v>
      </c>
      <c r="J224" s="25" t="n">
        <v>6952187.9</v>
      </c>
    </row>
    <row r="225">
      <c r="A225" t="n">
        <v>2016</v>
      </c>
      <c r="B225" t="inlineStr">
        <is>
          <t>SEPHOS</t>
        </is>
      </c>
      <c r="C225" t="inlineStr">
        <is>
          <t>Phosphate</t>
        </is>
      </c>
      <c r="D225" t="inlineStr">
        <is>
          <t>Tonne</t>
        </is>
      </c>
      <c r="E225" s="3" t="n">
        <v>2099</v>
      </c>
      <c r="F225" s="3" t="n">
        <v>77990427</v>
      </c>
      <c r="G225" t="inlineStr">
        <is>
          <t>Locale</t>
        </is>
      </c>
      <c r="H225" s="24" t="n">
        <v>593.008</v>
      </c>
      <c r="I225" s="25" t="n">
        <v>77990427</v>
      </c>
      <c r="J225" s="25" t="n">
        <v>131516.65</v>
      </c>
    </row>
    <row r="226">
      <c r="A226" t="n">
        <v>2016</v>
      </c>
      <c r="B226" t="inlineStr">
        <is>
          <t>AIG</t>
        </is>
      </c>
      <c r="C226" t="inlineStr">
        <is>
          <t>Phosphate</t>
        </is>
      </c>
      <c r="D226" t="inlineStr">
        <is>
          <t>Tonne</t>
        </is>
      </c>
      <c r="E226" s="3" t="n">
        <v>149964</v>
      </c>
      <c r="F226" s="3" t="n">
        <v>6095568619</v>
      </c>
      <c r="G226" t="inlineStr">
        <is>
          <t>Pologne</t>
        </is>
      </c>
      <c r="H226" s="24" t="n">
        <v>593.008</v>
      </c>
      <c r="I226" s="25" t="n">
        <v>6095568619</v>
      </c>
      <c r="J226" s="25" t="n">
        <v>10279066.42</v>
      </c>
    </row>
    <row r="227">
      <c r="A227" t="n">
        <v>2016</v>
      </c>
      <c r="B227" t="inlineStr">
        <is>
          <t>GECAMINES</t>
        </is>
      </c>
      <c r="C227" t="inlineStr">
        <is>
          <t>Basalte</t>
        </is>
      </c>
      <c r="D227" t="inlineStr">
        <is>
          <t>Tonne</t>
        </is>
      </c>
      <c r="E227" s="3" t="n">
        <v>9942</v>
      </c>
      <c r="F227" s="3" t="n">
        <v>62307952</v>
      </c>
      <c r="G227" t="inlineStr">
        <is>
          <t>Gambie</t>
        </is>
      </c>
      <c r="H227" s="24" t="n">
        <v>593.008</v>
      </c>
      <c r="I227" s="25" t="n">
        <v>62307952</v>
      </c>
      <c r="J227" s="25" t="n">
        <v>105071.01</v>
      </c>
    </row>
    <row r="228">
      <c r="A228" t="n">
        <v>2017</v>
      </c>
      <c r="B228" t="inlineStr">
        <is>
          <t>SOCOCIM</t>
        </is>
      </c>
      <c r="C228" t="inlineStr">
        <is>
          <t>Ciment</t>
        </is>
      </c>
      <c r="D228" t="inlineStr">
        <is>
          <t>Tonne</t>
        </is>
      </c>
      <c r="E228" s="3" t="n">
        <v>34994</v>
      </c>
      <c r="F228" s="3" t="n">
        <v>1316762820</v>
      </c>
      <c r="G228" t="inlineStr">
        <is>
          <t>Gambie</t>
        </is>
      </c>
      <c r="H228" s="24" t="n">
        <v>582.025</v>
      </c>
      <c r="I228" s="25" t="n">
        <v>1316762820</v>
      </c>
      <c r="J228" s="25" t="n">
        <v>2262381.89</v>
      </c>
    </row>
    <row r="229">
      <c r="A229" t="n">
        <v>2017</v>
      </c>
      <c r="B229" t="inlineStr">
        <is>
          <t>SOCOCIM</t>
        </is>
      </c>
      <c r="C229" t="inlineStr">
        <is>
          <t>Ciment</t>
        </is>
      </c>
      <c r="D229" t="inlineStr">
        <is>
          <t>Tonne</t>
        </is>
      </c>
      <c r="E229" s="3" t="n">
        <v>1605</v>
      </c>
      <c r="F229" s="3" t="n">
        <v>63397500</v>
      </c>
      <c r="G229" t="inlineStr">
        <is>
          <t>Guinée</t>
        </is>
      </c>
      <c r="H229" s="24" t="n">
        <v>582.025</v>
      </c>
      <c r="I229" s="25" t="n">
        <v>63397500</v>
      </c>
      <c r="J229" s="25" t="n">
        <v>108925.73</v>
      </c>
    </row>
    <row r="230">
      <c r="A230" t="n">
        <v>2017</v>
      </c>
      <c r="B230" t="inlineStr">
        <is>
          <t>SOCOCIM</t>
        </is>
      </c>
      <c r="C230" t="inlineStr">
        <is>
          <t>Ciment</t>
        </is>
      </c>
      <c r="D230" t="inlineStr">
        <is>
          <t>Tonne</t>
        </is>
      </c>
      <c r="E230" s="3" t="n">
        <v>21966</v>
      </c>
      <c r="F230" s="3" t="n">
        <v>1001932130</v>
      </c>
      <c r="G230" t="inlineStr">
        <is>
          <t>Guinée-Bissau</t>
        </is>
      </c>
      <c r="H230" s="24" t="n">
        <v>582.025</v>
      </c>
      <c r="I230" s="25" t="n">
        <v>1001932130</v>
      </c>
      <c r="J230" s="25" t="n">
        <v>1721458.92</v>
      </c>
    </row>
    <row r="231">
      <c r="A231" t="n">
        <v>2017</v>
      </c>
      <c r="B231" t="inlineStr">
        <is>
          <t>SOCOCIM</t>
        </is>
      </c>
      <c r="C231" t="inlineStr">
        <is>
          <t>Ciment</t>
        </is>
      </c>
      <c r="D231" t="inlineStr">
        <is>
          <t>Tonne</t>
        </is>
      </c>
      <c r="E231" s="3" t="n">
        <v>721062</v>
      </c>
      <c r="F231" s="3" t="n">
        <v>27099743855</v>
      </c>
      <c r="G231" t="inlineStr">
        <is>
          <t>Mali</t>
        </is>
      </c>
      <c r="H231" s="24" t="n">
        <v>582.025</v>
      </c>
      <c r="I231" s="25" t="n">
        <v>27099743855</v>
      </c>
      <c r="J231" s="25" t="n">
        <v>46561133.72</v>
      </c>
    </row>
    <row r="232">
      <c r="A232" t="n">
        <v>2017</v>
      </c>
      <c r="B232" t="inlineStr">
        <is>
          <t>SOCOCIM</t>
        </is>
      </c>
      <c r="C232" t="inlineStr">
        <is>
          <t>Ciment</t>
        </is>
      </c>
      <c r="D232" t="inlineStr">
        <is>
          <t>Tonne</t>
        </is>
      </c>
      <c r="E232" s="3" t="n">
        <v>11119</v>
      </c>
      <c r="F232" s="3" t="n">
        <v>438123455</v>
      </c>
      <c r="G232" t="inlineStr">
        <is>
          <t>Mauritanie</t>
        </is>
      </c>
      <c r="H232" s="24" t="n">
        <v>582.025</v>
      </c>
      <c r="I232" s="25" t="n">
        <v>438123455</v>
      </c>
      <c r="J232" s="25" t="n">
        <v>752757.11</v>
      </c>
    </row>
    <row r="233">
      <c r="A233" t="n">
        <v>2017</v>
      </c>
      <c r="B233" t="inlineStr">
        <is>
          <t>SGO</t>
        </is>
      </c>
      <c r="C233" t="inlineStr">
        <is>
          <t>Or</t>
        </is>
      </c>
      <c r="D233" t="inlineStr">
        <is>
          <t>Tonne</t>
        </is>
      </c>
      <c r="E233" s="8" t="n">
        <v>7.1881379</v>
      </c>
      <c r="F233" s="3" t="n">
        <v>168342880233</v>
      </c>
      <c r="G233" t="inlineStr">
        <is>
          <t>Suisse</t>
        </is>
      </c>
      <c r="H233" s="24" t="n">
        <v>582.025</v>
      </c>
      <c r="I233" s="25" t="n">
        <v>168342880233</v>
      </c>
      <c r="J233" s="25" t="n">
        <v>289236510.86</v>
      </c>
    </row>
    <row r="234">
      <c r="A234" t="n">
        <v>2017</v>
      </c>
      <c r="B234" t="inlineStr">
        <is>
          <t>SGO</t>
        </is>
      </c>
      <c r="C234" t="inlineStr">
        <is>
          <t>Argent</t>
        </is>
      </c>
      <c r="D234" t="inlineStr">
        <is>
          <t>Tonne</t>
        </is>
      </c>
      <c r="E234" s="8" t="n">
        <v>0.63600389</v>
      </c>
      <c r="F234" s="3" t="n">
        <v>200690857</v>
      </c>
      <c r="G234" t="inlineStr">
        <is>
          <t>Suisse</t>
        </is>
      </c>
      <c r="H234" s="24" t="n">
        <v>582.025</v>
      </c>
      <c r="I234" s="25" t="n">
        <v>200690857</v>
      </c>
      <c r="J234" s="25" t="n">
        <v>344814.84</v>
      </c>
    </row>
    <row r="235">
      <c r="A235" t="n">
        <v>2017</v>
      </c>
      <c r="B235" t="inlineStr">
        <is>
          <t>CDS</t>
        </is>
      </c>
      <c r="C235" t="inlineStr">
        <is>
          <t>Ciment</t>
        </is>
      </c>
      <c r="D235" t="inlineStr">
        <is>
          <t>Tonne</t>
        </is>
      </c>
      <c r="E235" s="3" t="n">
        <v>1134694</v>
      </c>
      <c r="F235" s="3" t="n">
        <v>43347215075</v>
      </c>
      <c r="G235" t="inlineStr">
        <is>
          <t>Zone UEMOA</t>
        </is>
      </c>
      <c r="H235" s="24" t="n">
        <v>582.025</v>
      </c>
      <c r="I235" s="25" t="n">
        <v>43347215075</v>
      </c>
      <c r="J235" s="25" t="n">
        <v>74476551.81999999</v>
      </c>
    </row>
    <row r="236">
      <c r="A236" t="n">
        <v>2017</v>
      </c>
      <c r="B236" t="inlineStr">
        <is>
          <t>CDS</t>
        </is>
      </c>
      <c r="C236" t="inlineStr">
        <is>
          <t>Ciment</t>
        </is>
      </c>
      <c r="D236" t="inlineStr">
        <is>
          <t>Tonne</t>
        </is>
      </c>
      <c r="E236" s="3" t="n">
        <v>460950</v>
      </c>
      <c r="F236" s="3" t="n">
        <v>19861774300</v>
      </c>
      <c r="G236" t="inlineStr">
        <is>
          <t>Zone hors UEMOA</t>
        </is>
      </c>
      <c r="H236" s="24" t="n">
        <v>582.025</v>
      </c>
      <c r="I236" s="25" t="n">
        <v>19861774300</v>
      </c>
      <c r="J236" s="25" t="n">
        <v>34125294.1</v>
      </c>
    </row>
    <row r="237">
      <c r="A237" t="n">
        <v>2017</v>
      </c>
      <c r="B237" t="inlineStr">
        <is>
          <t>GCO</t>
        </is>
      </c>
      <c r="C237" t="inlineStr">
        <is>
          <t>Ilménite</t>
        </is>
      </c>
      <c r="D237" t="inlineStr">
        <is>
          <t>Tonne</t>
        </is>
      </c>
      <c r="E237" s="3" t="n">
        <v>110197</v>
      </c>
      <c r="F237" s="3" t="n">
        <v>7282221694</v>
      </c>
      <c r="G237" t="inlineStr">
        <is>
          <t>Mexique</t>
        </is>
      </c>
      <c r="H237" s="24" t="n">
        <v>582.025</v>
      </c>
      <c r="I237" s="25" t="n">
        <v>7282221694</v>
      </c>
      <c r="J237" s="25" t="n">
        <v>12511870.96</v>
      </c>
    </row>
    <row r="238">
      <c r="A238" t="n">
        <v>2017</v>
      </c>
      <c r="B238" t="inlineStr">
        <is>
          <t>GCO</t>
        </is>
      </c>
      <c r="C238" t="inlineStr">
        <is>
          <t>Ilménite</t>
        </is>
      </c>
      <c r="D238" t="inlineStr">
        <is>
          <t>Tonne</t>
        </is>
      </c>
      <c r="E238" s="3" t="n">
        <v>10037</v>
      </c>
      <c r="F238" s="3" t="n">
        <v>1001086063</v>
      </c>
      <c r="G238" t="inlineStr">
        <is>
          <t>Ukraine</t>
        </is>
      </c>
      <c r="H238" s="24" t="n">
        <v>582.025</v>
      </c>
      <c r="I238" s="25" t="n">
        <v>1001086063</v>
      </c>
      <c r="J238" s="25" t="n">
        <v>1720005.26</v>
      </c>
    </row>
    <row r="239">
      <c r="A239" t="n">
        <v>2017</v>
      </c>
      <c r="B239" t="inlineStr">
        <is>
          <t>GCO</t>
        </is>
      </c>
      <c r="C239" t="inlineStr">
        <is>
          <t>Ilménite</t>
        </is>
      </c>
      <c r="D239" t="inlineStr">
        <is>
          <t>Tonne</t>
        </is>
      </c>
      <c r="E239" s="3" t="n">
        <v>15025</v>
      </c>
      <c r="F239" s="3" t="n">
        <v>3852910357</v>
      </c>
      <c r="G239" t="inlineStr">
        <is>
          <t>États-Unis</t>
        </is>
      </c>
      <c r="H239" s="24" t="n">
        <v>582.025</v>
      </c>
      <c r="I239" s="25" t="n">
        <v>3852910357</v>
      </c>
      <c r="J239" s="25" t="n">
        <v>6619836.53</v>
      </c>
    </row>
    <row r="240">
      <c r="A240" t="n">
        <v>2017</v>
      </c>
      <c r="B240" t="inlineStr">
        <is>
          <t>GCO</t>
        </is>
      </c>
      <c r="C240" t="inlineStr">
        <is>
          <t>Zircon</t>
        </is>
      </c>
      <c r="D240" t="inlineStr">
        <is>
          <t>Tonne</t>
        </is>
      </c>
      <c r="E240" s="3" t="n">
        <v>18314</v>
      </c>
      <c r="F240" s="3" t="n">
        <v>3222232112</v>
      </c>
      <c r="G240" t="inlineStr">
        <is>
          <t>Chine</t>
        </is>
      </c>
      <c r="H240" s="24" t="n">
        <v>582.025</v>
      </c>
      <c r="I240" s="25" t="n">
        <v>3222232112</v>
      </c>
      <c r="J240" s="25" t="n">
        <v>5536243.48</v>
      </c>
    </row>
    <row r="241">
      <c r="A241" t="n">
        <v>2017</v>
      </c>
      <c r="B241" t="inlineStr">
        <is>
          <t>GCO</t>
        </is>
      </c>
      <c r="C241" t="inlineStr">
        <is>
          <t>Zircon</t>
        </is>
      </c>
      <c r="D241" t="inlineStr">
        <is>
          <t>Tonne</t>
        </is>
      </c>
      <c r="E241" s="3" t="n">
        <v>449</v>
      </c>
      <c r="F241" s="3" t="n">
        <v>293916278</v>
      </c>
      <c r="G241" t="inlineStr">
        <is>
          <t>Australie</t>
        </is>
      </c>
      <c r="H241" s="24" t="n">
        <v>582.025</v>
      </c>
      <c r="I241" s="25" t="n">
        <v>293916278</v>
      </c>
      <c r="J241" s="25" t="n">
        <v>504989.09</v>
      </c>
    </row>
    <row r="242">
      <c r="A242" t="n">
        <v>2017</v>
      </c>
      <c r="B242" t="inlineStr">
        <is>
          <t>GCO</t>
        </is>
      </c>
      <c r="C242" t="inlineStr">
        <is>
          <t>Zircon</t>
        </is>
      </c>
      <c r="D242" t="inlineStr">
        <is>
          <t>Tonne</t>
        </is>
      </c>
      <c r="E242" s="3" t="n">
        <v>2416</v>
      </c>
      <c r="F242" s="3" t="n">
        <v>1356901659</v>
      </c>
      <c r="G242" t="inlineStr">
        <is>
          <t>Brésil</t>
        </is>
      </c>
      <c r="H242" s="24" t="n">
        <v>582.025</v>
      </c>
      <c r="I242" s="25" t="n">
        <v>1356901659</v>
      </c>
      <c r="J242" s="25" t="n">
        <v>2331346.01</v>
      </c>
    </row>
    <row r="243">
      <c r="A243" t="n">
        <v>2017</v>
      </c>
      <c r="B243" t="inlineStr">
        <is>
          <t>GCO</t>
        </is>
      </c>
      <c r="C243" t="inlineStr">
        <is>
          <t>Zircon</t>
        </is>
      </c>
      <c r="D243" t="inlineStr">
        <is>
          <t>Tonne</t>
        </is>
      </c>
      <c r="E243" s="3" t="n">
        <v>3076</v>
      </c>
      <c r="F243" s="3" t="n">
        <v>1755167431</v>
      </c>
      <c r="G243" t="inlineStr">
        <is>
          <t>Chine</t>
        </is>
      </c>
      <c r="H243" s="24" t="n">
        <v>582.025</v>
      </c>
      <c r="I243" s="25" t="n">
        <v>1755167431</v>
      </c>
      <c r="J243" s="25" t="n">
        <v>3015622.06</v>
      </c>
    </row>
    <row r="244">
      <c r="A244" t="n">
        <v>2017</v>
      </c>
      <c r="B244" t="inlineStr">
        <is>
          <t>GCO</t>
        </is>
      </c>
      <c r="C244" t="inlineStr">
        <is>
          <t>Zircon</t>
        </is>
      </c>
      <c r="D244" t="inlineStr">
        <is>
          <t>Tonne</t>
        </is>
      </c>
      <c r="E244" s="3" t="n">
        <v>22</v>
      </c>
      <c r="F244" s="3" t="n">
        <v>13864950</v>
      </c>
      <c r="G244" t="inlineStr">
        <is>
          <t>Émirats Arabes Unis</t>
        </is>
      </c>
      <c r="H244" s="24" t="n">
        <v>582.025</v>
      </c>
      <c r="I244" s="25" t="n">
        <v>13864950</v>
      </c>
      <c r="J244" s="25" t="n">
        <v>23821.91</v>
      </c>
    </row>
    <row r="245">
      <c r="A245" t="n">
        <v>2017</v>
      </c>
      <c r="B245" t="inlineStr">
        <is>
          <t>GCO</t>
        </is>
      </c>
      <c r="C245" t="inlineStr">
        <is>
          <t>Zircon</t>
        </is>
      </c>
      <c r="D245" t="inlineStr">
        <is>
          <t>Tonne</t>
        </is>
      </c>
      <c r="E245" s="3" t="n">
        <v>23</v>
      </c>
      <c r="F245" s="3" t="n">
        <v>13224871</v>
      </c>
      <c r="G245" t="inlineStr">
        <is>
          <t>Royaume-Uni</t>
        </is>
      </c>
      <c r="H245" s="24" t="n">
        <v>582.025</v>
      </c>
      <c r="I245" s="25" t="n">
        <v>13224871</v>
      </c>
      <c r="J245" s="25" t="n">
        <v>22722.17</v>
      </c>
    </row>
    <row r="246">
      <c r="A246" t="n">
        <v>2017</v>
      </c>
      <c r="B246" t="inlineStr">
        <is>
          <t>GCO</t>
        </is>
      </c>
      <c r="C246" t="inlineStr">
        <is>
          <t>Zircon</t>
        </is>
      </c>
      <c r="D246" t="inlineStr">
        <is>
          <t>Tonne</t>
        </is>
      </c>
      <c r="E246" s="3" t="n">
        <v>2785</v>
      </c>
      <c r="F246" s="3" t="n">
        <v>1716897366</v>
      </c>
      <c r="G246" t="inlineStr">
        <is>
          <t>France</t>
        </is>
      </c>
      <c r="H246" s="24" t="n">
        <v>582.025</v>
      </c>
      <c r="I246" s="25" t="n">
        <v>1716897366</v>
      </c>
      <c r="J246" s="25" t="n">
        <v>2949868.76</v>
      </c>
    </row>
    <row r="247">
      <c r="A247" t="n">
        <v>2017</v>
      </c>
      <c r="B247" t="inlineStr">
        <is>
          <t>GCO</t>
        </is>
      </c>
      <c r="C247" t="inlineStr">
        <is>
          <t>Zircon</t>
        </is>
      </c>
      <c r="D247" t="inlineStr">
        <is>
          <t>Tonne</t>
        </is>
      </c>
      <c r="E247" s="3" t="n">
        <v>780</v>
      </c>
      <c r="F247" s="3" t="n">
        <v>478398349</v>
      </c>
      <c r="G247" t="inlineStr">
        <is>
          <t>Allemagne</t>
        </is>
      </c>
      <c r="H247" s="24" t="n">
        <v>582.025</v>
      </c>
      <c r="I247" s="25" t="n">
        <v>478398349</v>
      </c>
      <c r="J247" s="25" t="n">
        <v>821954.98</v>
      </c>
    </row>
    <row r="248">
      <c r="A248" t="n">
        <v>2017</v>
      </c>
      <c r="B248" t="inlineStr">
        <is>
          <t>GCO</t>
        </is>
      </c>
      <c r="C248" t="inlineStr">
        <is>
          <t>Zircon</t>
        </is>
      </c>
      <c r="D248" t="inlineStr">
        <is>
          <t>Tonne</t>
        </is>
      </c>
      <c r="E248" s="3" t="n">
        <v>2126</v>
      </c>
      <c r="F248" s="3" t="n">
        <v>1267602128</v>
      </c>
      <c r="G248" t="inlineStr">
        <is>
          <t>Inde</t>
        </is>
      </c>
      <c r="H248" s="24" t="n">
        <v>582.025</v>
      </c>
      <c r="I248" s="25" t="n">
        <v>1267602128</v>
      </c>
      <c r="J248" s="25" t="n">
        <v>2177916.98</v>
      </c>
    </row>
    <row r="249">
      <c r="A249" t="n">
        <v>2017</v>
      </c>
      <c r="B249" t="inlineStr">
        <is>
          <t>GCO</t>
        </is>
      </c>
      <c r="C249" t="inlineStr">
        <is>
          <t>Zircon</t>
        </is>
      </c>
      <c r="D249" t="inlineStr">
        <is>
          <t>Tonne</t>
        </is>
      </c>
      <c r="E249" s="3" t="n">
        <v>44</v>
      </c>
      <c r="F249" s="3" t="n">
        <v>30191175</v>
      </c>
      <c r="G249" t="inlineStr">
        <is>
          <t>Iran</t>
        </is>
      </c>
      <c r="H249" s="24" t="n">
        <v>582.025</v>
      </c>
      <c r="I249" s="25" t="n">
        <v>30191175</v>
      </c>
      <c r="J249" s="25" t="n">
        <v>51872.64</v>
      </c>
    </row>
    <row r="250">
      <c r="A250" t="n">
        <v>2017</v>
      </c>
      <c r="B250" t="inlineStr">
        <is>
          <t>GCO</t>
        </is>
      </c>
      <c r="C250" t="inlineStr">
        <is>
          <t>Zircon</t>
        </is>
      </c>
      <c r="D250" t="inlineStr">
        <is>
          <t>Tonne</t>
        </is>
      </c>
      <c r="E250" s="3" t="n">
        <v>2454</v>
      </c>
      <c r="F250" s="3" t="n">
        <v>1524064256</v>
      </c>
      <c r="G250" t="inlineStr">
        <is>
          <t>Italie</t>
        </is>
      </c>
      <c r="H250" s="24" t="n">
        <v>582.025</v>
      </c>
      <c r="I250" s="25" t="n">
        <v>1524064256</v>
      </c>
      <c r="J250" s="25" t="n">
        <v>2618554.63</v>
      </c>
    </row>
    <row r="251">
      <c r="A251" t="n">
        <v>2017</v>
      </c>
      <c r="B251" t="inlineStr">
        <is>
          <t>GCO</t>
        </is>
      </c>
      <c r="C251" t="inlineStr">
        <is>
          <t>Zircon</t>
        </is>
      </c>
      <c r="D251" t="inlineStr">
        <is>
          <t>Tonne</t>
        </is>
      </c>
      <c r="E251" s="3" t="n">
        <v>219</v>
      </c>
      <c r="F251" s="3" t="n">
        <v>143706045</v>
      </c>
      <c r="G251" t="inlineStr">
        <is>
          <t>Japon</t>
        </is>
      </c>
      <c r="H251" s="24" t="n">
        <v>582.025</v>
      </c>
      <c r="I251" s="25" t="n">
        <v>143706045</v>
      </c>
      <c r="J251" s="25" t="n">
        <v>246907</v>
      </c>
    </row>
    <row r="252">
      <c r="A252" t="n">
        <v>2017</v>
      </c>
      <c r="B252" t="inlineStr">
        <is>
          <t>GCO</t>
        </is>
      </c>
      <c r="C252" t="inlineStr">
        <is>
          <t>Zircon</t>
        </is>
      </c>
      <c r="D252" t="inlineStr">
        <is>
          <t>Tonne</t>
        </is>
      </c>
      <c r="E252" s="3" t="n">
        <v>2013</v>
      </c>
      <c r="F252" s="3" t="n">
        <v>1357902608</v>
      </c>
      <c r="G252" t="inlineStr">
        <is>
          <t>Mexique</t>
        </is>
      </c>
      <c r="H252" s="24" t="n">
        <v>582.025</v>
      </c>
      <c r="I252" s="25" t="n">
        <v>1357902608</v>
      </c>
      <c r="J252" s="25" t="n">
        <v>2333065.78</v>
      </c>
    </row>
    <row r="253">
      <c r="A253" t="n">
        <v>2017</v>
      </c>
      <c r="B253" t="inlineStr">
        <is>
          <t>GCO</t>
        </is>
      </c>
      <c r="C253" t="inlineStr">
        <is>
          <t>Zircon</t>
        </is>
      </c>
      <c r="D253" t="inlineStr">
        <is>
          <t>Tonne</t>
        </is>
      </c>
      <c r="E253" s="3" t="n">
        <v>1782</v>
      </c>
      <c r="F253" s="3" t="n">
        <v>1106828545</v>
      </c>
      <c r="G253" t="inlineStr">
        <is>
          <t>Pays-Bas</t>
        </is>
      </c>
      <c r="H253" s="24" t="n">
        <v>582.025</v>
      </c>
      <c r="I253" s="25" t="n">
        <v>1106828545</v>
      </c>
      <c r="J253" s="25" t="n">
        <v>1901685.57</v>
      </c>
    </row>
    <row r="254">
      <c r="A254" t="n">
        <v>2017</v>
      </c>
      <c r="B254" t="inlineStr">
        <is>
          <t>GCO</t>
        </is>
      </c>
      <c r="C254" t="inlineStr">
        <is>
          <t>Zircon</t>
        </is>
      </c>
      <c r="D254" t="inlineStr">
        <is>
          <t>Tonne</t>
        </is>
      </c>
      <c r="E254" s="3" t="n">
        <v>45</v>
      </c>
      <c r="F254" s="3" t="n">
        <v>11506039</v>
      </c>
      <c r="G254" t="inlineStr">
        <is>
          <t>Corée du Sud</t>
        </is>
      </c>
      <c r="H254" s="24" t="n">
        <v>582.025</v>
      </c>
      <c r="I254" s="25" t="n">
        <v>11506039</v>
      </c>
      <c r="J254" s="25" t="n">
        <v>19768.98</v>
      </c>
    </row>
    <row r="255">
      <c r="A255" t="n">
        <v>2017</v>
      </c>
      <c r="B255" t="inlineStr">
        <is>
          <t>GCO</t>
        </is>
      </c>
      <c r="C255" t="inlineStr">
        <is>
          <t>Zircon</t>
        </is>
      </c>
      <c r="D255" t="inlineStr">
        <is>
          <t>Tonne</t>
        </is>
      </c>
      <c r="E255" s="3" t="n">
        <v>7637</v>
      </c>
      <c r="F255" s="3" t="n">
        <v>4613253315</v>
      </c>
      <c r="G255" t="inlineStr">
        <is>
          <t>Espagne</t>
        </is>
      </c>
      <c r="H255" s="24" t="n">
        <v>582.025</v>
      </c>
      <c r="I255" s="25" t="n">
        <v>4613253315</v>
      </c>
      <c r="J255" s="25" t="n">
        <v>7926211.61</v>
      </c>
    </row>
    <row r="256">
      <c r="A256" t="n">
        <v>2017</v>
      </c>
      <c r="B256" t="inlineStr">
        <is>
          <t>GCO</t>
        </is>
      </c>
      <c r="C256" t="inlineStr">
        <is>
          <t>Zircon</t>
        </is>
      </c>
      <c r="D256" t="inlineStr">
        <is>
          <t>Tonne</t>
        </is>
      </c>
      <c r="E256" s="3" t="n">
        <v>9063</v>
      </c>
      <c r="F256" s="3" t="n">
        <v>5614686549</v>
      </c>
      <c r="G256" t="inlineStr">
        <is>
          <t>États-Unis</t>
        </is>
      </c>
      <c r="H256" s="24" t="n">
        <v>582.025</v>
      </c>
      <c r="I256" s="25" t="n">
        <v>5614686549</v>
      </c>
      <c r="J256" s="25" t="n">
        <v>9646813.369999999</v>
      </c>
    </row>
    <row r="257">
      <c r="A257" t="n">
        <v>2017</v>
      </c>
      <c r="B257" t="inlineStr">
        <is>
          <t>GCO</t>
        </is>
      </c>
      <c r="C257" t="inlineStr">
        <is>
          <t>Zircon</t>
        </is>
      </c>
      <c r="D257" t="inlineStr">
        <is>
          <t>Tonne</t>
        </is>
      </c>
      <c r="E257" s="3" t="n">
        <v>231</v>
      </c>
      <c r="F257" s="3" t="n">
        <v>117542525</v>
      </c>
      <c r="G257" t="inlineStr">
        <is>
          <t>Brésil</t>
        </is>
      </c>
      <c r="H257" s="24" t="n">
        <v>582.025</v>
      </c>
      <c r="I257" s="25" t="n">
        <v>117542525</v>
      </c>
      <c r="J257" s="25" t="n">
        <v>201954.43</v>
      </c>
    </row>
    <row r="258">
      <c r="A258" t="n">
        <v>2017</v>
      </c>
      <c r="B258" t="inlineStr">
        <is>
          <t>GCO</t>
        </is>
      </c>
      <c r="C258" t="inlineStr">
        <is>
          <t>Zircon</t>
        </is>
      </c>
      <c r="D258" t="inlineStr">
        <is>
          <t>Tonne</t>
        </is>
      </c>
      <c r="E258" s="3" t="n">
        <v>982</v>
      </c>
      <c r="F258" s="3" t="n">
        <v>537690052</v>
      </c>
      <c r="G258" t="inlineStr">
        <is>
          <t>Chine</t>
        </is>
      </c>
      <c r="H258" s="24" t="n">
        <v>582.025</v>
      </c>
      <c r="I258" s="25" t="n">
        <v>537690052</v>
      </c>
      <c r="J258" s="25" t="n">
        <v>923826.39</v>
      </c>
    </row>
    <row r="259">
      <c r="A259" t="n">
        <v>2017</v>
      </c>
      <c r="B259" t="inlineStr">
        <is>
          <t>GCO</t>
        </is>
      </c>
      <c r="C259" t="inlineStr">
        <is>
          <t>Zircon</t>
        </is>
      </c>
      <c r="D259" t="inlineStr">
        <is>
          <t>Tonne</t>
        </is>
      </c>
      <c r="E259" s="3" t="n">
        <v>22</v>
      </c>
      <c r="F259" s="3" t="n">
        <v>26876237</v>
      </c>
      <c r="G259" t="inlineStr">
        <is>
          <t>Émirats Arabes Unis</t>
        </is>
      </c>
      <c r="H259" s="24" t="n">
        <v>582.025</v>
      </c>
      <c r="I259" s="25" t="n">
        <v>26876237</v>
      </c>
      <c r="J259" s="25" t="n">
        <v>46177.12</v>
      </c>
    </row>
    <row r="260">
      <c r="A260" t="n">
        <v>2017</v>
      </c>
      <c r="B260" t="inlineStr">
        <is>
          <t>GCO</t>
        </is>
      </c>
      <c r="C260" t="inlineStr">
        <is>
          <t>Zircon</t>
        </is>
      </c>
      <c r="D260" t="inlineStr">
        <is>
          <t>Tonne</t>
        </is>
      </c>
      <c r="E260" s="3" t="n">
        <v>404</v>
      </c>
      <c r="F260" s="3" t="n">
        <v>236354436</v>
      </c>
      <c r="G260" t="inlineStr">
        <is>
          <t>France</t>
        </is>
      </c>
      <c r="H260" s="24" t="n">
        <v>582.025</v>
      </c>
      <c r="I260" s="25" t="n">
        <v>236354436</v>
      </c>
      <c r="J260" s="25" t="n">
        <v>406089.83</v>
      </c>
    </row>
    <row r="261">
      <c r="A261" t="n">
        <v>2017</v>
      </c>
      <c r="B261" t="inlineStr">
        <is>
          <t>GCO</t>
        </is>
      </c>
      <c r="C261" t="inlineStr">
        <is>
          <t>Zircon</t>
        </is>
      </c>
      <c r="D261" t="inlineStr">
        <is>
          <t>Tonne</t>
        </is>
      </c>
      <c r="E261" s="3" t="n">
        <v>2699</v>
      </c>
      <c r="F261" s="3" t="n">
        <v>1626257441</v>
      </c>
      <c r="G261" t="inlineStr">
        <is>
          <t>Allemagne</t>
        </is>
      </c>
      <c r="H261" s="24" t="n">
        <v>582.025</v>
      </c>
      <c r="I261" s="25" t="n">
        <v>1626257441</v>
      </c>
      <c r="J261" s="25" t="n">
        <v>2794136.75</v>
      </c>
    </row>
    <row r="262">
      <c r="A262" t="n">
        <v>2017</v>
      </c>
      <c r="B262" t="inlineStr">
        <is>
          <t>GCO</t>
        </is>
      </c>
      <c r="C262" t="inlineStr">
        <is>
          <t>Zircon</t>
        </is>
      </c>
      <c r="D262" t="inlineStr">
        <is>
          <t>Tonne</t>
        </is>
      </c>
      <c r="E262" s="3" t="n">
        <v>1923</v>
      </c>
      <c r="F262" s="3" t="n">
        <v>1145254171</v>
      </c>
      <c r="G262" t="inlineStr">
        <is>
          <t>Inde</t>
        </is>
      </c>
      <c r="H262" s="24" t="n">
        <v>582.025</v>
      </c>
      <c r="I262" s="25" t="n">
        <v>1145254171</v>
      </c>
      <c r="J262" s="25" t="n">
        <v>1967706.15</v>
      </c>
    </row>
    <row r="263">
      <c r="A263" t="n">
        <v>2017</v>
      </c>
      <c r="B263" t="inlineStr">
        <is>
          <t>GCO</t>
        </is>
      </c>
      <c r="C263" t="inlineStr">
        <is>
          <t>Zircon</t>
        </is>
      </c>
      <c r="D263" t="inlineStr">
        <is>
          <t>Tonne</t>
        </is>
      </c>
      <c r="E263" s="3" t="n">
        <v>44</v>
      </c>
      <c r="F263" s="3" t="n">
        <v>23860936</v>
      </c>
      <c r="G263" t="inlineStr">
        <is>
          <t>Japon</t>
        </is>
      </c>
      <c r="H263" s="24" t="n">
        <v>582.025</v>
      </c>
      <c r="I263" s="25" t="n">
        <v>23860936</v>
      </c>
      <c r="J263" s="25" t="n">
        <v>40996.41</v>
      </c>
    </row>
    <row r="264">
      <c r="A264" t="n">
        <v>2017</v>
      </c>
      <c r="B264" t="inlineStr">
        <is>
          <t>GCO</t>
        </is>
      </c>
      <c r="C264" t="inlineStr">
        <is>
          <t>Zircon</t>
        </is>
      </c>
      <c r="D264" t="inlineStr">
        <is>
          <t>Tonne</t>
        </is>
      </c>
      <c r="E264" s="3" t="n">
        <v>1983</v>
      </c>
      <c r="F264" s="3" t="n">
        <v>1065832727</v>
      </c>
      <c r="G264" t="inlineStr">
        <is>
          <t>Mexique</t>
        </is>
      </c>
      <c r="H264" s="24" t="n">
        <v>582.025</v>
      </c>
      <c r="I264" s="25" t="n">
        <v>1065832727</v>
      </c>
      <c r="J264" s="25" t="n">
        <v>1831249.05</v>
      </c>
    </row>
    <row r="265">
      <c r="A265" t="n">
        <v>2017</v>
      </c>
      <c r="B265" t="inlineStr">
        <is>
          <t>GCO</t>
        </is>
      </c>
      <c r="C265" t="inlineStr">
        <is>
          <t>Zircon</t>
        </is>
      </c>
      <c r="D265" t="inlineStr">
        <is>
          <t>Tonne</t>
        </is>
      </c>
      <c r="E265" s="3" t="n">
        <v>3144</v>
      </c>
      <c r="F265" s="3" t="n">
        <v>1745248174</v>
      </c>
      <c r="G265" t="inlineStr">
        <is>
          <t>Pays-Bas</t>
        </is>
      </c>
      <c r="H265" s="24" t="n">
        <v>582.025</v>
      </c>
      <c r="I265" s="25" t="n">
        <v>1745248174</v>
      </c>
      <c r="J265" s="25" t="n">
        <v>2998579.4</v>
      </c>
    </row>
    <row r="266">
      <c r="A266" t="n">
        <v>2017</v>
      </c>
      <c r="B266" t="inlineStr">
        <is>
          <t>GCO</t>
        </is>
      </c>
      <c r="C266" t="inlineStr">
        <is>
          <t>Zircon</t>
        </is>
      </c>
      <c r="D266" t="inlineStr">
        <is>
          <t>Tonne</t>
        </is>
      </c>
      <c r="E266" s="3" t="n">
        <v>319</v>
      </c>
      <c r="F266" s="3" t="n">
        <v>196140612</v>
      </c>
      <c r="G266" t="inlineStr">
        <is>
          <t>Norvège</t>
        </is>
      </c>
      <c r="H266" s="24" t="n">
        <v>582.025</v>
      </c>
      <c r="I266" s="25" t="n">
        <v>196140612</v>
      </c>
      <c r="J266" s="25" t="n">
        <v>336996.89</v>
      </c>
    </row>
    <row r="267">
      <c r="A267" t="n">
        <v>2017</v>
      </c>
      <c r="B267" t="inlineStr">
        <is>
          <t>GCO</t>
        </is>
      </c>
      <c r="C267" t="inlineStr">
        <is>
          <t>Zircon</t>
        </is>
      </c>
      <c r="D267" t="inlineStr">
        <is>
          <t>Tonne</t>
        </is>
      </c>
      <c r="E267" s="3" t="n">
        <v>288</v>
      </c>
      <c r="F267" s="3" t="n">
        <v>157547525</v>
      </c>
      <c r="G267" t="inlineStr">
        <is>
          <t>Afrique du Sud</t>
        </is>
      </c>
      <c r="H267" s="24" t="n">
        <v>582.025</v>
      </c>
      <c r="I267" s="25" t="n">
        <v>157547525</v>
      </c>
      <c r="J267" s="25" t="n">
        <v>270688.59</v>
      </c>
    </row>
    <row r="268">
      <c r="A268" t="n">
        <v>2017</v>
      </c>
      <c r="B268" t="inlineStr">
        <is>
          <t>GCO</t>
        </is>
      </c>
      <c r="C268" t="inlineStr">
        <is>
          <t>Zircon</t>
        </is>
      </c>
      <c r="D268" t="inlineStr">
        <is>
          <t>Tonne</t>
        </is>
      </c>
      <c r="E268" s="3" t="n">
        <v>11847</v>
      </c>
      <c r="F268" s="3" t="n">
        <v>6874713982</v>
      </c>
      <c r="G268" t="inlineStr">
        <is>
          <t>Espagne</t>
        </is>
      </c>
      <c r="H268" s="24" t="n">
        <v>582.025</v>
      </c>
      <c r="I268" s="25" t="n">
        <v>6874713982</v>
      </c>
      <c r="J268" s="25" t="n">
        <v>11811715.96</v>
      </c>
    </row>
    <row r="269">
      <c r="A269" t="n">
        <v>2017</v>
      </c>
      <c r="B269" t="inlineStr">
        <is>
          <t>GCO</t>
        </is>
      </c>
      <c r="C269" t="inlineStr">
        <is>
          <t>Zircon</t>
        </is>
      </c>
      <c r="D269" t="inlineStr">
        <is>
          <t>Tonne</t>
        </is>
      </c>
      <c r="E269" s="3" t="n">
        <v>1878</v>
      </c>
      <c r="F269" s="3" t="n">
        <v>1158592352</v>
      </c>
      <c r="G269" t="inlineStr">
        <is>
          <t>États-Unis</t>
        </is>
      </c>
      <c r="H269" s="24" t="n">
        <v>582.025</v>
      </c>
      <c r="I269" s="25" t="n">
        <v>1158592352</v>
      </c>
      <c r="J269" s="25" t="n">
        <v>1990623</v>
      </c>
    </row>
    <row r="270">
      <c r="A270" t="n">
        <v>2017</v>
      </c>
      <c r="B270" t="inlineStr">
        <is>
          <t>GCO</t>
        </is>
      </c>
      <c r="C270" t="inlineStr">
        <is>
          <t>Ilménite</t>
        </is>
      </c>
      <c r="D270" t="inlineStr">
        <is>
          <t>Tonne</t>
        </is>
      </c>
      <c r="E270" s="3" t="n">
        <v>62803</v>
      </c>
      <c r="F270" s="3" t="n">
        <v>7116252290</v>
      </c>
      <c r="G270" t="inlineStr">
        <is>
          <t>Chine</t>
        </is>
      </c>
      <c r="H270" s="24" t="n">
        <v>582.025</v>
      </c>
      <c r="I270" s="25" t="n">
        <v>7116252290</v>
      </c>
      <c r="J270" s="25" t="n">
        <v>12226712.41</v>
      </c>
    </row>
    <row r="271">
      <c r="A271" t="n">
        <v>2017</v>
      </c>
      <c r="B271" t="inlineStr">
        <is>
          <t>GCO</t>
        </is>
      </c>
      <c r="C271" t="inlineStr">
        <is>
          <t>Ilménite</t>
        </is>
      </c>
      <c r="D271" t="inlineStr">
        <is>
          <t>Tonne</t>
        </is>
      </c>
      <c r="E271" s="3" t="n">
        <v>240683</v>
      </c>
      <c r="F271" s="3" t="n">
        <v>22295322303</v>
      </c>
      <c r="G271" t="inlineStr">
        <is>
          <t>Norvège</t>
        </is>
      </c>
      <c r="H271" s="24" t="n">
        <v>582.025</v>
      </c>
      <c r="I271" s="25" t="n">
        <v>22295322303</v>
      </c>
      <c r="J271" s="25" t="n">
        <v>38306468.46</v>
      </c>
    </row>
    <row r="272">
      <c r="A272" t="n">
        <v>2017</v>
      </c>
      <c r="B272" t="inlineStr">
        <is>
          <t>GCO</t>
        </is>
      </c>
      <c r="C272" t="inlineStr">
        <is>
          <t>Ilménite</t>
        </is>
      </c>
      <c r="D272" t="inlineStr">
        <is>
          <t>Tonne</t>
        </is>
      </c>
      <c r="E272" s="3" t="n">
        <v>5080</v>
      </c>
      <c r="F272" s="3" t="n">
        <v>493317310</v>
      </c>
      <c r="G272" t="inlineStr">
        <is>
          <t>Ukraine</t>
        </is>
      </c>
      <c r="H272" s="24" t="n">
        <v>582.025</v>
      </c>
      <c r="I272" s="25" t="n">
        <v>493317310</v>
      </c>
      <c r="J272" s="25" t="n">
        <v>847587.84</v>
      </c>
    </row>
    <row r="273">
      <c r="A273" t="n">
        <v>2017</v>
      </c>
      <c r="B273" t="inlineStr">
        <is>
          <t>GCO</t>
        </is>
      </c>
      <c r="C273" t="inlineStr">
        <is>
          <t>Ilménite</t>
        </is>
      </c>
      <c r="D273" t="inlineStr">
        <is>
          <t>Tonne</t>
        </is>
      </c>
      <c r="E273" s="3" t="n">
        <v>20051</v>
      </c>
      <c r="F273" s="3" t="n">
        <v>1938601757</v>
      </c>
      <c r="G273" t="inlineStr">
        <is>
          <t>États-Unis</t>
        </is>
      </c>
      <c r="H273" s="24" t="n">
        <v>582.025</v>
      </c>
      <c r="I273" s="25" t="n">
        <v>1938601757</v>
      </c>
      <c r="J273" s="25" t="n">
        <v>3330787.78</v>
      </c>
    </row>
    <row r="274">
      <c r="A274" t="n">
        <v>2017</v>
      </c>
      <c r="B274" t="inlineStr">
        <is>
          <t>GCO</t>
        </is>
      </c>
      <c r="C274" t="inlineStr">
        <is>
          <t>Leucoxène</t>
        </is>
      </c>
      <c r="D274" t="inlineStr">
        <is>
          <t>Tonne</t>
        </is>
      </c>
      <c r="E274" s="3" t="n">
        <v>2660</v>
      </c>
      <c r="F274" s="3" t="n">
        <v>612200635</v>
      </c>
      <c r="G274" t="inlineStr">
        <is>
          <t>Chine</t>
        </is>
      </c>
      <c r="H274" s="24" t="n">
        <v>582.025</v>
      </c>
      <c r="I274" s="25" t="n">
        <v>612200635</v>
      </c>
      <c r="J274" s="25" t="n">
        <v>1051845.94</v>
      </c>
    </row>
    <row r="275">
      <c r="A275" t="n">
        <v>2017</v>
      </c>
      <c r="B275" t="inlineStr">
        <is>
          <t>GCO</t>
        </is>
      </c>
      <c r="C275" t="inlineStr">
        <is>
          <t>Leucoxène</t>
        </is>
      </c>
      <c r="D275" t="inlineStr">
        <is>
          <t>Tonne</t>
        </is>
      </c>
      <c r="E275" s="3" t="n">
        <v>1780</v>
      </c>
      <c r="F275" s="3" t="n">
        <v>454492186</v>
      </c>
      <c r="G275" t="inlineStr">
        <is>
          <t>Émirats Arabes Unis</t>
        </is>
      </c>
      <c r="H275" s="24" t="n">
        <v>582.025</v>
      </c>
      <c r="I275" s="25" t="n">
        <v>454492186</v>
      </c>
      <c r="J275" s="25" t="n">
        <v>780880.87</v>
      </c>
    </row>
    <row r="276">
      <c r="A276" t="n">
        <v>2017</v>
      </c>
      <c r="B276" t="inlineStr">
        <is>
          <t>GCO</t>
        </is>
      </c>
      <c r="C276" t="inlineStr">
        <is>
          <t>Leucoxène</t>
        </is>
      </c>
      <c r="D276" t="inlineStr">
        <is>
          <t>Tonne</t>
        </is>
      </c>
      <c r="E276" s="3" t="n">
        <v>920</v>
      </c>
      <c r="F276" s="3" t="n">
        <v>232097865</v>
      </c>
      <c r="G276" t="inlineStr">
        <is>
          <t>Royaume-Uni</t>
        </is>
      </c>
      <c r="H276" s="24" t="n">
        <v>582.025</v>
      </c>
      <c r="I276" s="25" t="n">
        <v>232097865</v>
      </c>
      <c r="J276" s="25" t="n">
        <v>398776.45</v>
      </c>
    </row>
    <row r="277">
      <c r="A277" t="n">
        <v>2017</v>
      </c>
      <c r="B277" t="inlineStr">
        <is>
          <t>GCO</t>
        </is>
      </c>
      <c r="C277" t="inlineStr">
        <is>
          <t>Leucoxène</t>
        </is>
      </c>
      <c r="D277" t="inlineStr">
        <is>
          <t>Tonne</t>
        </is>
      </c>
      <c r="E277" s="3" t="n">
        <v>920</v>
      </c>
      <c r="F277" s="3" t="n">
        <v>305988525</v>
      </c>
      <c r="G277" t="inlineStr">
        <is>
          <t>Luxembourg</t>
        </is>
      </c>
      <c r="H277" s="24" t="n">
        <v>582.025</v>
      </c>
      <c r="I277" s="25" t="n">
        <v>305988525</v>
      </c>
      <c r="J277" s="25" t="n">
        <v>525730.9</v>
      </c>
    </row>
    <row r="278">
      <c r="A278" t="n">
        <v>2017</v>
      </c>
      <c r="B278" t="inlineStr">
        <is>
          <t>GCO</t>
        </is>
      </c>
      <c r="C278" t="inlineStr">
        <is>
          <t>Leucoxène</t>
        </is>
      </c>
      <c r="D278" t="inlineStr">
        <is>
          <t>Tonne</t>
        </is>
      </c>
      <c r="E278" s="3" t="n">
        <v>880</v>
      </c>
      <c r="F278" s="3" t="n">
        <v>254458112</v>
      </c>
      <c r="G278" t="inlineStr">
        <is>
          <t>Corée du Sud</t>
        </is>
      </c>
      <c r="H278" s="24" t="n">
        <v>582.025</v>
      </c>
      <c r="I278" s="25" t="n">
        <v>254458112</v>
      </c>
      <c r="J278" s="25" t="n">
        <v>437194.47</v>
      </c>
    </row>
    <row r="279">
      <c r="A279" t="n">
        <v>2017</v>
      </c>
      <c r="B279" t="inlineStr">
        <is>
          <t>GCO</t>
        </is>
      </c>
      <c r="C279" t="inlineStr">
        <is>
          <t>Leucoxène</t>
        </is>
      </c>
      <c r="D279" t="inlineStr">
        <is>
          <t>Tonne</t>
        </is>
      </c>
      <c r="E279" s="3" t="n">
        <v>20</v>
      </c>
      <c r="F279" s="3" t="n">
        <v>5993884</v>
      </c>
      <c r="G279" t="inlineStr">
        <is>
          <t>Turquie</t>
        </is>
      </c>
      <c r="H279" s="24" t="n">
        <v>582.025</v>
      </c>
      <c r="I279" s="25" t="n">
        <v>5993884</v>
      </c>
      <c r="J279" s="25" t="n">
        <v>10298.33</v>
      </c>
    </row>
    <row r="280">
      <c r="A280" t="n">
        <v>2017</v>
      </c>
      <c r="B280" t="inlineStr">
        <is>
          <t>GCO</t>
        </is>
      </c>
      <c r="C280" t="inlineStr">
        <is>
          <t>Rutile</t>
        </is>
      </c>
      <c r="D280" t="inlineStr">
        <is>
          <t>Tonne</t>
        </is>
      </c>
      <c r="E280" s="3" t="n">
        <v>60</v>
      </c>
      <c r="F280" s="3" t="n">
        <v>27895130</v>
      </c>
      <c r="G280" t="inlineStr">
        <is>
          <t>France</t>
        </is>
      </c>
      <c r="H280" s="24" t="n">
        <v>582.025</v>
      </c>
      <c r="I280" s="25" t="n">
        <v>27895130</v>
      </c>
      <c r="J280" s="25" t="n">
        <v>47927.72</v>
      </c>
    </row>
    <row r="281">
      <c r="A281" t="n">
        <v>2017</v>
      </c>
      <c r="B281" t="inlineStr">
        <is>
          <t>GCO</t>
        </is>
      </c>
      <c r="C281" t="inlineStr">
        <is>
          <t>Rutile</t>
        </is>
      </c>
      <c r="D281" t="inlineStr">
        <is>
          <t>Tonne</t>
        </is>
      </c>
      <c r="E281" s="3" t="n">
        <v>216</v>
      </c>
      <c r="F281" s="3" t="n">
        <v>105670344</v>
      </c>
      <c r="G281" t="inlineStr">
        <is>
          <t>Allemagne</t>
        </is>
      </c>
      <c r="H281" s="24" t="n">
        <v>582.025</v>
      </c>
      <c r="I281" s="25" t="n">
        <v>105670344</v>
      </c>
      <c r="J281" s="25" t="n">
        <v>181556.37</v>
      </c>
    </row>
    <row r="282">
      <c r="A282" t="n">
        <v>2017</v>
      </c>
      <c r="B282" t="inlineStr">
        <is>
          <t>GCO</t>
        </is>
      </c>
      <c r="C282" t="inlineStr">
        <is>
          <t>Rutile</t>
        </is>
      </c>
      <c r="D282" t="inlineStr">
        <is>
          <t>Tonne</t>
        </is>
      </c>
      <c r="E282" s="3" t="n">
        <v>20</v>
      </c>
      <c r="F282" s="3" t="n">
        <v>9460211</v>
      </c>
      <c r="G282" t="inlineStr">
        <is>
          <t>Italie</t>
        </is>
      </c>
      <c r="H282" s="24" t="n">
        <v>582.025</v>
      </c>
      <c r="I282" s="25" t="n">
        <v>9460211</v>
      </c>
      <c r="J282" s="25" t="n">
        <v>16253.96</v>
      </c>
    </row>
    <row r="283">
      <c r="A283" t="n">
        <v>2017</v>
      </c>
      <c r="B283" t="inlineStr">
        <is>
          <t>GCO</t>
        </is>
      </c>
      <c r="C283" t="inlineStr">
        <is>
          <t>Rutile</t>
        </is>
      </c>
      <c r="D283" t="inlineStr">
        <is>
          <t>Tonne</t>
        </is>
      </c>
      <c r="E283" s="3" t="n">
        <v>22</v>
      </c>
      <c r="F283" s="3" t="n">
        <v>10901221</v>
      </c>
      <c r="G283" t="inlineStr">
        <is>
          <t>Japon</t>
        </is>
      </c>
      <c r="H283" s="24" t="n">
        <v>582.025</v>
      </c>
      <c r="I283" s="25" t="n">
        <v>10901221</v>
      </c>
      <c r="J283" s="25" t="n">
        <v>18729.82</v>
      </c>
    </row>
    <row r="284">
      <c r="A284" t="n">
        <v>2017</v>
      </c>
      <c r="B284" t="inlineStr">
        <is>
          <t>GCO</t>
        </is>
      </c>
      <c r="C284" t="inlineStr">
        <is>
          <t>Rutile</t>
        </is>
      </c>
      <c r="D284" t="inlineStr">
        <is>
          <t>Tonne</t>
        </is>
      </c>
      <c r="E284" s="3" t="n">
        <v>-20</v>
      </c>
      <c r="F284" s="3" t="n">
        <v>-8522379</v>
      </c>
      <c r="G284" t="inlineStr">
        <is>
          <t>Pays-Bas</t>
        </is>
      </c>
      <c r="H284" s="24" t="n">
        <v>582.025</v>
      </c>
      <c r="I284" s="25" t="n">
        <v>-8522379</v>
      </c>
      <c r="J284" s="25" t="n">
        <v>-14642.63</v>
      </c>
    </row>
    <row r="285">
      <c r="A285" t="n">
        <v>2017</v>
      </c>
      <c r="B285" t="inlineStr">
        <is>
          <t>GCO</t>
        </is>
      </c>
      <c r="C285" t="inlineStr">
        <is>
          <t>Rutile</t>
        </is>
      </c>
      <c r="D285" t="inlineStr">
        <is>
          <t>Tonne</t>
        </is>
      </c>
      <c r="E285" s="3" t="n">
        <v>2280</v>
      </c>
      <c r="F285" s="3" t="n">
        <v>980442837</v>
      </c>
      <c r="G285" t="inlineStr">
        <is>
          <t>Corée du Sud</t>
        </is>
      </c>
      <c r="H285" s="24" t="n">
        <v>582.025</v>
      </c>
      <c r="I285" s="25" t="n">
        <v>980442837</v>
      </c>
      <c r="J285" s="25" t="n">
        <v>1684537.33</v>
      </c>
    </row>
    <row r="286">
      <c r="A286" t="n">
        <v>2017</v>
      </c>
      <c r="B286" t="inlineStr">
        <is>
          <t>GCO</t>
        </is>
      </c>
      <c r="C286" t="inlineStr">
        <is>
          <t>Rutile</t>
        </is>
      </c>
      <c r="D286" t="inlineStr">
        <is>
          <t>Tonne</t>
        </is>
      </c>
      <c r="E286" s="3" t="n">
        <v>300</v>
      </c>
      <c r="F286" s="3" t="n">
        <v>135047449</v>
      </c>
      <c r="G286" t="inlineStr">
        <is>
          <t>Espagne</t>
        </is>
      </c>
      <c r="H286" s="24" t="n">
        <v>582.025</v>
      </c>
      <c r="I286" s="25" t="n">
        <v>135047449</v>
      </c>
      <c r="J286" s="25" t="n">
        <v>232030.32</v>
      </c>
    </row>
    <row r="287">
      <c r="A287" t="n">
        <v>2017</v>
      </c>
      <c r="B287" t="inlineStr">
        <is>
          <t>GCO</t>
        </is>
      </c>
      <c r="C287" t="inlineStr">
        <is>
          <t>Rutile</t>
        </is>
      </c>
      <c r="D287" t="inlineStr">
        <is>
          <t>Tonne</t>
        </is>
      </c>
      <c r="E287" s="3" t="n">
        <v>200</v>
      </c>
      <c r="F287" s="3" t="n">
        <v>91743119</v>
      </c>
      <c r="G287" t="inlineStr">
        <is>
          <t>Turquie</t>
        </is>
      </c>
      <c r="H287" s="24" t="n">
        <v>582.025</v>
      </c>
      <c r="I287" s="25" t="n">
        <v>91743119</v>
      </c>
      <c r="J287" s="25" t="n">
        <v>157627.45</v>
      </c>
    </row>
    <row r="288">
      <c r="A288" t="n">
        <v>2017</v>
      </c>
      <c r="B288" t="inlineStr">
        <is>
          <t>SSPT</t>
        </is>
      </c>
      <c r="C288" t="inlineStr">
        <is>
          <t>Attapulgite</t>
        </is>
      </c>
      <c r="D288" t="inlineStr">
        <is>
          <t>Tonne</t>
        </is>
      </c>
      <c r="E288" s="3" t="n">
        <v>85453</v>
      </c>
      <c r="F288" s="3" t="n">
        <v>2408637269</v>
      </c>
      <c r="G288" t="inlineStr">
        <is>
          <t>France</t>
        </is>
      </c>
      <c r="H288" s="24" t="n">
        <v>582.025</v>
      </c>
      <c r="I288" s="25" t="n">
        <v>2408637269</v>
      </c>
      <c r="J288" s="25" t="n">
        <v>4138374.24</v>
      </c>
    </row>
    <row r="289">
      <c r="A289" t="n">
        <v>2017</v>
      </c>
      <c r="B289" t="inlineStr">
        <is>
          <t>SSPT</t>
        </is>
      </c>
      <c r="C289" t="inlineStr">
        <is>
          <t>Attapulgite</t>
        </is>
      </c>
      <c r="D289" t="inlineStr">
        <is>
          <t>Tonne</t>
        </is>
      </c>
      <c r="E289" s="3" t="n">
        <v>47410</v>
      </c>
      <c r="F289" s="3" t="n">
        <v>1378012109</v>
      </c>
      <c r="G289" t="inlineStr">
        <is>
          <t>Pays-Bas</t>
        </is>
      </c>
      <c r="H289" s="24" t="n">
        <v>582.025</v>
      </c>
      <c r="I289" s="25" t="n">
        <v>1378012109</v>
      </c>
      <c r="J289" s="25" t="n">
        <v>2367616.7</v>
      </c>
    </row>
    <row r="290">
      <c r="A290" t="n">
        <v>2017</v>
      </c>
      <c r="B290" t="inlineStr">
        <is>
          <t>SSPT</t>
        </is>
      </c>
      <c r="C290" t="inlineStr">
        <is>
          <t>Attapulgite</t>
        </is>
      </c>
      <c r="D290" t="inlineStr">
        <is>
          <t>Tonne</t>
        </is>
      </c>
      <c r="E290" s="3" t="n">
        <v>26406</v>
      </c>
      <c r="F290" s="3" t="n">
        <v>676646884</v>
      </c>
      <c r="G290" t="inlineStr">
        <is>
          <t>Royaume-Uni</t>
        </is>
      </c>
      <c r="H290" s="24" t="n">
        <v>582.025</v>
      </c>
      <c r="I290" s="25" t="n">
        <v>676646884</v>
      </c>
      <c r="J290" s="25" t="n">
        <v>1162573.57</v>
      </c>
    </row>
    <row r="291">
      <c r="A291" t="n">
        <v>2017</v>
      </c>
      <c r="B291" t="inlineStr">
        <is>
          <t>SSPT</t>
        </is>
      </c>
      <c r="C291" t="inlineStr">
        <is>
          <t>Attapulgite</t>
        </is>
      </c>
      <c r="D291" t="inlineStr">
        <is>
          <t>Tonne</t>
        </is>
      </c>
      <c r="E291" s="3" t="n">
        <v>24</v>
      </c>
      <c r="F291" s="3" t="n">
        <v>1596218</v>
      </c>
      <c r="G291" t="inlineStr">
        <is>
          <t>Locale</t>
        </is>
      </c>
      <c r="H291" s="24" t="n">
        <v>582.025</v>
      </c>
      <c r="I291" s="25" t="n">
        <v>1596218</v>
      </c>
      <c r="J291" s="25" t="n">
        <v>2742.52</v>
      </c>
    </row>
    <row r="292">
      <c r="A292" t="n">
        <v>2017</v>
      </c>
      <c r="B292" t="inlineStr">
        <is>
          <t>SSPT</t>
        </is>
      </c>
      <c r="C292" t="inlineStr">
        <is>
          <t>Phosphate</t>
        </is>
      </c>
      <c r="D292" t="inlineStr">
        <is>
          <t>Tonne</t>
        </is>
      </c>
      <c r="E292" s="3" t="n">
        <v>2028</v>
      </c>
      <c r="F292" s="3" t="n">
        <v>116217725</v>
      </c>
      <c r="G292" t="inlineStr">
        <is>
          <t>Locale</t>
        </is>
      </c>
      <c r="H292" s="24" t="n">
        <v>582.025</v>
      </c>
      <c r="I292" s="25" t="n">
        <v>116217725</v>
      </c>
      <c r="J292" s="25" t="n">
        <v>199678.24</v>
      </c>
    </row>
    <row r="293">
      <c r="A293" t="n">
        <v>2017</v>
      </c>
      <c r="B293" t="inlineStr">
        <is>
          <t>DANGOTE</t>
        </is>
      </c>
      <c r="C293" t="inlineStr">
        <is>
          <t>Ciment</t>
        </is>
      </c>
      <c r="D293" t="inlineStr">
        <is>
          <t>Tonne</t>
        </is>
      </c>
      <c r="E293" s="3" t="n">
        <v>10150</v>
      </c>
      <c r="F293" s="3" t="n">
        <v>372844000</v>
      </c>
      <c r="G293" t="inlineStr">
        <is>
          <t>Gambie</t>
        </is>
      </c>
      <c r="H293" s="24" t="n">
        <v>582.025</v>
      </c>
      <c r="I293" s="25" t="n">
        <v>372844000</v>
      </c>
      <c r="J293" s="25" t="n">
        <v>640597.91</v>
      </c>
    </row>
    <row r="294">
      <c r="A294" t="n">
        <v>2017</v>
      </c>
      <c r="B294" t="inlineStr">
        <is>
          <t>DANGOTE</t>
        </is>
      </c>
      <c r="C294" t="inlineStr">
        <is>
          <t>Ciment</t>
        </is>
      </c>
      <c r="D294" t="inlineStr">
        <is>
          <t>Tonne</t>
        </is>
      </c>
      <c r="E294" s="3" t="n">
        <v>28621</v>
      </c>
      <c r="F294" s="3" t="n">
        <v>1113587340</v>
      </c>
      <c r="G294" t="inlineStr">
        <is>
          <t>Guinée-Bissau</t>
        </is>
      </c>
      <c r="H294" s="24" t="n">
        <v>582.025</v>
      </c>
      <c r="I294" s="25" t="n">
        <v>1113587340</v>
      </c>
      <c r="J294" s="25" t="n">
        <v>1913298.12</v>
      </c>
    </row>
    <row r="295">
      <c r="A295" t="n">
        <v>2017</v>
      </c>
      <c r="B295" t="inlineStr">
        <is>
          <t>DANGOTE</t>
        </is>
      </c>
      <c r="C295" t="inlineStr">
        <is>
          <t>Ciment</t>
        </is>
      </c>
      <c r="D295" t="inlineStr">
        <is>
          <t>Tonne</t>
        </is>
      </c>
      <c r="E295" s="3" t="n">
        <v>198378</v>
      </c>
      <c r="F295" s="3" t="n">
        <v>7553187860</v>
      </c>
      <c r="G295" t="inlineStr">
        <is>
          <t>Mali</t>
        </is>
      </c>
      <c r="H295" s="24" t="n">
        <v>582.025</v>
      </c>
      <c r="I295" s="25" t="n">
        <v>7553187860</v>
      </c>
      <c r="J295" s="25" t="n">
        <v>12977428.56</v>
      </c>
    </row>
    <row r="296">
      <c r="A296" t="n">
        <v>2017</v>
      </c>
      <c r="B296" t="inlineStr">
        <is>
          <t>SOMIVA</t>
        </is>
      </c>
      <c r="C296" t="inlineStr">
        <is>
          <t>Phosphate</t>
        </is>
      </c>
      <c r="D296" t="inlineStr">
        <is>
          <t>Tonne</t>
        </is>
      </c>
      <c r="E296" s="3" t="n">
        <v>218157</v>
      </c>
      <c r="F296" s="3" t="n">
        <v>7571317818</v>
      </c>
      <c r="G296" t="inlineStr">
        <is>
          <t>Liban</t>
        </is>
      </c>
      <c r="H296" s="24" t="n">
        <v>582.025</v>
      </c>
      <c r="I296" s="25" t="n">
        <v>7571317818</v>
      </c>
      <c r="J296" s="25" t="n">
        <v>13008578.36</v>
      </c>
    </row>
    <row r="297">
      <c r="A297" t="n">
        <v>2017</v>
      </c>
      <c r="B297" t="inlineStr">
        <is>
          <t>SOMIVA</t>
        </is>
      </c>
      <c r="C297" t="inlineStr">
        <is>
          <t>Phosphate</t>
        </is>
      </c>
      <c r="D297" t="inlineStr">
        <is>
          <t>Tonne</t>
        </is>
      </c>
      <c r="E297" s="3" t="n">
        <v>30000</v>
      </c>
      <c r="F297" s="3" t="n">
        <v>765000000</v>
      </c>
      <c r="G297" t="inlineStr">
        <is>
          <t>Mali</t>
        </is>
      </c>
      <c r="H297" s="24" t="n">
        <v>582.025</v>
      </c>
      <c r="I297" s="25" t="n">
        <v>765000000</v>
      </c>
      <c r="J297" s="25" t="n">
        <v>1314376.53</v>
      </c>
    </row>
    <row r="298">
      <c r="A298" t="n">
        <v>2017</v>
      </c>
      <c r="B298" t="inlineStr">
        <is>
          <t>SOMIVA</t>
        </is>
      </c>
      <c r="C298" t="inlineStr">
        <is>
          <t>Phosphate</t>
        </is>
      </c>
      <c r="D298" t="inlineStr">
        <is>
          <t>Tonne</t>
        </is>
      </c>
      <c r="E298" s="3" t="n">
        <v>122354</v>
      </c>
      <c r="F298" s="3" t="n">
        <v>4459882614</v>
      </c>
      <c r="G298" t="inlineStr">
        <is>
          <t>Suisse</t>
        </is>
      </c>
      <c r="H298" s="24" t="n">
        <v>582.025</v>
      </c>
      <c r="I298" s="25" t="n">
        <v>4459882614</v>
      </c>
      <c r="J298" s="25" t="n">
        <v>7662699.39</v>
      </c>
    </row>
    <row r="299">
      <c r="A299" t="n">
        <v>2017</v>
      </c>
      <c r="B299" t="inlineStr">
        <is>
          <t>SOMIVA</t>
        </is>
      </c>
      <c r="C299" t="inlineStr">
        <is>
          <t>Phosphate</t>
        </is>
      </c>
      <c r="D299" t="inlineStr">
        <is>
          <t>Tonne</t>
        </is>
      </c>
      <c r="E299" s="3" t="n">
        <v>27521</v>
      </c>
      <c r="F299" s="3" t="n">
        <v>844938305</v>
      </c>
      <c r="G299" t="inlineStr">
        <is>
          <t>États-Unis</t>
        </is>
      </c>
      <c r="H299" s="24" t="n">
        <v>582.025</v>
      </c>
      <c r="I299" s="25" t="n">
        <v>844938305</v>
      </c>
      <c r="J299" s="25" t="n">
        <v>1451721.67</v>
      </c>
    </row>
    <row r="300">
      <c r="A300" t="n">
        <v>2017</v>
      </c>
      <c r="B300" t="inlineStr">
        <is>
          <t>SOMIVA</t>
        </is>
      </c>
      <c r="C300" t="inlineStr">
        <is>
          <t>Phosphate</t>
        </is>
      </c>
      <c r="D300" t="inlineStr">
        <is>
          <t>Tonne</t>
        </is>
      </c>
      <c r="E300" s="3" t="n">
        <v>50000</v>
      </c>
      <c r="F300" s="3" t="n">
        <v>1689259375</v>
      </c>
      <c r="G300" t="inlineStr">
        <is>
          <t>Sénégal</t>
        </is>
      </c>
      <c r="H300" s="24" t="n">
        <v>582.025</v>
      </c>
      <c r="I300" s="25" t="n">
        <v>1689259375</v>
      </c>
      <c r="J300" s="25" t="n">
        <v>2902382.84</v>
      </c>
    </row>
    <row r="301">
      <c r="A301" t="n">
        <v>2017</v>
      </c>
      <c r="B301" t="inlineStr">
        <is>
          <t>SEPHOS</t>
        </is>
      </c>
      <c r="C301" t="inlineStr">
        <is>
          <t>Phosphate</t>
        </is>
      </c>
      <c r="D301" t="inlineStr">
        <is>
          <t>Tonne</t>
        </is>
      </c>
      <c r="E301" s="3" t="n">
        <v>449</v>
      </c>
      <c r="F301" s="3" t="n">
        <v>29452469</v>
      </c>
      <c r="G301" t="inlineStr">
        <is>
          <t>Côte d'Ivoire</t>
        </is>
      </c>
      <c r="H301" s="24" t="n">
        <v>582.025</v>
      </c>
      <c r="I301" s="25" t="n">
        <v>29452469</v>
      </c>
      <c r="J301" s="25" t="n">
        <v>50603.44</v>
      </c>
    </row>
    <row r="302">
      <c r="A302" t="n">
        <v>2017</v>
      </c>
      <c r="B302" t="inlineStr">
        <is>
          <t>SEPHOS</t>
        </is>
      </c>
      <c r="C302" t="inlineStr">
        <is>
          <t>Phosphate</t>
        </is>
      </c>
      <c r="D302" t="inlineStr">
        <is>
          <t>Tonne</t>
        </is>
      </c>
      <c r="E302" s="3" t="n">
        <v>8983</v>
      </c>
      <c r="F302" s="3" t="n">
        <v>313383461</v>
      </c>
      <c r="G302" t="inlineStr">
        <is>
          <t>El Salvador</t>
        </is>
      </c>
      <c r="H302" s="24" t="n">
        <v>582.025</v>
      </c>
      <c r="I302" s="25" t="n">
        <v>313383461</v>
      </c>
      <c r="J302" s="25" t="n">
        <v>538436.4300000001</v>
      </c>
    </row>
    <row r="303">
      <c r="A303" t="n">
        <v>2017</v>
      </c>
      <c r="B303" t="inlineStr">
        <is>
          <t>SEPHOS</t>
        </is>
      </c>
      <c r="C303" t="inlineStr">
        <is>
          <t>Phosphate</t>
        </is>
      </c>
      <c r="D303" t="inlineStr">
        <is>
          <t>Tonne</t>
        </is>
      </c>
      <c r="E303" s="3" t="n">
        <v>42259</v>
      </c>
      <c r="F303" s="3" t="n">
        <v>1098094115</v>
      </c>
      <c r="G303" t="inlineStr">
        <is>
          <t>Espagne</t>
        </is>
      </c>
      <c r="H303" s="24" t="n">
        <v>582.025</v>
      </c>
      <c r="I303" s="25" t="n">
        <v>1098094115</v>
      </c>
      <c r="J303" s="25" t="n">
        <v>1886678.6</v>
      </c>
    </row>
    <row r="304">
      <c r="A304" t="n">
        <v>2017</v>
      </c>
      <c r="B304" t="inlineStr">
        <is>
          <t>SEPHOS</t>
        </is>
      </c>
      <c r="C304" t="inlineStr">
        <is>
          <t>Phosphate</t>
        </is>
      </c>
      <c r="D304" t="inlineStr">
        <is>
          <t>Tonne</t>
        </is>
      </c>
      <c r="E304" s="3" t="n">
        <v>200</v>
      </c>
      <c r="F304" s="3" t="n">
        <v>14404345</v>
      </c>
      <c r="G304" t="inlineStr">
        <is>
          <t>Ghana</t>
        </is>
      </c>
      <c r="H304" s="24" t="n">
        <v>582.025</v>
      </c>
      <c r="I304" s="25" t="n">
        <v>14404345</v>
      </c>
      <c r="J304" s="25" t="n">
        <v>24748.67</v>
      </c>
    </row>
    <row r="305">
      <c r="A305" t="n">
        <v>2017</v>
      </c>
      <c r="B305" t="inlineStr">
        <is>
          <t>SEPHOS</t>
        </is>
      </c>
      <c r="C305" t="inlineStr">
        <is>
          <t>Phosphate</t>
        </is>
      </c>
      <c r="D305" t="inlineStr">
        <is>
          <t>Tonne</t>
        </is>
      </c>
      <c r="E305" s="3" t="n">
        <v>28239</v>
      </c>
      <c r="F305" s="3" t="n">
        <v>966483618</v>
      </c>
      <c r="G305" t="inlineStr">
        <is>
          <t>Malaisie</t>
        </is>
      </c>
      <c r="H305" s="24" t="n">
        <v>582.025</v>
      </c>
      <c r="I305" s="25" t="n">
        <v>966483618</v>
      </c>
      <c r="J305" s="25" t="n">
        <v>1660553.44</v>
      </c>
    </row>
    <row r="306">
      <c r="A306" t="n">
        <v>2017</v>
      </c>
      <c r="B306" t="inlineStr">
        <is>
          <t>SEPHOS</t>
        </is>
      </c>
      <c r="C306" t="inlineStr">
        <is>
          <t>Phosphate</t>
        </is>
      </c>
      <c r="D306" t="inlineStr">
        <is>
          <t>Tonne</t>
        </is>
      </c>
      <c r="E306" s="3" t="n">
        <v>74664</v>
      </c>
      <c r="F306" s="3" t="n">
        <v>1964224280</v>
      </c>
      <c r="G306" t="inlineStr">
        <is>
          <t>Pologne</t>
        </is>
      </c>
      <c r="H306" s="24" t="n">
        <v>582.025</v>
      </c>
      <c r="I306" s="25" t="n">
        <v>1964224280</v>
      </c>
      <c r="J306" s="25" t="n">
        <v>3374810.84</v>
      </c>
    </row>
    <row r="307">
      <c r="A307" t="n">
        <v>2017</v>
      </c>
      <c r="B307" t="inlineStr">
        <is>
          <t>SEPHOS</t>
        </is>
      </c>
      <c r="C307" t="inlineStr">
        <is>
          <t>Phosphate</t>
        </is>
      </c>
      <c r="D307" t="inlineStr">
        <is>
          <t>Tonne</t>
        </is>
      </c>
      <c r="E307" s="3" t="n">
        <v>3665</v>
      </c>
      <c r="F307" s="3" t="n">
        <v>168640007</v>
      </c>
      <c r="G307" t="inlineStr">
        <is>
          <t>Locale</t>
        </is>
      </c>
      <c r="H307" s="24" t="n">
        <v>582.025</v>
      </c>
      <c r="I307" s="25" t="n">
        <v>168640007</v>
      </c>
      <c r="J307" s="25" t="n">
        <v>289747.02</v>
      </c>
    </row>
    <row r="308">
      <c r="A308" t="n">
        <v>2017</v>
      </c>
      <c r="B308" t="inlineStr">
        <is>
          <t>GECAMINES</t>
        </is>
      </c>
      <c r="C308" t="inlineStr">
        <is>
          <t>Basalte</t>
        </is>
      </c>
      <c r="D308" t="inlineStr">
        <is>
          <t>Tonne</t>
        </is>
      </c>
      <c r="E308" s="3" t="n">
        <v>102</v>
      </c>
      <c r="F308" s="3" t="n">
        <v>1029686</v>
      </c>
      <c r="G308" t="inlineStr">
        <is>
          <t>Gambie</t>
        </is>
      </c>
      <c r="H308" s="24" t="n">
        <v>582.025</v>
      </c>
      <c r="I308" s="25" t="n">
        <v>1029686</v>
      </c>
      <c r="J308" s="25" t="n">
        <v>1769.14</v>
      </c>
    </row>
    <row r="309">
      <c r="A309" t="n">
        <v>2018</v>
      </c>
      <c r="B309" t="inlineStr">
        <is>
          <t>SOCOCIM</t>
        </is>
      </c>
      <c r="C309" t="inlineStr">
        <is>
          <t>Ciment</t>
        </is>
      </c>
      <c r="D309" t="inlineStr">
        <is>
          <t>Tonne</t>
        </is>
      </c>
      <c r="E309" s="4" t="n">
        <v>0.2</v>
      </c>
      <c r="F309" s="3" t="n">
        <v>219796</v>
      </c>
      <c r="G309" t="inlineStr">
        <is>
          <t>Chine</t>
        </is>
      </c>
      <c r="H309" s="24" t="n">
        <v>555.581</v>
      </c>
      <c r="I309" s="25" t="n">
        <v>219796</v>
      </c>
      <c r="J309" s="25" t="n">
        <v>395.61</v>
      </c>
    </row>
    <row r="310">
      <c r="A310" t="n">
        <v>2018</v>
      </c>
      <c r="B310" t="inlineStr">
        <is>
          <t>SOCOCIM</t>
        </is>
      </c>
      <c r="C310" t="inlineStr">
        <is>
          <t>Ciment</t>
        </is>
      </c>
      <c r="D310" t="inlineStr">
        <is>
          <t>Tonne</t>
        </is>
      </c>
      <c r="E310" s="3" t="n">
        <v>40230</v>
      </c>
      <c r="F310" s="3" t="n">
        <v>1758366178</v>
      </c>
      <c r="G310" t="inlineStr">
        <is>
          <t>Gambie</t>
        </is>
      </c>
      <c r="H310" s="24" t="n">
        <v>555.581</v>
      </c>
      <c r="I310" s="25" t="n">
        <v>1758366178</v>
      </c>
      <c r="J310" s="25" t="n">
        <v>3164914.17</v>
      </c>
    </row>
    <row r="311">
      <c r="A311" t="n">
        <v>2018</v>
      </c>
      <c r="B311" t="inlineStr">
        <is>
          <t>SOCOCIM</t>
        </is>
      </c>
      <c r="C311" t="inlineStr">
        <is>
          <t>Ciment</t>
        </is>
      </c>
      <c r="D311" t="inlineStr">
        <is>
          <t>Tonne</t>
        </is>
      </c>
      <c r="E311" s="3" t="n">
        <v>1400</v>
      </c>
      <c r="F311" s="3" t="n">
        <v>56000000</v>
      </c>
      <c r="G311" t="inlineStr">
        <is>
          <t>Guinée</t>
        </is>
      </c>
      <c r="H311" s="24" t="n">
        <v>555.581</v>
      </c>
      <c r="I311" s="25" t="n">
        <v>56000000</v>
      </c>
      <c r="J311" s="25" t="n">
        <v>100795.38</v>
      </c>
    </row>
    <row r="312">
      <c r="A312" t="n">
        <v>2018</v>
      </c>
      <c r="B312" t="inlineStr">
        <is>
          <t>SOCOCIM</t>
        </is>
      </c>
      <c r="C312" t="inlineStr">
        <is>
          <t>Ciment</t>
        </is>
      </c>
      <c r="D312" t="inlineStr">
        <is>
          <t>Tonne</t>
        </is>
      </c>
      <c r="E312" s="3" t="n">
        <v>17275</v>
      </c>
      <c r="F312" s="3" t="n">
        <v>872264500</v>
      </c>
      <c r="G312" t="inlineStr">
        <is>
          <t>Guinée-Bissau</t>
        </is>
      </c>
      <c r="H312" s="24" t="n">
        <v>555.581</v>
      </c>
      <c r="I312" s="25" t="n">
        <v>872264500</v>
      </c>
      <c r="J312" s="25" t="n">
        <v>1570004.19</v>
      </c>
    </row>
    <row r="313">
      <c r="A313" t="n">
        <v>2018</v>
      </c>
      <c r="B313" t="inlineStr">
        <is>
          <t>SOCOCIM</t>
        </is>
      </c>
      <c r="C313" t="inlineStr">
        <is>
          <t>Ciment</t>
        </is>
      </c>
      <c r="D313" t="inlineStr">
        <is>
          <t>Tonne</t>
        </is>
      </c>
      <c r="E313" s="3" t="n">
        <v>384898</v>
      </c>
      <c r="F313" s="3" t="n">
        <v>16593971000</v>
      </c>
      <c r="G313" t="inlineStr">
        <is>
          <t>Mali</t>
        </is>
      </c>
      <c r="H313" s="24" t="n">
        <v>555.581</v>
      </c>
      <c r="I313" s="25" t="n">
        <v>16593971000</v>
      </c>
      <c r="J313" s="25" t="n">
        <v>29867779.86</v>
      </c>
    </row>
    <row r="314">
      <c r="A314" t="n">
        <v>2018</v>
      </c>
      <c r="B314" t="inlineStr">
        <is>
          <t>SOCOCIM</t>
        </is>
      </c>
      <c r="C314" t="inlineStr">
        <is>
          <t>Ciment</t>
        </is>
      </c>
      <c r="D314" t="inlineStr">
        <is>
          <t>Tonne</t>
        </is>
      </c>
      <c r="E314" s="3" t="n">
        <v>8375</v>
      </c>
      <c r="F314" s="3" t="n">
        <v>418540000</v>
      </c>
      <c r="G314" t="inlineStr">
        <is>
          <t>Mauritanie</t>
        </is>
      </c>
      <c r="H314" s="24" t="n">
        <v>555.581</v>
      </c>
      <c r="I314" s="25" t="n">
        <v>418540000</v>
      </c>
      <c r="J314" s="25" t="n">
        <v>753337.5</v>
      </c>
    </row>
    <row r="315">
      <c r="A315" t="n">
        <v>2018</v>
      </c>
      <c r="B315" t="inlineStr">
        <is>
          <t>SGO</t>
        </is>
      </c>
      <c r="C315" t="inlineStr">
        <is>
          <t>Or</t>
        </is>
      </c>
      <c r="D315" t="inlineStr">
        <is>
          <t>Tonne</t>
        </is>
      </c>
      <c r="E315" s="8" t="n">
        <v>7.66099442</v>
      </c>
      <c r="F315" s="3" t="n">
        <v>175925907803</v>
      </c>
      <c r="G315" t="inlineStr">
        <is>
          <t>Suisse</t>
        </is>
      </c>
      <c r="H315" s="24" t="n">
        <v>555.581</v>
      </c>
      <c r="I315" s="25" t="n">
        <v>175925907803</v>
      </c>
      <c r="J315" s="25" t="n">
        <v>316652131.38</v>
      </c>
    </row>
    <row r="316">
      <c r="A316" t="n">
        <v>2018</v>
      </c>
      <c r="B316" t="inlineStr">
        <is>
          <t>SGO</t>
        </is>
      </c>
      <c r="C316" t="inlineStr">
        <is>
          <t>Argent</t>
        </is>
      </c>
      <c r="D316" t="inlineStr">
        <is>
          <t>Tonne</t>
        </is>
      </c>
      <c r="E316" s="8" t="n">
        <v>0.64399966</v>
      </c>
      <c r="F316" s="3" t="n">
        <v>182474962</v>
      </c>
      <c r="G316" t="inlineStr">
        <is>
          <t>Suisse</t>
        </is>
      </c>
      <c r="H316" s="24" t="n">
        <v>555.581</v>
      </c>
      <c r="I316" s="25" t="n">
        <v>182474962</v>
      </c>
      <c r="J316" s="25" t="n">
        <v>328439.89</v>
      </c>
    </row>
    <row r="317">
      <c r="A317" t="n">
        <v>2018</v>
      </c>
      <c r="B317" t="inlineStr">
        <is>
          <t>CDS</t>
        </is>
      </c>
      <c r="C317" t="inlineStr">
        <is>
          <t>Ciment</t>
        </is>
      </c>
      <c r="D317" t="inlineStr">
        <is>
          <t>Tonne</t>
        </is>
      </c>
      <c r="E317" s="3" t="n">
        <v>1032942</v>
      </c>
      <c r="F317" s="3" t="n">
        <v>43280061300</v>
      </c>
      <c r="G317" t="inlineStr">
        <is>
          <t>Zone UEMOA</t>
        </is>
      </c>
      <c r="H317" s="24" t="n">
        <v>555.581</v>
      </c>
      <c r="I317" s="25" t="n">
        <v>43280061300</v>
      </c>
      <c r="J317" s="25" t="n">
        <v>77900542.5</v>
      </c>
    </row>
    <row r="318">
      <c r="A318" t="n">
        <v>2018</v>
      </c>
      <c r="B318" t="inlineStr">
        <is>
          <t>CDS</t>
        </is>
      </c>
      <c r="C318" t="inlineStr">
        <is>
          <t>Ciment</t>
        </is>
      </c>
      <c r="D318" t="inlineStr">
        <is>
          <t>Tonne</t>
        </is>
      </c>
      <c r="E318" s="3" t="n">
        <v>44737</v>
      </c>
      <c r="F318" s="3" t="n">
        <v>1695047000</v>
      </c>
      <c r="G318" t="inlineStr">
        <is>
          <t>Zone hors UEMOA</t>
        </is>
      </c>
      <c r="H318" s="24" t="n">
        <v>555.581</v>
      </c>
      <c r="I318" s="25" t="n">
        <v>1695047000</v>
      </c>
      <c r="J318" s="25" t="n">
        <v>3050944.87</v>
      </c>
    </row>
    <row r="319">
      <c r="A319" t="n">
        <v>2018</v>
      </c>
      <c r="B319" t="inlineStr">
        <is>
          <t>GCO</t>
        </is>
      </c>
      <c r="C319" t="inlineStr">
        <is>
          <t>Zircon</t>
        </is>
      </c>
      <c r="D319" t="inlineStr">
        <is>
          <t>Tonne</t>
        </is>
      </c>
      <c r="E319" s="3" t="n">
        <v>66</v>
      </c>
      <c r="F319" s="3" t="n">
        <v>56934363</v>
      </c>
      <c r="G319" t="inlineStr">
        <is>
          <t>Afrique du Sud</t>
        </is>
      </c>
      <c r="H319" s="24" t="n">
        <v>555.581</v>
      </c>
      <c r="I319" s="25" t="n">
        <v>56934363</v>
      </c>
      <c r="J319" s="25" t="n">
        <v>102477.16</v>
      </c>
    </row>
    <row r="320">
      <c r="A320" t="n">
        <v>2018</v>
      </c>
      <c r="B320" t="inlineStr">
        <is>
          <t>GCO</t>
        </is>
      </c>
      <c r="C320" t="inlineStr">
        <is>
          <t>Zircon</t>
        </is>
      </c>
      <c r="D320" t="inlineStr">
        <is>
          <t>Tonne</t>
        </is>
      </c>
      <c r="E320" s="3" t="n">
        <v>917</v>
      </c>
      <c r="F320" s="3" t="n">
        <v>680757689</v>
      </c>
      <c r="G320" t="inlineStr">
        <is>
          <t>Allemagne</t>
        </is>
      </c>
      <c r="H320" s="24" t="n">
        <v>555.581</v>
      </c>
      <c r="I320" s="25" t="n">
        <v>680757689</v>
      </c>
      <c r="J320" s="25" t="n">
        <v>1225307.72</v>
      </c>
    </row>
    <row r="321">
      <c r="A321" t="n">
        <v>2018</v>
      </c>
      <c r="B321" t="inlineStr">
        <is>
          <t>GCO</t>
        </is>
      </c>
      <c r="C321" t="inlineStr">
        <is>
          <t>Zircon</t>
        </is>
      </c>
      <c r="D321" t="inlineStr">
        <is>
          <t>Tonne</t>
        </is>
      </c>
      <c r="E321" s="3" t="n">
        <v>330</v>
      </c>
      <c r="F321" s="3" t="n">
        <v>294275346</v>
      </c>
      <c r="G321" t="inlineStr">
        <is>
          <t>Arabie Saoudite</t>
        </is>
      </c>
      <c r="H321" s="24" t="n">
        <v>555.581</v>
      </c>
      <c r="I321" s="25" t="n">
        <v>294275346</v>
      </c>
      <c r="J321" s="25" t="n">
        <v>529671.36</v>
      </c>
    </row>
    <row r="322">
      <c r="A322" t="n">
        <v>2018</v>
      </c>
      <c r="B322" t="inlineStr">
        <is>
          <t>GCO</t>
        </is>
      </c>
      <c r="C322" t="inlineStr">
        <is>
          <t>Zircon</t>
        </is>
      </c>
      <c r="D322" t="inlineStr">
        <is>
          <t>Tonne</t>
        </is>
      </c>
      <c r="E322" s="3" t="n">
        <v>782</v>
      </c>
      <c r="F322" s="3" t="n">
        <v>696754319</v>
      </c>
      <c r="G322" t="inlineStr">
        <is>
          <t>Australie</t>
        </is>
      </c>
      <c r="H322" s="24" t="n">
        <v>555.581</v>
      </c>
      <c r="I322" s="25" t="n">
        <v>696754319</v>
      </c>
      <c r="J322" s="25" t="n">
        <v>1254100.34</v>
      </c>
    </row>
    <row r="323">
      <c r="A323" t="n">
        <v>2018</v>
      </c>
      <c r="B323" t="inlineStr">
        <is>
          <t>GCO</t>
        </is>
      </c>
      <c r="C323" t="inlineStr">
        <is>
          <t>Zircon</t>
        </is>
      </c>
      <c r="D323" t="inlineStr">
        <is>
          <t>Tonne</t>
        </is>
      </c>
      <c r="E323" s="3" t="n">
        <v>2087</v>
      </c>
      <c r="F323" s="3" t="n">
        <v>1884260466</v>
      </c>
      <c r="G323" t="inlineStr">
        <is>
          <t>Belgique</t>
        </is>
      </c>
      <c r="H323" s="24" t="n">
        <v>555.581</v>
      </c>
      <c r="I323" s="25" t="n">
        <v>1884260466</v>
      </c>
      <c r="J323" s="25" t="n">
        <v>3391513.51</v>
      </c>
    </row>
    <row r="324">
      <c r="A324" t="n">
        <v>2018</v>
      </c>
      <c r="B324" t="inlineStr">
        <is>
          <t>GCO</t>
        </is>
      </c>
      <c r="C324" t="inlineStr">
        <is>
          <t>Zircon</t>
        </is>
      </c>
      <c r="D324" t="inlineStr">
        <is>
          <t>Tonne</t>
        </is>
      </c>
      <c r="E324" s="3" t="n">
        <v>1923</v>
      </c>
      <c r="F324" s="3" t="n">
        <v>1674472577</v>
      </c>
      <c r="G324" t="inlineStr">
        <is>
          <t>Brésil</t>
        </is>
      </c>
      <c r="H324" s="24" t="n">
        <v>555.581</v>
      </c>
      <c r="I324" s="25" t="n">
        <v>1674472577</v>
      </c>
      <c r="J324" s="25" t="n">
        <v>3013912.6</v>
      </c>
    </row>
    <row r="325">
      <c r="A325" t="n">
        <v>2018</v>
      </c>
      <c r="B325" t="inlineStr">
        <is>
          <t>GCO</t>
        </is>
      </c>
      <c r="C325" t="inlineStr">
        <is>
          <t>Zircon</t>
        </is>
      </c>
      <c r="D325" t="inlineStr">
        <is>
          <t>Tonne</t>
        </is>
      </c>
      <c r="E325" s="3" t="n">
        <v>5807</v>
      </c>
      <c r="F325" s="3" t="n">
        <v>1403897772</v>
      </c>
      <c r="G325" t="inlineStr">
        <is>
          <t>Chine</t>
        </is>
      </c>
      <c r="H325" s="24" t="n">
        <v>555.581</v>
      </c>
      <c r="I325" s="25" t="n">
        <v>1403897772</v>
      </c>
      <c r="J325" s="25" t="n">
        <v>2526900.26</v>
      </c>
    </row>
    <row r="326">
      <c r="A326" t="n">
        <v>2018</v>
      </c>
      <c r="B326" t="inlineStr">
        <is>
          <t>GCO</t>
        </is>
      </c>
      <c r="C326" t="inlineStr">
        <is>
          <t>Zircon</t>
        </is>
      </c>
      <c r="D326" t="inlineStr">
        <is>
          <t>Tonne</t>
        </is>
      </c>
      <c r="E326" s="3" t="n">
        <v>15120</v>
      </c>
      <c r="F326" s="3" t="n">
        <v>12571018659</v>
      </c>
      <c r="G326" t="inlineStr">
        <is>
          <t>Espagne</t>
        </is>
      </c>
      <c r="H326" s="24" t="n">
        <v>555.581</v>
      </c>
      <c r="I326" s="25" t="n">
        <v>12571018659</v>
      </c>
      <c r="J326" s="25" t="n">
        <v>22626797.28</v>
      </c>
    </row>
    <row r="327">
      <c r="A327" t="n">
        <v>2018</v>
      </c>
      <c r="B327" t="inlineStr">
        <is>
          <t>GCO</t>
        </is>
      </c>
      <c r="C327" t="inlineStr">
        <is>
          <t>Zircon</t>
        </is>
      </c>
      <c r="D327" t="inlineStr">
        <is>
          <t>Tonne</t>
        </is>
      </c>
      <c r="E327" s="3" t="n">
        <v>12006</v>
      </c>
      <c r="F327" s="3" t="n">
        <v>10653272761</v>
      </c>
      <c r="G327" t="inlineStr">
        <is>
          <t>États-Unis</t>
        </is>
      </c>
      <c r="H327" s="24" t="n">
        <v>555.581</v>
      </c>
      <c r="I327" s="25" t="n">
        <v>10653272761</v>
      </c>
      <c r="J327" s="25" t="n">
        <v>19175012.75</v>
      </c>
    </row>
    <row r="328">
      <c r="A328" t="n">
        <v>2018</v>
      </c>
      <c r="B328" t="inlineStr">
        <is>
          <t>GCO</t>
        </is>
      </c>
      <c r="C328" t="inlineStr">
        <is>
          <t>Zircon</t>
        </is>
      </c>
      <c r="D328" t="inlineStr">
        <is>
          <t>Tonne</t>
        </is>
      </c>
      <c r="E328" s="3" t="n">
        <v>2440</v>
      </c>
      <c r="F328" s="3" t="n">
        <v>2044949645</v>
      </c>
      <c r="G328" t="inlineStr">
        <is>
          <t>France</t>
        </is>
      </c>
      <c r="H328" s="24" t="n">
        <v>555.581</v>
      </c>
      <c r="I328" s="25" t="n">
        <v>2044949645</v>
      </c>
      <c r="J328" s="25" t="n">
        <v>3680740.78</v>
      </c>
    </row>
    <row r="329">
      <c r="A329" t="n">
        <v>2018</v>
      </c>
      <c r="B329" t="inlineStr">
        <is>
          <t>GCO</t>
        </is>
      </c>
      <c r="C329" t="inlineStr">
        <is>
          <t>Zircon</t>
        </is>
      </c>
      <c r="D329" t="inlineStr">
        <is>
          <t>Tonne</t>
        </is>
      </c>
      <c r="E329" s="3" t="n">
        <v>2282</v>
      </c>
      <c r="F329" s="3" t="n">
        <v>1713117284</v>
      </c>
      <c r="G329" t="inlineStr">
        <is>
          <t>Inde</t>
        </is>
      </c>
      <c r="H329" s="24" t="n">
        <v>555.581</v>
      </c>
      <c r="I329" s="25" t="n">
        <v>1713117284</v>
      </c>
      <c r="J329" s="25" t="n">
        <v>3083469.89</v>
      </c>
    </row>
    <row r="330">
      <c r="A330" t="n">
        <v>2018</v>
      </c>
      <c r="B330" t="inlineStr">
        <is>
          <t>GCO</t>
        </is>
      </c>
      <c r="C330" t="inlineStr">
        <is>
          <t>Zircon</t>
        </is>
      </c>
      <c r="D330" t="inlineStr">
        <is>
          <t>Tonne</t>
        </is>
      </c>
      <c r="E330" s="3" t="n">
        <v>228</v>
      </c>
      <c r="F330" s="3" t="n">
        <v>158804838</v>
      </c>
      <c r="G330" t="inlineStr">
        <is>
          <t>Indonésie</t>
        </is>
      </c>
      <c r="H330" s="24" t="n">
        <v>555.581</v>
      </c>
      <c r="I330" s="25" t="n">
        <v>158804838</v>
      </c>
      <c r="J330" s="25" t="n">
        <v>285835.62</v>
      </c>
    </row>
    <row r="331">
      <c r="A331" t="n">
        <v>2018</v>
      </c>
      <c r="B331" t="inlineStr">
        <is>
          <t>GCO</t>
        </is>
      </c>
      <c r="C331" t="inlineStr">
        <is>
          <t>Zircon</t>
        </is>
      </c>
      <c r="D331" t="inlineStr">
        <is>
          <t>Tonne</t>
        </is>
      </c>
      <c r="E331" s="3" t="n">
        <v>2314</v>
      </c>
      <c r="F331" s="3" t="n">
        <v>1902066088</v>
      </c>
      <c r="G331" t="inlineStr">
        <is>
          <t>Italie</t>
        </is>
      </c>
      <c r="H331" s="24" t="n">
        <v>555.581</v>
      </c>
      <c r="I331" s="25" t="n">
        <v>1902066088</v>
      </c>
      <c r="J331" s="25" t="n">
        <v>3423562.16</v>
      </c>
    </row>
    <row r="332">
      <c r="A332" t="n">
        <v>2018</v>
      </c>
      <c r="B332" t="inlineStr">
        <is>
          <t>GCO</t>
        </is>
      </c>
      <c r="C332" t="inlineStr">
        <is>
          <t>Zircon</t>
        </is>
      </c>
      <c r="D332" t="inlineStr">
        <is>
          <t>Tonne</t>
        </is>
      </c>
      <c r="E332" s="3" t="n">
        <v>1330</v>
      </c>
      <c r="F332" s="3" t="n">
        <v>1254746802</v>
      </c>
      <c r="G332" t="inlineStr">
        <is>
          <t>Japon</t>
        </is>
      </c>
      <c r="H332" s="24" t="n">
        <v>555.581</v>
      </c>
      <c r="I332" s="25" t="n">
        <v>1254746802</v>
      </c>
      <c r="J332" s="25" t="n">
        <v>2258440.81</v>
      </c>
    </row>
    <row r="333">
      <c r="A333" t="n">
        <v>2018</v>
      </c>
      <c r="B333" t="inlineStr">
        <is>
          <t>GCO</t>
        </is>
      </c>
      <c r="C333" t="inlineStr">
        <is>
          <t>Zircon</t>
        </is>
      </c>
      <c r="D333" t="inlineStr">
        <is>
          <t>Tonne</t>
        </is>
      </c>
      <c r="E333" s="3" t="n">
        <v>22</v>
      </c>
      <c r="F333" s="3" t="n">
        <v>20975568</v>
      </c>
      <c r="G333" t="inlineStr">
        <is>
          <t>Malaisie</t>
        </is>
      </c>
      <c r="H333" s="24" t="n">
        <v>555.581</v>
      </c>
      <c r="I333" s="25" t="n">
        <v>20975568</v>
      </c>
      <c r="J333" s="25" t="n">
        <v>37754.29</v>
      </c>
    </row>
    <row r="334">
      <c r="A334" t="n">
        <v>2018</v>
      </c>
      <c r="B334" t="inlineStr">
        <is>
          <t>GCO</t>
        </is>
      </c>
      <c r="C334" t="inlineStr">
        <is>
          <t>Zircon</t>
        </is>
      </c>
      <c r="D334" t="inlineStr">
        <is>
          <t>Tonne</t>
        </is>
      </c>
      <c r="E334" s="3" t="n">
        <v>424</v>
      </c>
      <c r="F334" s="3" t="n">
        <v>336816943</v>
      </c>
      <c r="G334" t="inlineStr">
        <is>
          <t>Mexique</t>
        </is>
      </c>
      <c r="H334" s="24" t="n">
        <v>555.581</v>
      </c>
      <c r="I334" s="25" t="n">
        <v>336816943</v>
      </c>
      <c r="J334" s="25" t="n">
        <v>606242.73</v>
      </c>
    </row>
    <row r="335">
      <c r="A335" t="n">
        <v>2018</v>
      </c>
      <c r="B335" t="inlineStr">
        <is>
          <t>GCO</t>
        </is>
      </c>
      <c r="C335" t="inlineStr">
        <is>
          <t>Zircon</t>
        </is>
      </c>
      <c r="D335" t="inlineStr">
        <is>
          <t>Tonne</t>
        </is>
      </c>
      <c r="E335" s="3" t="n">
        <v>974</v>
      </c>
      <c r="F335" s="3" t="n">
        <v>882675076</v>
      </c>
      <c r="G335" t="inlineStr">
        <is>
          <t>Monténégro</t>
        </is>
      </c>
      <c r="H335" s="24" t="n">
        <v>555.581</v>
      </c>
      <c r="I335" s="25" t="n">
        <v>882675076</v>
      </c>
      <c r="J335" s="25" t="n">
        <v>1588742.37</v>
      </c>
    </row>
    <row r="336">
      <c r="A336" t="n">
        <v>2018</v>
      </c>
      <c r="B336" t="inlineStr">
        <is>
          <t>GCO</t>
        </is>
      </c>
      <c r="C336" t="inlineStr">
        <is>
          <t>Zircon</t>
        </is>
      </c>
      <c r="D336" t="inlineStr">
        <is>
          <t>Tonne</t>
        </is>
      </c>
      <c r="E336" s="3" t="n">
        <v>1437</v>
      </c>
      <c r="F336" s="3" t="n">
        <v>1084855459</v>
      </c>
      <c r="G336" t="inlineStr">
        <is>
          <t>Niger</t>
        </is>
      </c>
      <c r="H336" s="24" t="n">
        <v>555.581</v>
      </c>
      <c r="I336" s="25" t="n">
        <v>1084855459</v>
      </c>
      <c r="J336" s="25" t="n">
        <v>1952650.39</v>
      </c>
    </row>
    <row r="337">
      <c r="A337" t="n">
        <v>2018</v>
      </c>
      <c r="B337" t="inlineStr">
        <is>
          <t>GCO</t>
        </is>
      </c>
      <c r="C337" t="inlineStr">
        <is>
          <t>Zircon</t>
        </is>
      </c>
      <c r="D337" t="inlineStr">
        <is>
          <t>Tonne</t>
        </is>
      </c>
      <c r="E337" s="3" t="n">
        <v>413</v>
      </c>
      <c r="F337" s="3" t="n">
        <v>369332271</v>
      </c>
      <c r="G337" t="inlineStr">
        <is>
          <t>Pays-Bas</t>
        </is>
      </c>
      <c r="H337" s="24" t="n">
        <v>555.581</v>
      </c>
      <c r="I337" s="25" t="n">
        <v>369332271</v>
      </c>
      <c r="J337" s="25" t="n">
        <v>664767.64</v>
      </c>
    </row>
    <row r="338">
      <c r="A338" t="n">
        <v>2018</v>
      </c>
      <c r="B338" t="inlineStr">
        <is>
          <t>GCO</t>
        </is>
      </c>
      <c r="C338" t="inlineStr">
        <is>
          <t>Zircon</t>
        </is>
      </c>
      <c r="D338" t="inlineStr">
        <is>
          <t>Tonne</t>
        </is>
      </c>
      <c r="E338" s="3" t="n">
        <v>485</v>
      </c>
      <c r="F338" s="3" t="n">
        <v>433765456</v>
      </c>
      <c r="G338" t="inlineStr">
        <is>
          <t>Pologne</t>
        </is>
      </c>
      <c r="H338" s="24" t="n">
        <v>555.581</v>
      </c>
      <c r="I338" s="25" t="n">
        <v>433765456</v>
      </c>
      <c r="J338" s="25" t="n">
        <v>780742.0600000001</v>
      </c>
    </row>
    <row r="339">
      <c r="A339" t="n">
        <v>2018</v>
      </c>
      <c r="B339" t="inlineStr">
        <is>
          <t>GCO</t>
        </is>
      </c>
      <c r="C339" t="inlineStr">
        <is>
          <t>Zircon</t>
        </is>
      </c>
      <c r="D339" t="inlineStr">
        <is>
          <t>Tonne</t>
        </is>
      </c>
      <c r="E339" s="3" t="n">
        <v>198</v>
      </c>
      <c r="F339" s="3" t="n">
        <v>179156895</v>
      </c>
      <c r="G339" t="inlineStr">
        <is>
          <t>Royaume-Uni</t>
        </is>
      </c>
      <c r="H339" s="24" t="n">
        <v>555.581</v>
      </c>
      <c r="I339" s="25" t="n">
        <v>179156895</v>
      </c>
      <c r="J339" s="25" t="n">
        <v>322467.64</v>
      </c>
    </row>
    <row r="340">
      <c r="A340" t="n">
        <v>2018</v>
      </c>
      <c r="B340" t="inlineStr">
        <is>
          <t>GCO</t>
        </is>
      </c>
      <c r="C340" t="inlineStr">
        <is>
          <t>Zircon</t>
        </is>
      </c>
      <c r="D340" t="inlineStr">
        <is>
          <t>Tonne</t>
        </is>
      </c>
      <c r="E340" s="3" t="n">
        <v>148</v>
      </c>
      <c r="F340" s="3" t="n">
        <v>92378460</v>
      </c>
      <c r="G340" t="inlineStr">
        <is>
          <t>Sénégal</t>
        </is>
      </c>
      <c r="H340" s="24" t="n">
        <v>555.581</v>
      </c>
      <c r="I340" s="25" t="n">
        <v>92378460</v>
      </c>
      <c r="J340" s="25" t="n">
        <v>166273.61</v>
      </c>
    </row>
    <row r="341">
      <c r="A341" t="n">
        <v>2018</v>
      </c>
      <c r="B341" t="inlineStr">
        <is>
          <t>GCO</t>
        </is>
      </c>
      <c r="C341" t="inlineStr">
        <is>
          <t>Zircon</t>
        </is>
      </c>
      <c r="D341" t="inlineStr">
        <is>
          <t>Tonne</t>
        </is>
      </c>
      <c r="E341" s="3" t="n">
        <v>16032</v>
      </c>
      <c r="F341" s="3" t="n">
        <v>5935666203</v>
      </c>
      <c r="G341" t="inlineStr">
        <is>
          <t>Suisse</t>
        </is>
      </c>
      <c r="H341" s="24" t="n">
        <v>555.581</v>
      </c>
      <c r="I341" s="25" t="n">
        <v>5935666203</v>
      </c>
      <c r="J341" s="25" t="n">
        <v>10683709.85</v>
      </c>
    </row>
    <row r="342">
      <c r="A342" t="n">
        <v>2018</v>
      </c>
      <c r="B342" t="inlineStr">
        <is>
          <t>GCO</t>
        </is>
      </c>
      <c r="C342" t="inlineStr">
        <is>
          <t>Zircon</t>
        </is>
      </c>
      <c r="D342" t="inlineStr">
        <is>
          <t>Tonne</t>
        </is>
      </c>
      <c r="E342" s="3" t="n">
        <v>80</v>
      </c>
      <c r="F342" s="3" t="n">
        <v>23450700</v>
      </c>
      <c r="G342" t="inlineStr">
        <is>
          <t>Ukraine</t>
        </is>
      </c>
      <c r="H342" s="24" t="n">
        <v>555.581</v>
      </c>
      <c r="I342" s="25" t="n">
        <v>23450700</v>
      </c>
      <c r="J342" s="25" t="n">
        <v>42209.33</v>
      </c>
    </row>
    <row r="343">
      <c r="A343" t="n">
        <v>2018</v>
      </c>
      <c r="B343" t="inlineStr">
        <is>
          <t>GCO</t>
        </is>
      </c>
      <c r="C343" t="inlineStr">
        <is>
          <t>Zircon</t>
        </is>
      </c>
      <c r="D343" t="inlineStr">
        <is>
          <t>Tonne</t>
        </is>
      </c>
      <c r="E343" s="3" t="n">
        <v>27503</v>
      </c>
      <c r="F343" s="3" t="n">
        <v>16890111287</v>
      </c>
      <c r="G343" t="inlineStr">
        <is>
          <t>NC</t>
        </is>
      </c>
      <c r="H343" s="24" t="n">
        <v>555.581</v>
      </c>
      <c r="I343" s="25" t="n">
        <v>16890111287</v>
      </c>
      <c r="J343" s="25" t="n">
        <v>30400807.96</v>
      </c>
    </row>
    <row r="344">
      <c r="A344" t="n">
        <v>2018</v>
      </c>
      <c r="B344" t="inlineStr">
        <is>
          <t>GCO</t>
        </is>
      </c>
      <c r="C344" t="inlineStr">
        <is>
          <t>Titane</t>
        </is>
      </c>
      <c r="D344" t="inlineStr">
        <is>
          <t>Tonne</t>
        </is>
      </c>
      <c r="E344" s="3" t="n">
        <v>60</v>
      </c>
      <c r="F344" s="3" t="n">
        <v>55099971</v>
      </c>
      <c r="G344" t="inlineStr">
        <is>
          <t>Afrique du Sud</t>
        </is>
      </c>
      <c r="H344" s="24" t="n">
        <v>555.581</v>
      </c>
      <c r="I344" s="25" t="n">
        <v>55099971</v>
      </c>
      <c r="J344" s="25" t="n">
        <v>99175.41</v>
      </c>
    </row>
    <row r="345">
      <c r="A345" t="n">
        <v>2018</v>
      </c>
      <c r="B345" t="inlineStr">
        <is>
          <t>GCO</t>
        </is>
      </c>
      <c r="C345" t="inlineStr">
        <is>
          <t>Titane</t>
        </is>
      </c>
      <c r="D345" t="inlineStr">
        <is>
          <t>Tonne</t>
        </is>
      </c>
      <c r="E345" s="3" t="n">
        <v>260</v>
      </c>
      <c r="F345" s="3" t="n">
        <v>96713240</v>
      </c>
      <c r="G345" t="inlineStr">
        <is>
          <t>Arabie Saoudite</t>
        </is>
      </c>
      <c r="H345" s="24" t="n">
        <v>555.581</v>
      </c>
      <c r="I345" s="25" t="n">
        <v>96713240</v>
      </c>
      <c r="J345" s="25" t="n">
        <v>174075.86</v>
      </c>
    </row>
    <row r="346">
      <c r="A346" t="n">
        <v>2018</v>
      </c>
      <c r="B346" t="inlineStr">
        <is>
          <t>GCO</t>
        </is>
      </c>
      <c r="C346" t="inlineStr">
        <is>
          <t>Titane</t>
        </is>
      </c>
      <c r="D346" t="inlineStr">
        <is>
          <t>Tonne</t>
        </is>
      </c>
      <c r="E346" s="3" t="n">
        <v>34430</v>
      </c>
      <c r="F346" s="3" t="n">
        <v>2993403096</v>
      </c>
      <c r="G346" t="inlineStr">
        <is>
          <t>Belgique</t>
        </is>
      </c>
      <c r="H346" s="24" t="n">
        <v>555.581</v>
      </c>
      <c r="I346" s="25" t="n">
        <v>2993403096</v>
      </c>
      <c r="J346" s="25" t="n">
        <v>5387878.81</v>
      </c>
    </row>
    <row r="347">
      <c r="A347" t="n">
        <v>2018</v>
      </c>
      <c r="B347" t="inlineStr">
        <is>
          <t>GCO</t>
        </is>
      </c>
      <c r="C347" t="inlineStr">
        <is>
          <t>Titane</t>
        </is>
      </c>
      <c r="D347" t="inlineStr">
        <is>
          <t>Tonne</t>
        </is>
      </c>
      <c r="E347" s="3" t="n">
        <v>680</v>
      </c>
      <c r="F347" s="3" t="n">
        <v>195556332</v>
      </c>
      <c r="G347" t="inlineStr">
        <is>
          <t>Chine</t>
        </is>
      </c>
      <c r="H347" s="24" t="n">
        <v>555.581</v>
      </c>
      <c r="I347" s="25" t="n">
        <v>195556332</v>
      </c>
      <c r="J347" s="25" t="n">
        <v>351985.28</v>
      </c>
    </row>
    <row r="348">
      <c r="A348" t="n">
        <v>2018</v>
      </c>
      <c r="B348" t="inlineStr">
        <is>
          <t>GCO</t>
        </is>
      </c>
      <c r="C348" t="inlineStr">
        <is>
          <t>Titane</t>
        </is>
      </c>
      <c r="D348" t="inlineStr">
        <is>
          <t>Tonne</t>
        </is>
      </c>
      <c r="E348" s="3" t="n">
        <v>200</v>
      </c>
      <c r="F348" s="3" t="n">
        <v>65972042</v>
      </c>
      <c r="G348" t="inlineStr">
        <is>
          <t>Colombie</t>
        </is>
      </c>
      <c r="H348" s="24" t="n">
        <v>555.581</v>
      </c>
      <c r="I348" s="25" t="n">
        <v>65972042</v>
      </c>
      <c r="J348" s="25" t="n">
        <v>118744.24</v>
      </c>
    </row>
    <row r="349">
      <c r="A349" t="n">
        <v>2018</v>
      </c>
      <c r="B349" t="inlineStr">
        <is>
          <t>GCO</t>
        </is>
      </c>
      <c r="C349" t="inlineStr">
        <is>
          <t>Titane</t>
        </is>
      </c>
      <c r="D349" t="inlineStr">
        <is>
          <t>Tonne</t>
        </is>
      </c>
      <c r="E349" s="3" t="n">
        <v>1200</v>
      </c>
      <c r="F349" s="3" t="n">
        <v>490504228</v>
      </c>
      <c r="G349" t="inlineStr">
        <is>
          <t>Corée du Sud</t>
        </is>
      </c>
      <c r="H349" s="24" t="n">
        <v>555.581</v>
      </c>
      <c r="I349" s="25" t="n">
        <v>490504228</v>
      </c>
      <c r="J349" s="25" t="n">
        <v>882867.1800000001</v>
      </c>
    </row>
    <row r="350">
      <c r="A350" t="n">
        <v>2018</v>
      </c>
      <c r="B350" t="inlineStr">
        <is>
          <t>GCO</t>
        </is>
      </c>
      <c r="C350" t="inlineStr">
        <is>
          <t>Titane</t>
        </is>
      </c>
      <c r="D350" t="inlineStr">
        <is>
          <t>Tonne</t>
        </is>
      </c>
      <c r="E350" s="3" t="n">
        <v>850</v>
      </c>
      <c r="F350" s="3" t="n">
        <v>463134669</v>
      </c>
      <c r="G350" t="inlineStr">
        <is>
          <t>Costa Rica</t>
        </is>
      </c>
      <c r="H350" s="24" t="n">
        <v>555.581</v>
      </c>
      <c r="I350" s="25" t="n">
        <v>463134669</v>
      </c>
      <c r="J350" s="25" t="n">
        <v>833604.23</v>
      </c>
    </row>
    <row r="351">
      <c r="A351" t="n">
        <v>2018</v>
      </c>
      <c r="B351" t="inlineStr">
        <is>
          <t>GCO</t>
        </is>
      </c>
      <c r="C351" t="inlineStr">
        <is>
          <t>Titane</t>
        </is>
      </c>
      <c r="D351" t="inlineStr">
        <is>
          <t>Tonne</t>
        </is>
      </c>
      <c r="E351" s="3" t="n">
        <v>100</v>
      </c>
      <c r="F351" s="3" t="n">
        <v>30660937</v>
      </c>
      <c r="G351" t="inlineStr">
        <is>
          <t>Émirats Arabes Unis</t>
        </is>
      </c>
      <c r="H351" s="24" t="n">
        <v>555.581</v>
      </c>
      <c r="I351" s="25" t="n">
        <v>30660937</v>
      </c>
      <c r="J351" s="25" t="n">
        <v>55187.16</v>
      </c>
    </row>
    <row r="352">
      <c r="A352" t="n">
        <v>2018</v>
      </c>
      <c r="B352" t="inlineStr">
        <is>
          <t>GCO</t>
        </is>
      </c>
      <c r="C352" t="inlineStr">
        <is>
          <t>Titane</t>
        </is>
      </c>
      <c r="D352" t="inlineStr">
        <is>
          <t>Tonne</t>
        </is>
      </c>
      <c r="E352" s="3" t="n">
        <v>320</v>
      </c>
      <c r="F352" s="3" t="n">
        <v>176401772</v>
      </c>
      <c r="G352" t="inlineStr">
        <is>
          <t>Espagne</t>
        </is>
      </c>
      <c r="H352" s="24" t="n">
        <v>555.581</v>
      </c>
      <c r="I352" s="25" t="n">
        <v>176401772</v>
      </c>
      <c r="J352" s="25" t="n">
        <v>317508.65</v>
      </c>
    </row>
    <row r="353">
      <c r="A353" t="n">
        <v>2018</v>
      </c>
      <c r="B353" t="inlineStr">
        <is>
          <t>GCO</t>
        </is>
      </c>
      <c r="C353" t="inlineStr">
        <is>
          <t>Titane</t>
        </is>
      </c>
      <c r="D353" t="inlineStr">
        <is>
          <t>Tonne</t>
        </is>
      </c>
      <c r="E353" s="3" t="n">
        <v>51025</v>
      </c>
      <c r="F353" s="3" t="n">
        <v>4911807072</v>
      </c>
      <c r="G353" t="inlineStr">
        <is>
          <t>États-Unis</t>
        </is>
      </c>
      <c r="H353" s="24" t="n">
        <v>555.581</v>
      </c>
      <c r="I353" s="25" t="n">
        <v>4911807072</v>
      </c>
      <c r="J353" s="25" t="n">
        <v>8840847.82</v>
      </c>
    </row>
    <row r="354">
      <c r="A354" t="n">
        <v>2018</v>
      </c>
      <c r="B354" t="inlineStr">
        <is>
          <t>GCO</t>
        </is>
      </c>
      <c r="C354" t="inlineStr">
        <is>
          <t>Titane</t>
        </is>
      </c>
      <c r="D354" t="inlineStr">
        <is>
          <t>Tonne</t>
        </is>
      </c>
      <c r="E354" s="3" t="n">
        <v>100</v>
      </c>
      <c r="F354" s="3" t="n">
        <v>51333429</v>
      </c>
      <c r="G354" t="inlineStr">
        <is>
          <t>France</t>
        </is>
      </c>
      <c r="H354" s="24" t="n">
        <v>555.581</v>
      </c>
      <c r="I354" s="25" t="n">
        <v>51333429</v>
      </c>
      <c r="J354" s="25" t="n">
        <v>92395.94</v>
      </c>
    </row>
    <row r="355">
      <c r="A355" t="n">
        <v>2018</v>
      </c>
      <c r="B355" t="inlineStr">
        <is>
          <t>GCO</t>
        </is>
      </c>
      <c r="C355" t="inlineStr">
        <is>
          <t>Titane</t>
        </is>
      </c>
      <c r="D355" t="inlineStr">
        <is>
          <t>Tonne</t>
        </is>
      </c>
      <c r="E355" s="3" t="n">
        <v>20</v>
      </c>
      <c r="F355" s="3" t="n">
        <v>6961308</v>
      </c>
      <c r="G355" t="inlineStr">
        <is>
          <t>Îles Vierges des États-Unis</t>
        </is>
      </c>
      <c r="H355" s="24" t="n">
        <v>555.581</v>
      </c>
      <c r="I355" s="25" t="n">
        <v>6961308</v>
      </c>
      <c r="J355" s="25" t="n">
        <v>12529.78</v>
      </c>
    </row>
    <row r="356">
      <c r="A356" t="n">
        <v>2018</v>
      </c>
      <c r="B356" t="inlineStr">
        <is>
          <t>GCO</t>
        </is>
      </c>
      <c r="C356" t="inlineStr">
        <is>
          <t>Titane</t>
        </is>
      </c>
      <c r="D356" t="inlineStr">
        <is>
          <t>Tonne</t>
        </is>
      </c>
      <c r="E356" s="3" t="n">
        <v>920</v>
      </c>
      <c r="F356" s="3" t="n">
        <v>287139432</v>
      </c>
      <c r="G356" t="inlineStr">
        <is>
          <t>Inde</t>
        </is>
      </c>
      <c r="H356" s="24" t="n">
        <v>555.581</v>
      </c>
      <c r="I356" s="25" t="n">
        <v>287139432</v>
      </c>
      <c r="J356" s="25" t="n">
        <v>516827.31</v>
      </c>
    </row>
    <row r="357">
      <c r="A357" t="n">
        <v>2018</v>
      </c>
      <c r="B357" t="inlineStr">
        <is>
          <t>GCO</t>
        </is>
      </c>
      <c r="C357" t="inlineStr">
        <is>
          <t>Titane</t>
        </is>
      </c>
      <c r="D357" t="inlineStr">
        <is>
          <t>Tonne</t>
        </is>
      </c>
      <c r="E357" s="3" t="n">
        <v>100</v>
      </c>
      <c r="F357" s="3" t="n">
        <v>38519617</v>
      </c>
      <c r="G357" t="inlineStr">
        <is>
          <t>Japon</t>
        </is>
      </c>
      <c r="H357" s="24" t="n">
        <v>555.581</v>
      </c>
      <c r="I357" s="25" t="n">
        <v>38519617</v>
      </c>
      <c r="J357" s="25" t="n">
        <v>69332.14</v>
      </c>
    </row>
    <row r="358">
      <c r="A358" t="n">
        <v>2018</v>
      </c>
      <c r="B358" t="inlineStr">
        <is>
          <t>GCO</t>
        </is>
      </c>
      <c r="C358" t="inlineStr">
        <is>
          <t>Titane</t>
        </is>
      </c>
      <c r="D358" t="inlineStr">
        <is>
          <t>Tonne</t>
        </is>
      </c>
      <c r="E358" s="3" t="n">
        <v>80</v>
      </c>
      <c r="F358" s="3" t="n">
        <v>27235292</v>
      </c>
      <c r="G358" t="inlineStr">
        <is>
          <t>Malaisie</t>
        </is>
      </c>
      <c r="H358" s="24" t="n">
        <v>555.581</v>
      </c>
      <c r="I358" s="25" t="n">
        <v>27235292</v>
      </c>
      <c r="J358" s="25" t="n">
        <v>49021.28</v>
      </c>
    </row>
    <row r="359">
      <c r="A359" t="n">
        <v>2018</v>
      </c>
      <c r="B359" t="inlineStr">
        <is>
          <t>GCO</t>
        </is>
      </c>
      <c r="C359" t="inlineStr">
        <is>
          <t>Titane</t>
        </is>
      </c>
      <c r="D359" t="inlineStr">
        <is>
          <t>Tonne</t>
        </is>
      </c>
      <c r="E359" s="3" t="n">
        <v>80</v>
      </c>
      <c r="F359" s="3" t="n">
        <v>24542876</v>
      </c>
      <c r="G359" t="inlineStr">
        <is>
          <t>Mali</t>
        </is>
      </c>
      <c r="H359" s="24" t="n">
        <v>555.581</v>
      </c>
      <c r="I359" s="25" t="n">
        <v>24542876</v>
      </c>
      <c r="J359" s="25" t="n">
        <v>44175.15</v>
      </c>
    </row>
    <row r="360">
      <c r="A360" t="n">
        <v>2018</v>
      </c>
      <c r="B360" t="inlineStr">
        <is>
          <t>GCO</t>
        </is>
      </c>
      <c r="C360" t="inlineStr">
        <is>
          <t>Titane</t>
        </is>
      </c>
      <c r="D360" t="inlineStr">
        <is>
          <t>Tonne</t>
        </is>
      </c>
      <c r="E360" s="3" t="n">
        <v>80</v>
      </c>
      <c r="F360" s="3" t="n">
        <v>27423788</v>
      </c>
      <c r="G360" t="inlineStr">
        <is>
          <t>Maroc</t>
        </is>
      </c>
      <c r="H360" s="24" t="n">
        <v>555.581</v>
      </c>
      <c r="I360" s="25" t="n">
        <v>27423788</v>
      </c>
      <c r="J360" s="25" t="n">
        <v>49360.56</v>
      </c>
    </row>
    <row r="361">
      <c r="A361" t="n">
        <v>2018</v>
      </c>
      <c r="B361" t="inlineStr">
        <is>
          <t>GCO</t>
        </is>
      </c>
      <c r="C361" t="inlineStr">
        <is>
          <t>Titane</t>
        </is>
      </c>
      <c r="D361" t="inlineStr">
        <is>
          <t>Tonne</t>
        </is>
      </c>
      <c r="E361" s="3" t="n">
        <v>23450</v>
      </c>
      <c r="F361" s="3" t="n">
        <v>2106198674</v>
      </c>
      <c r="G361" t="inlineStr">
        <is>
          <t>Mexique</t>
        </is>
      </c>
      <c r="H361" s="24" t="n">
        <v>555.581</v>
      </c>
      <c r="I361" s="25" t="n">
        <v>2106198674</v>
      </c>
      <c r="J361" s="25" t="n">
        <v>3790983.99</v>
      </c>
    </row>
    <row r="362">
      <c r="A362" t="n">
        <v>2018</v>
      </c>
      <c r="B362" t="inlineStr">
        <is>
          <t>GCO</t>
        </is>
      </c>
      <c r="C362" t="inlineStr">
        <is>
          <t>Titane</t>
        </is>
      </c>
      <c r="D362" t="inlineStr">
        <is>
          <t>Tonne</t>
        </is>
      </c>
      <c r="E362" s="3" t="n">
        <v>21246</v>
      </c>
      <c r="F362" s="3" t="n">
        <v>3596707644</v>
      </c>
      <c r="G362" t="inlineStr">
        <is>
          <t>Monténégro</t>
        </is>
      </c>
      <c r="H362" s="24" t="n">
        <v>555.581</v>
      </c>
      <c r="I362" s="25" t="n">
        <v>3596707644</v>
      </c>
      <c r="J362" s="25" t="n">
        <v>6473777.26</v>
      </c>
    </row>
    <row r="363">
      <c r="A363" t="n">
        <v>2018</v>
      </c>
      <c r="B363" t="inlineStr">
        <is>
          <t>GCO</t>
        </is>
      </c>
      <c r="C363" t="inlineStr">
        <is>
          <t>Titane</t>
        </is>
      </c>
      <c r="D363" t="inlineStr">
        <is>
          <t>Tonne</t>
        </is>
      </c>
      <c r="E363" s="3" t="n">
        <v>49591</v>
      </c>
      <c r="F363" s="3" t="n">
        <v>4131716029</v>
      </c>
      <c r="G363" t="inlineStr">
        <is>
          <t>Nauru</t>
        </is>
      </c>
      <c r="H363" s="24" t="n">
        <v>555.581</v>
      </c>
      <c r="I363" s="25" t="n">
        <v>4131716029</v>
      </c>
      <c r="J363" s="25" t="n">
        <v>7436748.25</v>
      </c>
    </row>
    <row r="364">
      <c r="A364" t="n">
        <v>2018</v>
      </c>
      <c r="B364" t="inlineStr">
        <is>
          <t>GCO</t>
        </is>
      </c>
      <c r="C364" t="inlineStr">
        <is>
          <t>Titane</t>
        </is>
      </c>
      <c r="D364" t="inlineStr">
        <is>
          <t>Tonne</t>
        </is>
      </c>
      <c r="E364" s="3" t="n">
        <v>71116</v>
      </c>
      <c r="F364" s="3" t="n">
        <v>6200263027</v>
      </c>
      <c r="G364" t="inlineStr">
        <is>
          <t>Niger</t>
        </is>
      </c>
      <c r="H364" s="24" t="n">
        <v>555.581</v>
      </c>
      <c r="I364" s="25" t="n">
        <v>6200263027</v>
      </c>
      <c r="J364" s="25" t="n">
        <v>11159962.32</v>
      </c>
    </row>
    <row r="365">
      <c r="A365" t="n">
        <v>2018</v>
      </c>
      <c r="B365" t="inlineStr">
        <is>
          <t>GCO</t>
        </is>
      </c>
      <c r="C365" t="inlineStr">
        <is>
          <t>Titane</t>
        </is>
      </c>
      <c r="D365" t="inlineStr">
        <is>
          <t>Tonne</t>
        </is>
      </c>
      <c r="E365" s="3" t="n">
        <v>30025</v>
      </c>
      <c r="F365" s="3" t="n">
        <v>2380790300</v>
      </c>
      <c r="G365" t="inlineStr">
        <is>
          <t>Norvège</t>
        </is>
      </c>
      <c r="H365" s="24" t="n">
        <v>555.581</v>
      </c>
      <c r="I365" s="25" t="n">
        <v>2380790300</v>
      </c>
      <c r="J365" s="25" t="n">
        <v>4285226.28</v>
      </c>
    </row>
    <row r="366">
      <c r="A366" t="n">
        <v>2018</v>
      </c>
      <c r="B366" t="inlineStr">
        <is>
          <t>GCO</t>
        </is>
      </c>
      <c r="C366" t="inlineStr">
        <is>
          <t>Titane</t>
        </is>
      </c>
      <c r="D366" t="inlineStr">
        <is>
          <t>Tonne</t>
        </is>
      </c>
      <c r="E366" s="3" t="n">
        <v>40</v>
      </c>
      <c r="F366" s="3" t="n">
        <v>13321224</v>
      </c>
      <c r="G366" t="inlineStr">
        <is>
          <t>Pays-Bas</t>
        </is>
      </c>
      <c r="H366" s="24" t="n">
        <v>555.581</v>
      </c>
      <c r="I366" s="25" t="n">
        <v>13321224</v>
      </c>
      <c r="J366" s="25" t="n">
        <v>23977.11</v>
      </c>
    </row>
    <row r="367">
      <c r="A367" t="n">
        <v>2018</v>
      </c>
      <c r="B367" t="inlineStr">
        <is>
          <t>GCO</t>
        </is>
      </c>
      <c r="C367" t="inlineStr">
        <is>
          <t>Titane</t>
        </is>
      </c>
      <c r="D367" t="inlineStr">
        <is>
          <t>Tonne</t>
        </is>
      </c>
      <c r="E367" s="3" t="n">
        <v>360</v>
      </c>
      <c r="F367" s="3" t="n">
        <v>119547245</v>
      </c>
      <c r="G367" t="inlineStr">
        <is>
          <t>Pologne</t>
        </is>
      </c>
      <c r="H367" s="24" t="n">
        <v>555.581</v>
      </c>
      <c r="I367" s="25" t="n">
        <v>119547245</v>
      </c>
      <c r="J367" s="25" t="n">
        <v>215175.19</v>
      </c>
    </row>
    <row r="368">
      <c r="A368" t="n">
        <v>2018</v>
      </c>
      <c r="B368" t="inlineStr">
        <is>
          <t>GCO</t>
        </is>
      </c>
      <c r="C368" t="inlineStr">
        <is>
          <t>Titane</t>
        </is>
      </c>
      <c r="D368" t="inlineStr">
        <is>
          <t>Tonne</t>
        </is>
      </c>
      <c r="E368" s="3" t="n">
        <v>80</v>
      </c>
      <c r="F368" s="3" t="n">
        <v>21144800</v>
      </c>
      <c r="G368" t="inlineStr">
        <is>
          <t>Sénégal</t>
        </is>
      </c>
      <c r="H368" s="24" t="n">
        <v>555.581</v>
      </c>
      <c r="I368" s="25" t="n">
        <v>21144800</v>
      </c>
      <c r="J368" s="25" t="n">
        <v>38058.9</v>
      </c>
    </row>
    <row r="369">
      <c r="A369" t="n">
        <v>2018</v>
      </c>
      <c r="B369" t="inlineStr">
        <is>
          <t>GCO</t>
        </is>
      </c>
      <c r="C369" t="inlineStr">
        <is>
          <t>Titane</t>
        </is>
      </c>
      <c r="D369" t="inlineStr">
        <is>
          <t>Tonne</t>
        </is>
      </c>
      <c r="E369" s="3" t="n">
        <v>17185</v>
      </c>
      <c r="F369" s="3" t="n">
        <v>1403119889</v>
      </c>
      <c r="G369" t="inlineStr">
        <is>
          <t>Suède</t>
        </is>
      </c>
      <c r="H369" s="24" t="n">
        <v>555.581</v>
      </c>
      <c r="I369" s="25" t="n">
        <v>1403119889</v>
      </c>
      <c r="J369" s="25" t="n">
        <v>2525500.13</v>
      </c>
    </row>
    <row r="370">
      <c r="A370" t="n">
        <v>2018</v>
      </c>
      <c r="B370" t="inlineStr">
        <is>
          <t>GCO</t>
        </is>
      </c>
      <c r="C370" t="inlineStr">
        <is>
          <t>Titane</t>
        </is>
      </c>
      <c r="D370" t="inlineStr">
        <is>
          <t>Tonne</t>
        </is>
      </c>
      <c r="E370" s="3" t="n">
        <v>35100</v>
      </c>
      <c r="F370" s="3" t="n">
        <v>4087569807</v>
      </c>
      <c r="G370" t="inlineStr">
        <is>
          <t>Suisse</t>
        </is>
      </c>
      <c r="H370" s="24" t="n">
        <v>555.581</v>
      </c>
      <c r="I370" s="25" t="n">
        <v>4087569807</v>
      </c>
      <c r="J370" s="25" t="n">
        <v>7357288.69</v>
      </c>
    </row>
    <row r="371">
      <c r="A371" t="n">
        <v>2018</v>
      </c>
      <c r="B371" t="inlineStr">
        <is>
          <t>GCO</t>
        </is>
      </c>
      <c r="C371" t="inlineStr">
        <is>
          <t>Titane</t>
        </is>
      </c>
      <c r="D371" t="inlineStr">
        <is>
          <t>Tonne</t>
        </is>
      </c>
      <c r="E371" s="3" t="n">
        <v>15457</v>
      </c>
      <c r="F371" s="3" t="n">
        <v>1352089579</v>
      </c>
      <c r="G371" t="inlineStr">
        <is>
          <t>Ukraine</t>
        </is>
      </c>
      <c r="H371" s="24" t="n">
        <v>555.581</v>
      </c>
      <c r="I371" s="25" t="n">
        <v>1352089579</v>
      </c>
      <c r="J371" s="25" t="n">
        <v>2433649.78</v>
      </c>
    </row>
    <row r="372">
      <c r="A372" t="n">
        <v>2018</v>
      </c>
      <c r="B372" t="inlineStr">
        <is>
          <t>GCO</t>
        </is>
      </c>
      <c r="C372" t="inlineStr">
        <is>
          <t>Titane</t>
        </is>
      </c>
      <c r="D372" t="inlineStr">
        <is>
          <t>Tonne</t>
        </is>
      </c>
      <c r="E372" s="3" t="n">
        <v>80524</v>
      </c>
      <c r="F372" s="3" t="n">
        <v>11524090241</v>
      </c>
      <c r="G372" t="inlineStr">
        <is>
          <t>NC</t>
        </is>
      </c>
      <c r="H372" s="24" t="n">
        <v>555.581</v>
      </c>
      <c r="I372" s="25" t="n">
        <v>11524090241</v>
      </c>
      <c r="J372" s="25" t="n">
        <v>20742412.43</v>
      </c>
    </row>
    <row r="373">
      <c r="A373" t="n">
        <v>2018</v>
      </c>
      <c r="B373" t="inlineStr">
        <is>
          <t>SSPT</t>
        </is>
      </c>
      <c r="C373" t="inlineStr">
        <is>
          <t>Attapulgite</t>
        </is>
      </c>
      <c r="D373" t="inlineStr">
        <is>
          <t>Tonne</t>
        </is>
      </c>
      <c r="E373" s="3" t="n">
        <v>171797</v>
      </c>
      <c r="F373" s="3" t="n">
        <v>6902248528</v>
      </c>
      <c r="G373" t="inlineStr">
        <is>
          <t>NC</t>
        </is>
      </c>
      <c r="H373" s="24" t="n">
        <v>555.581</v>
      </c>
      <c r="I373" s="25" t="n">
        <v>6902248528</v>
      </c>
      <c r="J373" s="25" t="n">
        <v>12423478.36</v>
      </c>
    </row>
    <row r="374">
      <c r="A374" t="n">
        <v>2018</v>
      </c>
      <c r="B374" t="inlineStr">
        <is>
          <t>ICS</t>
        </is>
      </c>
      <c r="C374" t="inlineStr">
        <is>
          <t>Acide Phosphorique</t>
        </is>
      </c>
      <c r="D374" t="inlineStr">
        <is>
          <t>Tonne</t>
        </is>
      </c>
      <c r="E374" s="4" t="n">
        <v>0.149</v>
      </c>
      <c r="F374" s="3" t="n">
        <v>1163864</v>
      </c>
      <c r="G374" t="inlineStr">
        <is>
          <t>Chine</t>
        </is>
      </c>
      <c r="H374" s="24" t="n">
        <v>555.581</v>
      </c>
      <c r="I374" s="25" t="n">
        <v>1163864</v>
      </c>
      <c r="J374" s="25" t="n">
        <v>2094.86</v>
      </c>
    </row>
    <row r="375">
      <c r="A375" t="n">
        <v>2018</v>
      </c>
      <c r="B375" t="inlineStr">
        <is>
          <t>ICS</t>
        </is>
      </c>
      <c r="C375" t="inlineStr">
        <is>
          <t>Acide Phosphorique</t>
        </is>
      </c>
      <c r="D375" t="inlineStr">
        <is>
          <t>Tonne</t>
        </is>
      </c>
      <c r="E375" s="3" t="n">
        <v>16277</v>
      </c>
      <c r="F375" s="3" t="n">
        <v>5389117668</v>
      </c>
      <c r="G375" t="inlineStr">
        <is>
          <t>Émirats Arabes Unis</t>
        </is>
      </c>
      <c r="H375" s="24" t="n">
        <v>555.581</v>
      </c>
      <c r="I375" s="25" t="n">
        <v>5389117668</v>
      </c>
      <c r="J375" s="25" t="n">
        <v>9699967.539999999</v>
      </c>
    </row>
    <row r="376">
      <c r="A376" t="n">
        <v>2018</v>
      </c>
      <c r="B376" t="inlineStr">
        <is>
          <t>ICS</t>
        </is>
      </c>
      <c r="C376" t="inlineStr">
        <is>
          <t>Acide Phosphorique</t>
        </is>
      </c>
      <c r="D376" t="inlineStr">
        <is>
          <t>Tonne</t>
        </is>
      </c>
      <c r="E376" s="3" t="n">
        <v>420503</v>
      </c>
      <c r="F376" s="3" t="n">
        <v>151839215168</v>
      </c>
      <c r="G376" t="inlineStr">
        <is>
          <t>Inde</t>
        </is>
      </c>
      <c r="H376" s="24" t="n">
        <v>555.581</v>
      </c>
      <c r="I376" s="25" t="n">
        <v>151839215168</v>
      </c>
      <c r="J376" s="25" t="n">
        <v>273298070.25</v>
      </c>
    </row>
    <row r="377">
      <c r="A377" t="n">
        <v>2018</v>
      </c>
      <c r="B377" t="inlineStr">
        <is>
          <t>ICS</t>
        </is>
      </c>
      <c r="C377" t="inlineStr">
        <is>
          <t>Engrais</t>
        </is>
      </c>
      <c r="D377" t="inlineStr">
        <is>
          <t>Tonne</t>
        </is>
      </c>
      <c r="E377" s="3" t="n">
        <v>3982</v>
      </c>
      <c r="F377" s="3" t="n">
        <v>719627675</v>
      </c>
      <c r="G377" t="inlineStr">
        <is>
          <t>Côte d'Ivoire</t>
        </is>
      </c>
      <c r="H377" s="24" t="n">
        <v>555.581</v>
      </c>
      <c r="I377" s="25" t="n">
        <v>719627675</v>
      </c>
      <c r="J377" s="25" t="n">
        <v>1295270.49</v>
      </c>
    </row>
    <row r="378">
      <c r="A378" t="n">
        <v>2018</v>
      </c>
      <c r="B378" t="inlineStr">
        <is>
          <t>ICS</t>
        </is>
      </c>
      <c r="C378" t="inlineStr">
        <is>
          <t>Engrais</t>
        </is>
      </c>
      <c r="D378" t="inlineStr">
        <is>
          <t>Tonne</t>
        </is>
      </c>
      <c r="E378" s="3" t="n">
        <v>27511</v>
      </c>
      <c r="F378" s="3" t="n">
        <v>5407648938</v>
      </c>
      <c r="G378" t="inlineStr">
        <is>
          <t>États-Unis</t>
        </is>
      </c>
      <c r="H378" s="24" t="n">
        <v>555.581</v>
      </c>
      <c r="I378" s="25" t="n">
        <v>5407648938</v>
      </c>
      <c r="J378" s="25" t="n">
        <v>9733322.300000001</v>
      </c>
    </row>
    <row r="379">
      <c r="A379" t="n">
        <v>2018</v>
      </c>
      <c r="B379" t="inlineStr">
        <is>
          <t>ICS</t>
        </is>
      </c>
      <c r="C379" t="inlineStr">
        <is>
          <t>Engrais</t>
        </is>
      </c>
      <c r="D379" t="inlineStr">
        <is>
          <t>Tonne</t>
        </is>
      </c>
      <c r="E379" s="3" t="n">
        <v>43</v>
      </c>
      <c r="F379" s="3" t="n">
        <v>9787500</v>
      </c>
      <c r="G379" t="inlineStr">
        <is>
          <t>Guinée-Bissau</t>
        </is>
      </c>
      <c r="H379" s="24" t="n">
        <v>555.581</v>
      </c>
      <c r="I379" s="25" t="n">
        <v>9787500</v>
      </c>
      <c r="J379" s="25" t="n">
        <v>17616.69</v>
      </c>
    </row>
    <row r="380">
      <c r="A380" t="n">
        <v>2018</v>
      </c>
      <c r="B380" t="inlineStr">
        <is>
          <t>ICS</t>
        </is>
      </c>
      <c r="C380" t="inlineStr">
        <is>
          <t>Engrais</t>
        </is>
      </c>
      <c r="D380" t="inlineStr">
        <is>
          <t>Tonne</t>
        </is>
      </c>
      <c r="E380" s="3" t="n">
        <v>7006</v>
      </c>
      <c r="F380" s="3" t="n">
        <v>1353841686</v>
      </c>
      <c r="G380" t="inlineStr">
        <is>
          <t>Italie</t>
        </is>
      </c>
      <c r="H380" s="24" t="n">
        <v>555.581</v>
      </c>
      <c r="I380" s="25" t="n">
        <v>1353841686</v>
      </c>
      <c r="J380" s="25" t="n">
        <v>2436803.43</v>
      </c>
    </row>
    <row r="381">
      <c r="A381" t="n">
        <v>2018</v>
      </c>
      <c r="B381" t="inlineStr">
        <is>
          <t>ICS</t>
        </is>
      </c>
      <c r="C381" t="inlineStr">
        <is>
          <t>Engrais</t>
        </is>
      </c>
      <c r="D381" t="inlineStr">
        <is>
          <t>Tonne</t>
        </is>
      </c>
      <c r="E381" s="3" t="n">
        <v>20000</v>
      </c>
      <c r="F381" s="3" t="n">
        <v>4570000000</v>
      </c>
      <c r="G381" t="inlineStr">
        <is>
          <t>Mali</t>
        </is>
      </c>
      <c r="H381" s="24" t="n">
        <v>555.581</v>
      </c>
      <c r="I381" s="25" t="n">
        <v>4570000000</v>
      </c>
      <c r="J381" s="25" t="n">
        <v>8225623.27</v>
      </c>
    </row>
    <row r="382">
      <c r="A382" t="n">
        <v>2018</v>
      </c>
      <c r="B382" t="inlineStr">
        <is>
          <t>ICS</t>
        </is>
      </c>
      <c r="C382" t="inlineStr">
        <is>
          <t>Engrais</t>
        </is>
      </c>
      <c r="D382" t="inlineStr">
        <is>
          <t>Tonne</t>
        </is>
      </c>
      <c r="E382" s="3" t="n">
        <v>20165</v>
      </c>
      <c r="F382" s="3" t="n">
        <v>4647790680</v>
      </c>
      <c r="G382" t="inlineStr">
        <is>
          <t>Singapour</t>
        </is>
      </c>
      <c r="H382" s="24" t="n">
        <v>555.581</v>
      </c>
      <c r="I382" s="25" t="n">
        <v>4647790680</v>
      </c>
      <c r="J382" s="25" t="n">
        <v>8365640.08</v>
      </c>
    </row>
    <row r="383">
      <c r="A383" t="n">
        <v>2018</v>
      </c>
      <c r="B383" t="inlineStr">
        <is>
          <t>ICS</t>
        </is>
      </c>
      <c r="C383" t="inlineStr">
        <is>
          <t>Engrais</t>
        </is>
      </c>
      <c r="D383" t="inlineStr">
        <is>
          <t>Tonne</t>
        </is>
      </c>
      <c r="E383" s="3" t="n">
        <v>11002</v>
      </c>
      <c r="F383" s="3" t="n">
        <v>2593899556</v>
      </c>
      <c r="G383" t="inlineStr">
        <is>
          <t>Inde</t>
        </is>
      </c>
      <c r="H383" s="24" t="n">
        <v>555.581</v>
      </c>
      <c r="I383" s="25" t="n">
        <v>2593899556</v>
      </c>
      <c r="J383" s="25" t="n">
        <v>4668805.37</v>
      </c>
    </row>
    <row r="384">
      <c r="A384" t="n">
        <v>2018</v>
      </c>
      <c r="B384" t="inlineStr">
        <is>
          <t>DANGOTE</t>
        </is>
      </c>
      <c r="C384" t="inlineStr">
        <is>
          <t>Ciment</t>
        </is>
      </c>
      <c r="D384" t="inlineStr">
        <is>
          <t>Tonne</t>
        </is>
      </c>
      <c r="E384" s="3" t="n">
        <v>13353</v>
      </c>
      <c r="F384" s="3" t="n">
        <v>492030500</v>
      </c>
      <c r="G384" t="inlineStr">
        <is>
          <t>Gambie</t>
        </is>
      </c>
      <c r="H384" s="24" t="n">
        <v>555.581</v>
      </c>
      <c r="I384" s="25" t="n">
        <v>492030500</v>
      </c>
      <c r="J384" s="25" t="n">
        <v>885614.34</v>
      </c>
    </row>
    <row r="385">
      <c r="A385" t="n">
        <v>2018</v>
      </c>
      <c r="B385" t="inlineStr">
        <is>
          <t>DANGOTE</t>
        </is>
      </c>
      <c r="C385" t="inlineStr">
        <is>
          <t>Ciment</t>
        </is>
      </c>
      <c r="D385" t="inlineStr">
        <is>
          <t>Tonne</t>
        </is>
      </c>
      <c r="E385" s="3" t="n">
        <v>21342</v>
      </c>
      <c r="F385" s="3" t="n">
        <v>848774040</v>
      </c>
      <c r="G385" t="inlineStr">
        <is>
          <t>Guinée-Bissau</t>
        </is>
      </c>
      <c r="H385" s="24" t="n">
        <v>555.581</v>
      </c>
      <c r="I385" s="25" t="n">
        <v>848774040</v>
      </c>
      <c r="J385" s="25" t="n">
        <v>1527723.3</v>
      </c>
    </row>
    <row r="386">
      <c r="A386" t="n">
        <v>2018</v>
      </c>
      <c r="B386" t="inlineStr">
        <is>
          <t>DANGOTE</t>
        </is>
      </c>
      <c r="C386" t="inlineStr">
        <is>
          <t>Ciment</t>
        </is>
      </c>
      <c r="D386" t="inlineStr">
        <is>
          <t>Tonne</t>
        </is>
      </c>
      <c r="E386" s="3" t="n">
        <v>451175</v>
      </c>
      <c r="F386" s="3" t="n">
        <v>17177955000</v>
      </c>
      <c r="G386" t="inlineStr">
        <is>
          <t>Mali</t>
        </is>
      </c>
      <c r="H386" s="24" t="n">
        <v>555.581</v>
      </c>
      <c r="I386" s="25" t="n">
        <v>17177955000</v>
      </c>
      <c r="J386" s="25" t="n">
        <v>30918902.91</v>
      </c>
    </row>
    <row r="387">
      <c r="A387" t="n">
        <v>2018</v>
      </c>
      <c r="B387" t="inlineStr">
        <is>
          <t>DANGOTE</t>
        </is>
      </c>
      <c r="C387" t="inlineStr">
        <is>
          <t>Ciment</t>
        </is>
      </c>
      <c r="D387" t="inlineStr">
        <is>
          <t>Tonne</t>
        </is>
      </c>
      <c r="E387" s="3" t="n">
        <v>2000</v>
      </c>
      <c r="F387" s="3" t="n">
        <v>91547662</v>
      </c>
      <c r="G387" t="inlineStr">
        <is>
          <t>Cap-Vert</t>
        </is>
      </c>
      <c r="H387" s="24" t="n">
        <v>555.581</v>
      </c>
      <c r="I387" s="25" t="n">
        <v>91547662</v>
      </c>
      <c r="J387" s="25" t="n">
        <v>164778.24</v>
      </c>
    </row>
    <row r="388">
      <c r="A388" t="n">
        <v>2018</v>
      </c>
      <c r="B388" t="inlineStr">
        <is>
          <t>DANGOTE</t>
        </is>
      </c>
      <c r="C388" t="inlineStr">
        <is>
          <t>Ciment</t>
        </is>
      </c>
      <c r="D388" t="inlineStr">
        <is>
          <t>Tonne</t>
        </is>
      </c>
      <c r="E388" s="3" t="n">
        <v>9511</v>
      </c>
      <c r="F388" s="3" t="n">
        <v>373407240</v>
      </c>
      <c r="G388" t="inlineStr">
        <is>
          <t>Royaume-Uni</t>
        </is>
      </c>
      <c r="H388" s="24" t="n">
        <v>555.581</v>
      </c>
      <c r="I388" s="25" t="n">
        <v>373407240</v>
      </c>
      <c r="J388" s="25" t="n">
        <v>672102.25</v>
      </c>
    </row>
    <row r="389">
      <c r="A389" t="n">
        <v>2018</v>
      </c>
      <c r="B389" t="inlineStr">
        <is>
          <t>SOMIVA</t>
        </is>
      </c>
      <c r="C389" t="inlineStr">
        <is>
          <t>Phosphate</t>
        </is>
      </c>
      <c r="D389" t="inlineStr">
        <is>
          <t>Tonne</t>
        </is>
      </c>
      <c r="E389" s="3" t="n">
        <v>210334</v>
      </c>
      <c r="F389" s="3" t="n">
        <v>6797458472</v>
      </c>
      <c r="G389" t="inlineStr">
        <is>
          <t>Liban</t>
        </is>
      </c>
      <c r="H389" s="24" t="n">
        <v>555.581</v>
      </c>
      <c r="I389" s="25" t="n">
        <v>6797458472</v>
      </c>
      <c r="J389" s="25" t="n">
        <v>12234864.89</v>
      </c>
    </row>
    <row r="390">
      <c r="A390" t="n">
        <v>2018</v>
      </c>
      <c r="B390" t="inlineStr">
        <is>
          <t>SOMIVA</t>
        </is>
      </c>
      <c r="C390" t="inlineStr">
        <is>
          <t>Phosphate</t>
        </is>
      </c>
      <c r="D390" t="inlineStr">
        <is>
          <t>Tonne</t>
        </is>
      </c>
      <c r="E390" s="3" t="n">
        <v>78708</v>
      </c>
      <c r="F390" s="3" t="n">
        <v>2688419533</v>
      </c>
      <c r="G390" t="inlineStr">
        <is>
          <t>Suisse</t>
        </is>
      </c>
      <c r="H390" s="24" t="n">
        <v>555.581</v>
      </c>
      <c r="I390" s="25" t="n">
        <v>2688419533</v>
      </c>
      <c r="J390" s="25" t="n">
        <v>4838933.54</v>
      </c>
    </row>
    <row r="391">
      <c r="A391" t="n">
        <v>2018</v>
      </c>
      <c r="B391" t="inlineStr">
        <is>
          <t>SOMIVA</t>
        </is>
      </c>
      <c r="C391" t="inlineStr">
        <is>
          <t>Phosphate</t>
        </is>
      </c>
      <c r="D391" t="inlineStr">
        <is>
          <t>Tonne</t>
        </is>
      </c>
      <c r="E391" s="3" t="n">
        <v>87001</v>
      </c>
      <c r="F391" s="3" t="n">
        <v>2942479670</v>
      </c>
      <c r="G391" t="inlineStr">
        <is>
          <t>Swaziland</t>
        </is>
      </c>
      <c r="H391" s="24" t="n">
        <v>555.581</v>
      </c>
      <c r="I391" s="25" t="n">
        <v>2942479670</v>
      </c>
      <c r="J391" s="25" t="n">
        <v>5296220.84</v>
      </c>
    </row>
    <row r="392">
      <c r="A392" t="n">
        <v>2018</v>
      </c>
      <c r="B392" t="inlineStr">
        <is>
          <t>SEPHOS</t>
        </is>
      </c>
      <c r="C392" t="inlineStr">
        <is>
          <t>Phosphate</t>
        </is>
      </c>
      <c r="D392" t="inlineStr">
        <is>
          <t>Tonne</t>
        </is>
      </c>
      <c r="E392" s="3" t="n">
        <v>6549</v>
      </c>
      <c r="F392" s="3" t="n">
        <v>154925989</v>
      </c>
      <c r="G392" t="inlineStr">
        <is>
          <t>Espagne</t>
        </is>
      </c>
      <c r="H392" s="24" t="n">
        <v>555.581</v>
      </c>
      <c r="I392" s="25" t="n">
        <v>154925989</v>
      </c>
      <c r="J392" s="25" t="n">
        <v>278854.01</v>
      </c>
    </row>
    <row r="393">
      <c r="A393" t="n">
        <v>2018</v>
      </c>
      <c r="B393" t="inlineStr">
        <is>
          <t>SEPHOS</t>
        </is>
      </c>
      <c r="C393" t="inlineStr">
        <is>
          <t>Phosphate</t>
        </is>
      </c>
      <c r="D393" t="inlineStr">
        <is>
          <t>Tonne</t>
        </is>
      </c>
      <c r="E393" s="3" t="n">
        <v>26501</v>
      </c>
      <c r="F393" s="3" t="n">
        <v>689625680</v>
      </c>
      <c r="G393" t="inlineStr">
        <is>
          <t>Inde</t>
        </is>
      </c>
      <c r="H393" s="24" t="n">
        <v>555.581</v>
      </c>
      <c r="I393" s="25" t="n">
        <v>689625680</v>
      </c>
      <c r="J393" s="25" t="n">
        <v>1241269.37</v>
      </c>
    </row>
    <row r="394">
      <c r="A394" t="n">
        <v>2018</v>
      </c>
      <c r="B394" t="inlineStr">
        <is>
          <t>SEPHOS</t>
        </is>
      </c>
      <c r="C394" t="inlineStr">
        <is>
          <t>Phosphate</t>
        </is>
      </c>
      <c r="D394" t="inlineStr">
        <is>
          <t>Tonne</t>
        </is>
      </c>
      <c r="E394" s="3" t="n">
        <v>4001</v>
      </c>
      <c r="F394" s="3" t="n">
        <v>100796419</v>
      </c>
      <c r="G394" t="inlineStr">
        <is>
          <t>Italie</t>
        </is>
      </c>
      <c r="H394" s="24" t="n">
        <v>555.581</v>
      </c>
      <c r="I394" s="25" t="n">
        <v>100796419</v>
      </c>
      <c r="J394" s="25" t="n">
        <v>181425.24</v>
      </c>
    </row>
    <row r="395">
      <c r="A395" t="n">
        <v>2018</v>
      </c>
      <c r="B395" t="inlineStr">
        <is>
          <t>SEPHOS</t>
        </is>
      </c>
      <c r="C395" t="inlineStr">
        <is>
          <t>Phosphate</t>
        </is>
      </c>
      <c r="D395" t="inlineStr">
        <is>
          <t>Tonne</t>
        </is>
      </c>
      <c r="E395" s="3" t="n">
        <v>14995</v>
      </c>
      <c r="F395" s="3" t="n">
        <v>756206179</v>
      </c>
      <c r="G395" t="inlineStr">
        <is>
          <t>Malaisie</t>
        </is>
      </c>
      <c r="H395" s="24" t="n">
        <v>555.581</v>
      </c>
      <c r="I395" s="25" t="n">
        <v>756206179</v>
      </c>
      <c r="J395" s="25" t="n">
        <v>1361108.78</v>
      </c>
    </row>
    <row r="396">
      <c r="A396" t="n">
        <v>2018</v>
      </c>
      <c r="B396" t="inlineStr">
        <is>
          <t>SEPHOS</t>
        </is>
      </c>
      <c r="C396" t="inlineStr">
        <is>
          <t>Phosphate</t>
        </is>
      </c>
      <c r="D396" t="inlineStr">
        <is>
          <t>Tonne</t>
        </is>
      </c>
      <c r="E396" s="3" t="n">
        <v>4300</v>
      </c>
      <c r="F396" s="3" t="n">
        <v>253486732</v>
      </c>
      <c r="G396" t="inlineStr">
        <is>
          <t>Mali</t>
        </is>
      </c>
      <c r="H396" s="24" t="n">
        <v>555.581</v>
      </c>
      <c r="I396" s="25" t="n">
        <v>253486732</v>
      </c>
      <c r="J396" s="25" t="n">
        <v>456255.22</v>
      </c>
    </row>
    <row r="397">
      <c r="A397" t="n">
        <v>2018</v>
      </c>
      <c r="B397" t="inlineStr">
        <is>
          <t>SEPHOS</t>
        </is>
      </c>
      <c r="C397" t="inlineStr">
        <is>
          <t>Phosphate</t>
        </is>
      </c>
      <c r="D397" t="inlineStr">
        <is>
          <t>Tonne</t>
        </is>
      </c>
      <c r="E397" s="3" t="n">
        <v>135</v>
      </c>
      <c r="F397" s="3" t="n">
        <v>10578120</v>
      </c>
      <c r="G397" t="inlineStr">
        <is>
          <t>Nouvelle-Zélande</t>
        </is>
      </c>
      <c r="H397" s="24" t="n">
        <v>555.581</v>
      </c>
      <c r="I397" s="25" t="n">
        <v>10578120</v>
      </c>
      <c r="J397" s="25" t="n">
        <v>19039.74</v>
      </c>
    </row>
    <row r="398">
      <c r="A398" t="n">
        <v>2018</v>
      </c>
      <c r="B398" t="inlineStr">
        <is>
          <t>SEPHOS</t>
        </is>
      </c>
      <c r="C398" t="inlineStr">
        <is>
          <t>Phosphate</t>
        </is>
      </c>
      <c r="D398" t="inlineStr">
        <is>
          <t>Tonne</t>
        </is>
      </c>
      <c r="E398" s="3" t="n">
        <v>41096</v>
      </c>
      <c r="F398" s="3" t="n">
        <v>1080423078</v>
      </c>
      <c r="G398" t="inlineStr">
        <is>
          <t>Pologne</t>
        </is>
      </c>
      <c r="H398" s="24" t="n">
        <v>555.581</v>
      </c>
      <c r="I398" s="25" t="n">
        <v>1080423078</v>
      </c>
      <c r="J398" s="25" t="n">
        <v>1944672.47</v>
      </c>
    </row>
    <row r="399">
      <c r="A399" t="n">
        <v>2018</v>
      </c>
      <c r="B399" t="inlineStr">
        <is>
          <t>SEPHOS</t>
        </is>
      </c>
      <c r="C399" t="inlineStr">
        <is>
          <t>Phosphate</t>
        </is>
      </c>
      <c r="D399" t="inlineStr">
        <is>
          <t>Tonne</t>
        </is>
      </c>
      <c r="E399" s="3" t="n">
        <v>1350</v>
      </c>
      <c r="F399" s="3" t="n">
        <v>69192820</v>
      </c>
      <c r="G399" t="inlineStr">
        <is>
          <t>Singapour</t>
        </is>
      </c>
      <c r="H399" s="24" t="n">
        <v>555.581</v>
      </c>
      <c r="I399" s="25" t="n">
        <v>69192820</v>
      </c>
      <c r="J399" s="25" t="n">
        <v>124541.37</v>
      </c>
    </row>
    <row r="400">
      <c r="A400" t="n">
        <v>2018</v>
      </c>
      <c r="B400" t="inlineStr">
        <is>
          <t>GECAMINES</t>
        </is>
      </c>
      <c r="C400" t="inlineStr">
        <is>
          <t>Basalte</t>
        </is>
      </c>
      <c r="D400" t="inlineStr">
        <is>
          <t>Tonne</t>
        </is>
      </c>
      <c r="E400" s="3" t="n">
        <v>32034</v>
      </c>
      <c r="F400" s="3" t="n">
        <v>290436302</v>
      </c>
      <c r="G400" t="inlineStr">
        <is>
          <t>Gambie</t>
        </is>
      </c>
      <c r="H400" s="24" t="n">
        <v>555.581</v>
      </c>
      <c r="I400" s="25" t="n">
        <v>290436302</v>
      </c>
      <c r="J400" s="25" t="n">
        <v>522761.4</v>
      </c>
    </row>
    <row r="401">
      <c r="A401" t="n">
        <v>2018</v>
      </c>
      <c r="B401" t="inlineStr">
        <is>
          <t>PMC</t>
        </is>
      </c>
      <c r="C401" t="inlineStr">
        <is>
          <t>Or</t>
        </is>
      </c>
      <c r="D401" t="inlineStr">
        <is>
          <t>Tonne</t>
        </is>
      </c>
      <c r="E401" s="8" t="n">
        <v>4.45989643</v>
      </c>
      <c r="F401" s="3" t="n">
        <v>101780154907</v>
      </c>
      <c r="G401" t="inlineStr">
        <is>
          <t>Suisse</t>
        </is>
      </c>
      <c r="H401" s="24" t="n">
        <v>555.581</v>
      </c>
      <c r="I401" s="25" t="n">
        <v>101780154907</v>
      </c>
      <c r="J401" s="25" t="n">
        <v>183195888.46</v>
      </c>
    </row>
    <row r="402">
      <c r="A402" t="n">
        <v>2018</v>
      </c>
      <c r="B402" t="inlineStr">
        <is>
          <t>PMC</t>
        </is>
      </c>
      <c r="C402" t="inlineStr">
        <is>
          <t>Argent</t>
        </is>
      </c>
      <c r="D402" t="inlineStr">
        <is>
          <t>Tonne</t>
        </is>
      </c>
      <c r="E402" s="8" t="n">
        <v>0.28999327</v>
      </c>
      <c r="F402" s="3" t="n">
        <v>80632431</v>
      </c>
      <c r="G402" t="inlineStr">
        <is>
          <t>Suisse</t>
        </is>
      </c>
      <c r="H402" s="24" t="n">
        <v>555.581</v>
      </c>
      <c r="I402" s="25" t="n">
        <v>80632431</v>
      </c>
      <c r="J402" s="25" t="n">
        <v>145131.73</v>
      </c>
    </row>
    <row r="403">
      <c r="A403" t="n">
        <v>2019</v>
      </c>
      <c r="B403" t="inlineStr">
        <is>
          <t>COGECA</t>
        </is>
      </c>
      <c r="C403" t="inlineStr">
        <is>
          <t>Basalte</t>
        </is>
      </c>
      <c r="D403" t="inlineStr">
        <is>
          <t>Tonne</t>
        </is>
      </c>
      <c r="E403" s="6" t="n">
        <v>300</v>
      </c>
      <c r="F403" s="3" t="n">
        <v>2550000</v>
      </c>
      <c r="G403" t="inlineStr">
        <is>
          <t>Gambie</t>
        </is>
      </c>
      <c r="H403" s="24" t="n">
        <v>585.67</v>
      </c>
      <c r="I403" s="25" t="n">
        <v>2550000</v>
      </c>
      <c r="J403" s="25"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4" t="n">
        <v>585.67</v>
      </c>
      <c r="I404" s="25" t="n">
        <v>196786</v>
      </c>
      <c r="J404" s="25"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4" t="n">
        <v>585.67</v>
      </c>
      <c r="I405" s="25" t="n">
        <v>534230281</v>
      </c>
      <c r="J405" s="25" t="n">
        <v>912169.45</v>
      </c>
    </row>
    <row r="406">
      <c r="A406" t="n">
        <v>2019</v>
      </c>
      <c r="B406" t="inlineStr">
        <is>
          <t>CDS</t>
        </is>
      </c>
      <c r="C406" t="inlineStr">
        <is>
          <t>Ciment</t>
        </is>
      </c>
      <c r="D406" t="inlineStr">
        <is>
          <t>Tonne</t>
        </is>
      </c>
      <c r="E406" s="6" t="n">
        <v>86870.8</v>
      </c>
      <c r="F406" s="3" t="n">
        <v>3572174000</v>
      </c>
      <c r="G406" t="inlineStr">
        <is>
          <t>Gambie</t>
        </is>
      </c>
      <c r="H406" s="24" t="n">
        <v>585.67</v>
      </c>
      <c r="I406" s="25" t="n">
        <v>3572174000</v>
      </c>
      <c r="J406" s="25" t="n">
        <v>6099294.82</v>
      </c>
    </row>
    <row r="407">
      <c r="A407" t="n">
        <v>2019</v>
      </c>
      <c r="B407" t="inlineStr">
        <is>
          <t>CDS</t>
        </is>
      </c>
      <c r="C407" t="inlineStr">
        <is>
          <t>Ciment</t>
        </is>
      </c>
      <c r="D407" t="inlineStr">
        <is>
          <t>Tonne</t>
        </is>
      </c>
      <c r="E407" s="6" t="n">
        <v>700</v>
      </c>
      <c r="F407" s="3" t="n">
        <v>26950000</v>
      </c>
      <c r="G407" t="inlineStr">
        <is>
          <t>Guinée</t>
        </is>
      </c>
      <c r="H407" s="24" t="n">
        <v>585.67</v>
      </c>
      <c r="I407" s="25" t="n">
        <v>26950000</v>
      </c>
      <c r="J407" s="25" t="n">
        <v>46015.67</v>
      </c>
    </row>
    <row r="408">
      <c r="A408" t="n">
        <v>2019</v>
      </c>
      <c r="B408" t="inlineStr">
        <is>
          <t>CDS</t>
        </is>
      </c>
      <c r="C408" t="inlineStr">
        <is>
          <t>Ciment</t>
        </is>
      </c>
      <c r="D408" t="inlineStr">
        <is>
          <t>Tonne</t>
        </is>
      </c>
      <c r="E408" s="6" t="n">
        <v>697.8</v>
      </c>
      <c r="F408" s="3" t="n">
        <v>35509500</v>
      </c>
      <c r="G408" t="inlineStr">
        <is>
          <t>Guinée-Bissau</t>
        </is>
      </c>
      <c r="H408" s="24" t="n">
        <v>585.67</v>
      </c>
      <c r="I408" s="25" t="n">
        <v>35509500</v>
      </c>
      <c r="J408" s="25" t="n">
        <v>60630.56</v>
      </c>
    </row>
    <row r="409">
      <c r="A409" t="n">
        <v>2019</v>
      </c>
      <c r="B409" t="inlineStr">
        <is>
          <t>CDS</t>
        </is>
      </c>
      <c r="C409" t="inlineStr">
        <is>
          <t>Ciment</t>
        </is>
      </c>
      <c r="D409" t="inlineStr">
        <is>
          <t>Tonne</t>
        </is>
      </c>
      <c r="E409" s="6" t="n">
        <v>873956.7</v>
      </c>
      <c r="F409" s="3" t="n">
        <v>37783173175</v>
      </c>
      <c r="G409" t="inlineStr">
        <is>
          <t>Mali</t>
        </is>
      </c>
      <c r="H409" s="24" t="n">
        <v>585.67</v>
      </c>
      <c r="I409" s="25" t="n">
        <v>37783173175</v>
      </c>
      <c r="J409" s="25" t="n">
        <v>64512734.43</v>
      </c>
    </row>
    <row r="410">
      <c r="A410" t="n">
        <v>2019</v>
      </c>
      <c r="B410" t="inlineStr">
        <is>
          <t>CDS</t>
        </is>
      </c>
      <c r="C410" t="inlineStr">
        <is>
          <t>Ciment</t>
        </is>
      </c>
      <c r="D410" t="inlineStr">
        <is>
          <t>Tonne</t>
        </is>
      </c>
      <c r="E410" s="6" t="n">
        <v>3000</v>
      </c>
      <c r="F410" s="3" t="n">
        <v>121000000</v>
      </c>
      <c r="G410" t="inlineStr">
        <is>
          <t>Mauritanie</t>
        </is>
      </c>
      <c r="H410" s="24" t="n">
        <v>585.67</v>
      </c>
      <c r="I410" s="25" t="n">
        <v>121000000</v>
      </c>
      <c r="J410" s="25" t="n">
        <v>206600.99</v>
      </c>
    </row>
    <row r="411">
      <c r="A411" t="n">
        <v>2019</v>
      </c>
      <c r="B411" t="inlineStr">
        <is>
          <t>DANGOTE</t>
        </is>
      </c>
      <c r="C411" t="inlineStr">
        <is>
          <t>Ciment</t>
        </is>
      </c>
      <c r="D411" t="inlineStr">
        <is>
          <t>Tonne</t>
        </is>
      </c>
      <c r="E411" s="6" t="n">
        <v>15168.04</v>
      </c>
      <c r="F411" s="3" t="n">
        <v>583132600</v>
      </c>
      <c r="G411" t="inlineStr">
        <is>
          <t>Gambie</t>
        </is>
      </c>
      <c r="H411" s="24" t="n">
        <v>585.67</v>
      </c>
      <c r="I411" s="25" t="n">
        <v>583132600</v>
      </c>
      <c r="J411" s="25" t="n">
        <v>995667.53</v>
      </c>
    </row>
    <row r="412">
      <c r="A412" t="n">
        <v>2019</v>
      </c>
      <c r="B412" t="inlineStr">
        <is>
          <t>DANGOTE</t>
        </is>
      </c>
      <c r="C412" t="inlineStr">
        <is>
          <t>Ciment</t>
        </is>
      </c>
      <c r="D412" t="inlineStr">
        <is>
          <t>Tonne</t>
        </is>
      </c>
      <c r="E412" s="6" t="n">
        <v>280</v>
      </c>
      <c r="F412" s="3" t="n">
        <v>10920000</v>
      </c>
      <c r="G412" t="inlineStr">
        <is>
          <t>Ghana</t>
        </is>
      </c>
      <c r="H412" s="24" t="n">
        <v>585.67</v>
      </c>
      <c r="I412" s="25" t="n">
        <v>10920000</v>
      </c>
      <c r="J412" s="25" t="n">
        <v>18645.31</v>
      </c>
    </row>
    <row r="413">
      <c r="A413" t="n">
        <v>2019</v>
      </c>
      <c r="B413" t="inlineStr">
        <is>
          <t>DANGOTE</t>
        </is>
      </c>
      <c r="C413" t="inlineStr">
        <is>
          <t>Ciment</t>
        </is>
      </c>
      <c r="D413" t="inlineStr">
        <is>
          <t>Tonne</t>
        </is>
      </c>
      <c r="E413" s="6" t="n">
        <v>15122</v>
      </c>
      <c r="F413" s="3" t="n">
        <v>593149480</v>
      </c>
      <c r="G413" t="inlineStr">
        <is>
          <t>Guinée-Bissau</t>
        </is>
      </c>
      <c r="H413" s="24" t="n">
        <v>585.67</v>
      </c>
      <c r="I413" s="25" t="n">
        <v>593149480</v>
      </c>
      <c r="J413" s="25" t="n">
        <v>1012770.81</v>
      </c>
    </row>
    <row r="414">
      <c r="A414" t="n">
        <v>2019</v>
      </c>
      <c r="B414" t="inlineStr">
        <is>
          <t>DANGOTE</t>
        </is>
      </c>
      <c r="C414" t="inlineStr">
        <is>
          <t>Ciment</t>
        </is>
      </c>
      <c r="D414" t="inlineStr">
        <is>
          <t>Tonne</t>
        </is>
      </c>
      <c r="E414" s="6" t="n">
        <v>411969</v>
      </c>
      <c r="F414" s="3" t="n">
        <v>16042005860</v>
      </c>
      <c r="G414" t="inlineStr">
        <is>
          <t>Mali</t>
        </is>
      </c>
      <c r="H414" s="24" t="n">
        <v>585.67</v>
      </c>
      <c r="I414" s="25" t="n">
        <v>16042005860</v>
      </c>
      <c r="J414" s="25" t="n">
        <v>27390861.51</v>
      </c>
    </row>
    <row r="415">
      <c r="A415" t="n">
        <v>2019</v>
      </c>
      <c r="B415" t="inlineStr">
        <is>
          <t>DANGOTE</t>
        </is>
      </c>
      <c r="C415" t="inlineStr">
        <is>
          <t>Ciment</t>
        </is>
      </c>
      <c r="D415" t="inlineStr">
        <is>
          <t>Tonne</t>
        </is>
      </c>
      <c r="E415" s="6" t="n">
        <v>1000</v>
      </c>
      <c r="F415" s="3" t="n">
        <v>30825600</v>
      </c>
      <c r="G415" t="inlineStr">
        <is>
          <t>Royaume-Uni</t>
        </is>
      </c>
      <c r="H415" s="24" t="n">
        <v>585.67</v>
      </c>
      <c r="I415" s="25" t="n">
        <v>30825600</v>
      </c>
      <c r="J415" s="25" t="n">
        <v>52633.05</v>
      </c>
    </row>
    <row r="416">
      <c r="A416" t="n">
        <v>2019</v>
      </c>
      <c r="B416" t="inlineStr">
        <is>
          <t>SOCOCIM</t>
        </is>
      </c>
      <c r="C416" t="inlineStr">
        <is>
          <t>Ciment</t>
        </is>
      </c>
      <c r="D416" t="inlineStr">
        <is>
          <t>Tonne</t>
        </is>
      </c>
      <c r="E416" s="6" t="n">
        <v>35</v>
      </c>
      <c r="F416" s="3" t="n">
        <v>1400000</v>
      </c>
      <c r="G416" t="inlineStr">
        <is>
          <t>Côte d'Ivoire</t>
        </is>
      </c>
      <c r="H416" s="24" t="n">
        <v>585.67</v>
      </c>
      <c r="I416" s="25" t="n">
        <v>1400000</v>
      </c>
      <c r="J416" s="25" t="n">
        <v>2390.42</v>
      </c>
    </row>
    <row r="417">
      <c r="A417" t="n">
        <v>2019</v>
      </c>
      <c r="B417" t="inlineStr">
        <is>
          <t>SOCOCIM</t>
        </is>
      </c>
      <c r="C417" t="inlineStr">
        <is>
          <t>Ciment</t>
        </is>
      </c>
      <c r="D417" t="inlineStr">
        <is>
          <t>Tonne</t>
        </is>
      </c>
      <c r="E417" s="6" t="n">
        <v>25699.73</v>
      </c>
      <c r="F417" s="3" t="n">
        <v>1122957948</v>
      </c>
      <c r="G417" t="inlineStr">
        <is>
          <t>Gambie</t>
        </is>
      </c>
      <c r="H417" s="24" t="n">
        <v>585.67</v>
      </c>
      <c r="I417" s="25" t="n">
        <v>1122957948</v>
      </c>
      <c r="J417" s="25" t="n">
        <v>1917390.25</v>
      </c>
    </row>
    <row r="418">
      <c r="A418" t="n">
        <v>2019</v>
      </c>
      <c r="B418" t="inlineStr">
        <is>
          <t>SOCOCIM</t>
        </is>
      </c>
      <c r="C418" t="inlineStr">
        <is>
          <t>Ciment</t>
        </is>
      </c>
      <c r="D418" t="inlineStr">
        <is>
          <t>Tonne</t>
        </is>
      </c>
      <c r="E418" s="6" t="n">
        <v>790</v>
      </c>
      <c r="F418" s="3" t="n">
        <v>31600000</v>
      </c>
      <c r="G418" t="inlineStr">
        <is>
          <t>Guinée</t>
        </is>
      </c>
      <c r="H418" s="24" t="n">
        <v>585.67</v>
      </c>
      <c r="I418" s="25" t="n">
        <v>31600000</v>
      </c>
      <c r="J418" s="25" t="n">
        <v>53955.3</v>
      </c>
    </row>
    <row r="419">
      <c r="A419" t="n">
        <v>2019</v>
      </c>
      <c r="B419" t="inlineStr">
        <is>
          <t>SOCOCIM</t>
        </is>
      </c>
      <c r="C419" t="inlineStr">
        <is>
          <t>Ciment</t>
        </is>
      </c>
      <c r="D419" t="inlineStr">
        <is>
          <t>Tonne</t>
        </is>
      </c>
      <c r="E419" s="6" t="n">
        <v>5256</v>
      </c>
      <c r="F419" s="3" t="n">
        <v>282330000</v>
      </c>
      <c r="G419" t="inlineStr">
        <is>
          <t>Guinée-Bissau</t>
        </is>
      </c>
      <c r="H419" s="24" t="n">
        <v>585.67</v>
      </c>
      <c r="I419" s="25" t="n">
        <v>282330000</v>
      </c>
      <c r="J419" s="25" t="n">
        <v>482063.28</v>
      </c>
    </row>
    <row r="420">
      <c r="A420" t="n">
        <v>2019</v>
      </c>
      <c r="B420" t="inlineStr">
        <is>
          <t>SOCOCIM</t>
        </is>
      </c>
      <c r="C420" t="inlineStr">
        <is>
          <t>Ciment</t>
        </is>
      </c>
      <c r="D420" t="inlineStr">
        <is>
          <t>Tonne</t>
        </is>
      </c>
      <c r="E420" s="6" t="n">
        <v>309554</v>
      </c>
      <c r="F420" s="3" t="n">
        <v>13294733480</v>
      </c>
      <c r="G420" t="inlineStr">
        <is>
          <t>Mali</t>
        </is>
      </c>
      <c r="H420" s="24" t="n">
        <v>585.67</v>
      </c>
      <c r="I420" s="25" t="n">
        <v>13294733480</v>
      </c>
      <c r="J420" s="25" t="n">
        <v>22700041.8</v>
      </c>
    </row>
    <row r="421">
      <c r="A421" t="n">
        <v>2019</v>
      </c>
      <c r="B421" t="inlineStr">
        <is>
          <t>SOCOCIM</t>
        </is>
      </c>
      <c r="C421" t="inlineStr">
        <is>
          <t>Ciment</t>
        </is>
      </c>
      <c r="D421" t="inlineStr">
        <is>
          <t>Tonne</t>
        </is>
      </c>
      <c r="E421" s="6" t="n">
        <v>3716</v>
      </c>
      <c r="F421" s="3" t="n">
        <v>148640000</v>
      </c>
      <c r="G421" t="inlineStr">
        <is>
          <t>Mauritanie</t>
        </is>
      </c>
      <c r="H421" s="24" t="n">
        <v>585.67</v>
      </c>
      <c r="I421" s="25" t="n">
        <v>148640000</v>
      </c>
      <c r="J421" s="25" t="n">
        <v>253794.8</v>
      </c>
    </row>
    <row r="422">
      <c r="A422" t="n">
        <v>2019</v>
      </c>
      <c r="B422" t="inlineStr">
        <is>
          <t>PMC</t>
        </is>
      </c>
      <c r="C422" t="inlineStr">
        <is>
          <t>Or</t>
        </is>
      </c>
      <c r="D422" t="inlineStr">
        <is>
          <t>Tonne</t>
        </is>
      </c>
      <c r="E422" s="8" t="n">
        <v>6.221</v>
      </c>
      <c r="F422" s="3" t="n">
        <v>151885748355</v>
      </c>
      <c r="G422" t="inlineStr">
        <is>
          <t>Suisse</t>
        </is>
      </c>
      <c r="H422" s="24" t="n">
        <v>585.67</v>
      </c>
      <c r="I422" s="25" t="n">
        <v>151885748355</v>
      </c>
      <c r="J422" s="25" t="n">
        <v>259336739.73</v>
      </c>
    </row>
    <row r="423">
      <c r="A423" t="n">
        <v>2019</v>
      </c>
      <c r="B423" t="inlineStr">
        <is>
          <t>SGO</t>
        </is>
      </c>
      <c r="C423" t="inlineStr">
        <is>
          <t>Or</t>
        </is>
      </c>
      <c r="D423" t="inlineStr">
        <is>
          <t>Tonne</t>
        </is>
      </c>
      <c r="E423" s="8" t="n">
        <v>7.845</v>
      </c>
      <c r="F423" s="3" t="n">
        <v>189853050512</v>
      </c>
      <c r="G423" t="inlineStr">
        <is>
          <t>Suisse</t>
        </is>
      </c>
      <c r="H423" s="24" t="n">
        <v>585.67</v>
      </c>
      <c r="I423" s="25" t="n">
        <v>189853050512</v>
      </c>
      <c r="J423" s="25" t="n">
        <v>324163864.48</v>
      </c>
    </row>
    <row r="424">
      <c r="A424" t="n">
        <v>2019</v>
      </c>
      <c r="B424" t="inlineStr">
        <is>
          <t>SEPHOS</t>
        </is>
      </c>
      <c r="C424" t="inlineStr">
        <is>
          <t>Phosphate</t>
        </is>
      </c>
      <c r="D424" t="inlineStr">
        <is>
          <t>Tonne</t>
        </is>
      </c>
      <c r="E424" s="6" t="n">
        <v>38807.328</v>
      </c>
      <c r="F424" s="3" t="n">
        <v>1053061182</v>
      </c>
      <c r="G424" t="inlineStr">
        <is>
          <t>Espagne</t>
        </is>
      </c>
      <c r="H424" s="24" t="n">
        <v>585.67</v>
      </c>
      <c r="I424" s="25" t="n">
        <v>1053061182</v>
      </c>
      <c r="J424" s="25" t="n">
        <v>1798045.28</v>
      </c>
    </row>
    <row r="425">
      <c r="A425" t="n">
        <v>2019</v>
      </c>
      <c r="B425" t="inlineStr">
        <is>
          <t>SEPHOS</t>
        </is>
      </c>
      <c r="C425" t="inlineStr">
        <is>
          <t>Phosphate</t>
        </is>
      </c>
      <c r="D425" t="inlineStr">
        <is>
          <t>Tonne</t>
        </is>
      </c>
      <c r="E425" s="6" t="n">
        <v>540</v>
      </c>
      <c r="F425" s="3" t="n">
        <v>33635941</v>
      </c>
      <c r="G425" t="inlineStr">
        <is>
          <t>France</t>
        </is>
      </c>
      <c r="H425" s="24" t="n">
        <v>585.67</v>
      </c>
      <c r="I425" s="25" t="n">
        <v>33635941</v>
      </c>
      <c r="J425" s="25" t="n">
        <v>57431.56</v>
      </c>
    </row>
    <row r="426">
      <c r="A426" t="n">
        <v>2019</v>
      </c>
      <c r="B426" t="inlineStr">
        <is>
          <t>SEPHOS</t>
        </is>
      </c>
      <c r="C426" t="inlineStr">
        <is>
          <t>Phosphate</t>
        </is>
      </c>
      <c r="D426" t="inlineStr">
        <is>
          <t>Tonne</t>
        </is>
      </c>
      <c r="E426" s="6" t="n">
        <v>600</v>
      </c>
      <c r="F426" s="3" t="n">
        <v>46009041</v>
      </c>
      <c r="G426" t="inlineStr">
        <is>
          <t>Ghana</t>
        </is>
      </c>
      <c r="H426" s="24" t="n">
        <v>585.67</v>
      </c>
      <c r="I426" s="25" t="n">
        <v>46009041</v>
      </c>
      <c r="J426" s="25" t="n">
        <v>78557.96000000001</v>
      </c>
    </row>
    <row r="427">
      <c r="A427" t="n">
        <v>2019</v>
      </c>
      <c r="B427" t="inlineStr">
        <is>
          <t>SEPHOS</t>
        </is>
      </c>
      <c r="C427" t="inlineStr">
        <is>
          <t>Phosphate</t>
        </is>
      </c>
      <c r="D427" t="inlineStr">
        <is>
          <t>Tonne</t>
        </is>
      </c>
      <c r="E427" s="6" t="n">
        <v>6306.365</v>
      </c>
      <c r="F427" s="3" t="n">
        <v>177601263</v>
      </c>
      <c r="G427" t="inlineStr">
        <is>
          <t>Italie</t>
        </is>
      </c>
      <c r="H427" s="24" t="n">
        <v>585.67</v>
      </c>
      <c r="I427" s="25" t="n">
        <v>177601263</v>
      </c>
      <c r="J427" s="25" t="n">
        <v>303244.6</v>
      </c>
    </row>
    <row r="428">
      <c r="A428" t="n">
        <v>2019</v>
      </c>
      <c r="B428" t="inlineStr">
        <is>
          <t>SEPHOS</t>
        </is>
      </c>
      <c r="C428" t="inlineStr">
        <is>
          <t>Phosphate</t>
        </is>
      </c>
      <c r="D428" t="inlineStr">
        <is>
          <t>Tonne</t>
        </is>
      </c>
      <c r="E428" s="6" t="n">
        <v>2214</v>
      </c>
      <c r="F428" s="3" t="n">
        <v>167689729</v>
      </c>
      <c r="G428" t="inlineStr">
        <is>
          <t>Mali</t>
        </is>
      </c>
      <c r="H428" s="24" t="n">
        <v>585.67</v>
      </c>
      <c r="I428" s="25" t="n">
        <v>167689729</v>
      </c>
      <c r="J428" s="25" t="n">
        <v>286321.19</v>
      </c>
    </row>
    <row r="429">
      <c r="A429" t="n">
        <v>2019</v>
      </c>
      <c r="B429" t="inlineStr">
        <is>
          <t>SEPHOS</t>
        </is>
      </c>
      <c r="C429" t="inlineStr">
        <is>
          <t>Phosphate</t>
        </is>
      </c>
      <c r="D429" t="inlineStr">
        <is>
          <t>Tonne</t>
        </is>
      </c>
      <c r="E429" s="6" t="n">
        <v>325</v>
      </c>
      <c r="F429" s="3" t="n">
        <v>22390853</v>
      </c>
      <c r="G429" t="inlineStr">
        <is>
          <t>Sierra Leone</t>
        </is>
      </c>
      <c r="H429" s="24" t="n">
        <v>585.67</v>
      </c>
      <c r="I429" s="25" t="n">
        <v>22390853</v>
      </c>
      <c r="J429" s="25" t="n">
        <v>38231.18</v>
      </c>
    </row>
    <row r="430">
      <c r="A430" t="n">
        <v>2019</v>
      </c>
      <c r="B430" t="inlineStr">
        <is>
          <t>SOMIVA</t>
        </is>
      </c>
      <c r="C430" t="inlineStr">
        <is>
          <t>Phosphate</t>
        </is>
      </c>
      <c r="D430" t="inlineStr">
        <is>
          <t>Tonne</t>
        </is>
      </c>
      <c r="E430" s="6" t="n">
        <v>5504.281</v>
      </c>
      <c r="F430" s="3" t="n">
        <v>237885351</v>
      </c>
      <c r="G430" t="inlineStr">
        <is>
          <t>Côte d'Ivoire</t>
        </is>
      </c>
      <c r="H430" s="24" t="n">
        <v>585.67</v>
      </c>
      <c r="I430" s="25" t="n">
        <v>237885351</v>
      </c>
      <c r="J430" s="25" t="n">
        <v>406176.43</v>
      </c>
    </row>
    <row r="431">
      <c r="A431" t="n">
        <v>2019</v>
      </c>
      <c r="B431" t="inlineStr">
        <is>
          <t>SOMIVA</t>
        </is>
      </c>
      <c r="C431" t="inlineStr">
        <is>
          <t>Phosphate</t>
        </is>
      </c>
      <c r="D431" t="inlineStr">
        <is>
          <t>Tonne</t>
        </is>
      </c>
      <c r="E431" s="6" t="n">
        <v>206661.472</v>
      </c>
      <c r="F431" s="3" t="n">
        <v>8590562499</v>
      </c>
      <c r="G431" t="inlineStr">
        <is>
          <t>Liban</t>
        </is>
      </c>
      <c r="H431" s="24" t="n">
        <v>585.67</v>
      </c>
      <c r="I431" s="25" t="n">
        <v>8590562499</v>
      </c>
      <c r="J431" s="25" t="n">
        <v>14667923.06</v>
      </c>
    </row>
    <row r="432">
      <c r="A432" t="n">
        <v>2019</v>
      </c>
      <c r="B432" t="inlineStr">
        <is>
          <t>SOMIVA</t>
        </is>
      </c>
      <c r="C432" t="inlineStr">
        <is>
          <t>Phosphate</t>
        </is>
      </c>
      <c r="D432" t="inlineStr">
        <is>
          <t>Tonne</t>
        </is>
      </c>
      <c r="E432" s="6" t="n">
        <v>48349.124</v>
      </c>
      <c r="F432" s="3" t="n">
        <v>1996738634</v>
      </c>
      <c r="G432" t="inlineStr">
        <is>
          <t>Pologne</t>
        </is>
      </c>
      <c r="H432" s="24" t="n">
        <v>585.67</v>
      </c>
      <c r="I432" s="25" t="n">
        <v>1996738634</v>
      </c>
      <c r="J432" s="25" t="n">
        <v>3409323.74</v>
      </c>
    </row>
    <row r="433">
      <c r="A433" t="n">
        <v>2019</v>
      </c>
      <c r="B433" t="inlineStr">
        <is>
          <t>SOMIVA</t>
        </is>
      </c>
      <c r="C433" t="inlineStr">
        <is>
          <t>Phosphate</t>
        </is>
      </c>
      <c r="D433" t="inlineStr">
        <is>
          <t>Tonne</t>
        </is>
      </c>
      <c r="E433" s="6" t="n">
        <v>1028.934</v>
      </c>
      <c r="F433" s="3" t="n">
        <v>49020084</v>
      </c>
      <c r="G433" t="inlineStr">
        <is>
          <t>Portugal</t>
        </is>
      </c>
      <c r="H433" s="24" t="n">
        <v>585.67</v>
      </c>
      <c r="I433" s="25" t="n">
        <v>49020084</v>
      </c>
      <c r="J433" s="25" t="n">
        <v>83699.14999999999</v>
      </c>
    </row>
    <row r="434">
      <c r="A434" t="n">
        <v>2019</v>
      </c>
      <c r="B434" t="inlineStr">
        <is>
          <t>SOMIVA</t>
        </is>
      </c>
      <c r="C434" t="inlineStr">
        <is>
          <t>Phosphate</t>
        </is>
      </c>
      <c r="D434" t="inlineStr">
        <is>
          <t>Tonne</t>
        </is>
      </c>
      <c r="E434" s="6" t="n">
        <v>51053.338</v>
      </c>
      <c r="F434" s="3" t="n">
        <v>1009154057</v>
      </c>
      <c r="G434" t="inlineStr">
        <is>
          <t>Suisse</t>
        </is>
      </c>
      <c r="H434" s="24" t="n">
        <v>585.67</v>
      </c>
      <c r="I434" s="25" t="n">
        <v>1009154057</v>
      </c>
      <c r="J434" s="25" t="n">
        <v>1723076.23</v>
      </c>
    </row>
    <row r="435">
      <c r="A435" t="n">
        <v>2019</v>
      </c>
      <c r="B435" t="inlineStr">
        <is>
          <t>SOMIVA</t>
        </is>
      </c>
      <c r="C435" t="inlineStr">
        <is>
          <t>Phosphate</t>
        </is>
      </c>
      <c r="D435" t="inlineStr">
        <is>
          <t>Tonne</t>
        </is>
      </c>
      <c r="E435" s="6" t="n">
        <v>225802.469</v>
      </c>
      <c r="F435" s="3" t="n">
        <v>8947306557</v>
      </c>
      <c r="G435" t="inlineStr">
        <is>
          <t>Swaziland</t>
        </is>
      </c>
      <c r="H435" s="24" t="n">
        <v>585.67</v>
      </c>
      <c r="I435" s="25" t="n">
        <v>8947306557</v>
      </c>
      <c r="J435" s="25" t="n">
        <v>15277044.34</v>
      </c>
    </row>
    <row r="436">
      <c r="A436" t="n">
        <v>2019</v>
      </c>
      <c r="B436" t="inlineStr">
        <is>
          <t>GCO</t>
        </is>
      </c>
      <c r="C436" t="inlineStr">
        <is>
          <t>Sables minéralisés</t>
        </is>
      </c>
      <c r="D436" t="inlineStr">
        <is>
          <t>Tonne</t>
        </is>
      </c>
      <c r="E436" s="6" t="n">
        <v>2.043</v>
      </c>
      <c r="F436" s="3" t="n">
        <v>4662145</v>
      </c>
      <c r="G436" t="inlineStr">
        <is>
          <t>Australie</t>
        </is>
      </c>
      <c r="H436" s="24" t="n">
        <v>585.67</v>
      </c>
      <c r="I436" s="25" t="n">
        <v>4662145</v>
      </c>
      <c r="J436" s="25" t="n">
        <v>7960.36</v>
      </c>
    </row>
    <row r="437">
      <c r="A437" t="n">
        <v>2019</v>
      </c>
      <c r="B437" t="inlineStr">
        <is>
          <t>GCO</t>
        </is>
      </c>
      <c r="C437" t="inlineStr">
        <is>
          <t>Titane</t>
        </is>
      </c>
      <c r="D437" t="inlineStr">
        <is>
          <t>Tonne</t>
        </is>
      </c>
      <c r="E437" s="6" t="n">
        <v>439.92</v>
      </c>
      <c r="F437" s="3" t="n">
        <v>175825218</v>
      </c>
      <c r="G437" t="inlineStr">
        <is>
          <t>Afrique du Sud</t>
        </is>
      </c>
      <c r="H437" s="24" t="n">
        <v>585.67</v>
      </c>
      <c r="I437" s="25" t="n">
        <v>175825218</v>
      </c>
      <c r="J437" s="25" t="n">
        <v>300212.1</v>
      </c>
    </row>
    <row r="438">
      <c r="A438" t="n">
        <v>2019</v>
      </c>
      <c r="B438" t="inlineStr">
        <is>
          <t>GCO</t>
        </is>
      </c>
      <c r="C438" t="inlineStr">
        <is>
          <t>Titane</t>
        </is>
      </c>
      <c r="D438" t="inlineStr">
        <is>
          <t>Tonne</t>
        </is>
      </c>
      <c r="E438" s="6" t="n">
        <v>35755.44</v>
      </c>
      <c r="F438" s="3" t="n">
        <v>3277431091</v>
      </c>
      <c r="G438" t="inlineStr">
        <is>
          <t>Belgique</t>
        </is>
      </c>
      <c r="H438" s="24" t="n">
        <v>585.67</v>
      </c>
      <c r="I438" s="25" t="n">
        <v>3277431091</v>
      </c>
      <c r="J438" s="25" t="n">
        <v>5596037.17</v>
      </c>
    </row>
    <row r="439">
      <c r="A439" t="n">
        <v>2019</v>
      </c>
      <c r="B439" t="inlineStr">
        <is>
          <t>GCO</t>
        </is>
      </c>
      <c r="C439" t="inlineStr">
        <is>
          <t>Titane</t>
        </is>
      </c>
      <c r="D439" t="inlineStr">
        <is>
          <t>Tonne</t>
        </is>
      </c>
      <c r="E439" s="6" t="n">
        <v>50251.475</v>
      </c>
      <c r="F439" s="3" t="n">
        <v>6509347684</v>
      </c>
      <c r="G439" t="inlineStr">
        <is>
          <t>Chine</t>
        </is>
      </c>
      <c r="H439" s="24" t="n">
        <v>585.67</v>
      </c>
      <c r="I439" s="25" t="n">
        <v>6509347684</v>
      </c>
      <c r="J439" s="25" t="n">
        <v>11114360.79</v>
      </c>
    </row>
    <row r="440">
      <c r="A440" t="n">
        <v>2019</v>
      </c>
      <c r="B440" t="inlineStr">
        <is>
          <t>GCO</t>
        </is>
      </c>
      <c r="C440" t="inlineStr">
        <is>
          <t>Titane</t>
        </is>
      </c>
      <c r="D440" t="inlineStr">
        <is>
          <t>Tonne</t>
        </is>
      </c>
      <c r="E440" s="6" t="n">
        <v>1060.034</v>
      </c>
      <c r="F440" s="3" t="n">
        <v>586821696</v>
      </c>
      <c r="G440" t="inlineStr">
        <is>
          <t>Corée du Sud</t>
        </is>
      </c>
      <c r="H440" s="24" t="n">
        <v>585.67</v>
      </c>
      <c r="I440" s="25" t="n">
        <v>586821696</v>
      </c>
      <c r="J440" s="25" t="n">
        <v>1001966.46</v>
      </c>
    </row>
    <row r="441">
      <c r="A441" t="n">
        <v>2019</v>
      </c>
      <c r="B441" t="inlineStr">
        <is>
          <t>GCO</t>
        </is>
      </c>
      <c r="C441" t="inlineStr">
        <is>
          <t>Titane</t>
        </is>
      </c>
      <c r="D441" t="inlineStr">
        <is>
          <t>Tonne</t>
        </is>
      </c>
      <c r="E441" s="6" t="n">
        <v>640</v>
      </c>
      <c r="F441" s="3" t="n">
        <v>348132720</v>
      </c>
      <c r="G441" t="inlineStr">
        <is>
          <t>Costa Rica</t>
        </is>
      </c>
      <c r="H441" s="24" t="n">
        <v>585.67</v>
      </c>
      <c r="I441" s="25" t="n">
        <v>348132720</v>
      </c>
      <c r="J441" s="25" t="n">
        <v>594417.88</v>
      </c>
    </row>
    <row r="442">
      <c r="A442" t="n">
        <v>2019</v>
      </c>
      <c r="B442" t="inlineStr">
        <is>
          <t>GCO</t>
        </is>
      </c>
      <c r="C442" t="inlineStr">
        <is>
          <t>Titane</t>
        </is>
      </c>
      <c r="D442" t="inlineStr">
        <is>
          <t>Tonne</t>
        </is>
      </c>
      <c r="E442" s="6" t="n">
        <v>740</v>
      </c>
      <c r="F442" s="3" t="n">
        <v>323447690</v>
      </c>
      <c r="G442" t="inlineStr">
        <is>
          <t>Émirats Arabes Unis</t>
        </is>
      </c>
      <c r="H442" s="24" t="n">
        <v>585.67</v>
      </c>
      <c r="I442" s="25" t="n">
        <v>323447690</v>
      </c>
      <c r="J442" s="25" t="n">
        <v>552269.52</v>
      </c>
    </row>
    <row r="443">
      <c r="A443" t="n">
        <v>2019</v>
      </c>
      <c r="B443" t="inlineStr">
        <is>
          <t>GCO</t>
        </is>
      </c>
      <c r="C443" t="inlineStr">
        <is>
          <t>Titane</t>
        </is>
      </c>
      <c r="D443" t="inlineStr">
        <is>
          <t>Tonne</t>
        </is>
      </c>
      <c r="E443" s="6" t="n">
        <v>360</v>
      </c>
      <c r="F443" s="3" t="n">
        <v>204683877</v>
      </c>
      <c r="G443" t="inlineStr">
        <is>
          <t>Espagne</t>
        </is>
      </c>
      <c r="H443" s="24" t="n">
        <v>585.67</v>
      </c>
      <c r="I443" s="25" t="n">
        <v>204683877</v>
      </c>
      <c r="J443" s="25" t="n">
        <v>349486.7</v>
      </c>
    </row>
    <row r="444">
      <c r="A444" t="n">
        <v>2019</v>
      </c>
      <c r="B444" t="inlineStr">
        <is>
          <t>GCO</t>
        </is>
      </c>
      <c r="C444" t="inlineStr">
        <is>
          <t>Titane</t>
        </is>
      </c>
      <c r="D444" t="inlineStr">
        <is>
          <t>Tonne</t>
        </is>
      </c>
      <c r="E444" s="6" t="n">
        <v>131972.632</v>
      </c>
      <c r="F444" s="3" t="n">
        <v>13887462924</v>
      </c>
      <c r="G444" t="inlineStr">
        <is>
          <t>États-Unis</t>
        </is>
      </c>
      <c r="H444" s="24" t="n">
        <v>585.67</v>
      </c>
      <c r="I444" s="25" t="n">
        <v>13887462924</v>
      </c>
      <c r="J444" s="25" t="n">
        <v>23712095.42</v>
      </c>
    </row>
    <row r="445">
      <c r="A445" t="n">
        <v>2019</v>
      </c>
      <c r="B445" t="inlineStr">
        <is>
          <t>GCO</t>
        </is>
      </c>
      <c r="C445" t="inlineStr">
        <is>
          <t>Titane</t>
        </is>
      </c>
      <c r="D445" t="inlineStr">
        <is>
          <t>Tonne</t>
        </is>
      </c>
      <c r="E445" s="6" t="n">
        <v>33003.612</v>
      </c>
      <c r="F445" s="3" t="n">
        <v>2822576820</v>
      </c>
      <c r="G445" t="inlineStr">
        <is>
          <t>Finlande</t>
        </is>
      </c>
      <c r="H445" s="24" t="n">
        <v>585.67</v>
      </c>
      <c r="I445" s="25" t="n">
        <v>2822576820</v>
      </c>
      <c r="J445" s="25" t="n">
        <v>4819397.99</v>
      </c>
    </row>
    <row r="446">
      <c r="A446" t="n">
        <v>2019</v>
      </c>
      <c r="B446" t="inlineStr">
        <is>
          <t>GCO</t>
        </is>
      </c>
      <c r="C446" t="inlineStr">
        <is>
          <t>Titane</t>
        </is>
      </c>
      <c r="D446" t="inlineStr">
        <is>
          <t>Tonne</t>
        </is>
      </c>
      <c r="E446" s="6" t="n">
        <v>120</v>
      </c>
      <c r="F446" s="3" t="n">
        <v>76506597</v>
      </c>
      <c r="G446" t="inlineStr">
        <is>
          <t>France</t>
        </is>
      </c>
      <c r="H446" s="24" t="n">
        <v>585.67</v>
      </c>
      <c r="I446" s="25" t="n">
        <v>76506597</v>
      </c>
      <c r="J446" s="25" t="n">
        <v>130630.9</v>
      </c>
    </row>
    <row r="447">
      <c r="A447" t="n">
        <v>2019</v>
      </c>
      <c r="B447" t="inlineStr">
        <is>
          <t>GCO</t>
        </is>
      </c>
      <c r="C447" t="inlineStr">
        <is>
          <t>Titane</t>
        </is>
      </c>
      <c r="D447" t="inlineStr">
        <is>
          <t>Tonne</t>
        </is>
      </c>
      <c r="E447" s="6" t="n">
        <v>1560</v>
      </c>
      <c r="F447" s="3" t="n">
        <v>666909876</v>
      </c>
      <c r="G447" t="inlineStr">
        <is>
          <t>Inde</t>
        </is>
      </c>
      <c r="H447" s="24" t="n">
        <v>585.67</v>
      </c>
      <c r="I447" s="25" t="n">
        <v>666909876</v>
      </c>
      <c r="J447" s="25" t="n">
        <v>1138712.72</v>
      </c>
    </row>
    <row r="448">
      <c r="A448" t="n">
        <v>2019</v>
      </c>
      <c r="B448" t="inlineStr">
        <is>
          <t>GCO</t>
        </is>
      </c>
      <c r="C448" t="inlineStr">
        <is>
          <t>Titane</t>
        </is>
      </c>
      <c r="D448" t="inlineStr">
        <is>
          <t>Tonne</t>
        </is>
      </c>
      <c r="E448" s="6" t="n">
        <v>10720.864</v>
      </c>
      <c r="F448" s="3" t="n">
        <v>1620371391</v>
      </c>
      <c r="G448" t="inlineStr">
        <is>
          <t>Japon</t>
        </is>
      </c>
      <c r="H448" s="24" t="n">
        <v>585.67</v>
      </c>
      <c r="I448" s="25" t="n">
        <v>1620371391</v>
      </c>
      <c r="J448" s="25" t="n">
        <v>2766696.93</v>
      </c>
    </row>
    <row r="449">
      <c r="A449" t="n">
        <v>2019</v>
      </c>
      <c r="B449" t="inlineStr">
        <is>
          <t>GCO</t>
        </is>
      </c>
      <c r="C449" t="inlineStr">
        <is>
          <t>Titane</t>
        </is>
      </c>
      <c r="D449" t="inlineStr">
        <is>
          <t>Tonne</t>
        </is>
      </c>
      <c r="E449" s="6" t="n">
        <v>120</v>
      </c>
      <c r="F449" s="3" t="n">
        <v>50574672</v>
      </c>
      <c r="G449" t="inlineStr">
        <is>
          <t>Malaisie</t>
        </is>
      </c>
      <c r="H449" s="24" t="n">
        <v>585.67</v>
      </c>
      <c r="I449" s="25" t="n">
        <v>50574672</v>
      </c>
      <c r="J449" s="25" t="n">
        <v>86353.53</v>
      </c>
    </row>
    <row r="450">
      <c r="A450" t="n">
        <v>2019</v>
      </c>
      <c r="B450" t="inlineStr">
        <is>
          <t>GCO</t>
        </is>
      </c>
      <c r="C450" t="inlineStr">
        <is>
          <t>Titane</t>
        </is>
      </c>
      <c r="D450" t="inlineStr">
        <is>
          <t>Tonne</t>
        </is>
      </c>
      <c r="E450" s="6" t="n">
        <v>60</v>
      </c>
      <c r="F450" s="3" t="n">
        <v>25579584</v>
      </c>
      <c r="G450" t="inlineStr">
        <is>
          <t>Maroc</t>
        </is>
      </c>
      <c r="H450" s="24" t="n">
        <v>585.67</v>
      </c>
      <c r="I450" s="25" t="n">
        <v>25579584</v>
      </c>
      <c r="J450" s="25" t="n">
        <v>43675.76</v>
      </c>
    </row>
    <row r="451">
      <c r="A451" t="n">
        <v>2019</v>
      </c>
      <c r="B451" t="inlineStr">
        <is>
          <t>GCO</t>
        </is>
      </c>
      <c r="C451" t="inlineStr">
        <is>
          <t>Titane</t>
        </is>
      </c>
      <c r="D451" t="inlineStr">
        <is>
          <t>Tonne</t>
        </is>
      </c>
      <c r="E451" s="6" t="n">
        <v>12000.173</v>
      </c>
      <c r="F451" s="3" t="n">
        <v>1477074834</v>
      </c>
      <c r="G451" t="inlineStr">
        <is>
          <t>Mexique</t>
        </is>
      </c>
      <c r="H451" s="24" t="n">
        <v>585.67</v>
      </c>
      <c r="I451" s="25" t="n">
        <v>1477074834</v>
      </c>
      <c r="J451" s="25" t="n">
        <v>2522025.77</v>
      </c>
    </row>
    <row r="452">
      <c r="A452" t="n">
        <v>2019</v>
      </c>
      <c r="B452" t="inlineStr">
        <is>
          <t>GCO</t>
        </is>
      </c>
      <c r="C452" t="inlineStr">
        <is>
          <t>Titane</t>
        </is>
      </c>
      <c r="D452" t="inlineStr">
        <is>
          <t>Tonne</t>
        </is>
      </c>
      <c r="E452" s="6" t="n">
        <v>137096.702</v>
      </c>
      <c r="F452" s="3" t="n">
        <v>11805065457</v>
      </c>
      <c r="G452" t="inlineStr">
        <is>
          <t>Norvège</t>
        </is>
      </c>
      <c r="H452" s="24" t="n">
        <v>585.67</v>
      </c>
      <c r="I452" s="25" t="n">
        <v>11805065457</v>
      </c>
      <c r="J452" s="25" t="n">
        <v>20156513.83</v>
      </c>
    </row>
    <row r="453">
      <c r="A453" t="n">
        <v>2019</v>
      </c>
      <c r="B453" t="inlineStr">
        <is>
          <t>GCO</t>
        </is>
      </c>
      <c r="C453" t="inlineStr">
        <is>
          <t>Titane</t>
        </is>
      </c>
      <c r="D453" t="inlineStr">
        <is>
          <t>Tonne</t>
        </is>
      </c>
      <c r="E453" s="6" t="n">
        <v>440</v>
      </c>
      <c r="F453" s="3" t="n">
        <v>204756900</v>
      </c>
      <c r="G453" t="inlineStr">
        <is>
          <t>Pays-Bas</t>
        </is>
      </c>
      <c r="H453" s="24" t="n">
        <v>585.67</v>
      </c>
      <c r="I453" s="25" t="n">
        <v>204756900</v>
      </c>
      <c r="J453" s="25" t="n">
        <v>349611.39</v>
      </c>
    </row>
    <row r="454">
      <c r="A454" t="n">
        <v>2019</v>
      </c>
      <c r="B454" t="inlineStr">
        <is>
          <t>GCO</t>
        </is>
      </c>
      <c r="C454" t="inlineStr">
        <is>
          <t>Titane</t>
        </is>
      </c>
      <c r="D454" t="inlineStr">
        <is>
          <t>Tonne</t>
        </is>
      </c>
      <c r="E454" s="6" t="n">
        <v>32689.506</v>
      </c>
      <c r="F454" s="3" t="n">
        <v>2859546469</v>
      </c>
      <c r="G454" t="inlineStr">
        <is>
          <t>Pologne</t>
        </is>
      </c>
      <c r="H454" s="24" t="n">
        <v>585.67</v>
      </c>
      <c r="I454" s="25" t="n">
        <v>2859546469</v>
      </c>
      <c r="J454" s="25" t="n">
        <v>4882521.67</v>
      </c>
    </row>
    <row r="455">
      <c r="A455" t="n">
        <v>2019</v>
      </c>
      <c r="B455" t="inlineStr">
        <is>
          <t>GCO</t>
        </is>
      </c>
      <c r="C455" t="inlineStr">
        <is>
          <t>Titane</t>
        </is>
      </c>
      <c r="D455" t="inlineStr">
        <is>
          <t>Tonne</t>
        </is>
      </c>
      <c r="E455" s="6" t="n">
        <v>34515.169</v>
      </c>
      <c r="F455" s="3" t="n">
        <v>3040784148</v>
      </c>
      <c r="G455" t="inlineStr">
        <is>
          <t>Royaume-Uni</t>
        </is>
      </c>
      <c r="H455" s="24" t="n">
        <v>585.67</v>
      </c>
      <c r="I455" s="25" t="n">
        <v>3040784148</v>
      </c>
      <c r="J455" s="25" t="n">
        <v>5191975.26</v>
      </c>
    </row>
    <row r="456">
      <c r="A456" t="n">
        <v>2019</v>
      </c>
      <c r="B456" t="inlineStr">
        <is>
          <t>GCO</t>
        </is>
      </c>
      <c r="C456" t="inlineStr">
        <is>
          <t>Titane</t>
        </is>
      </c>
      <c r="D456" t="inlineStr">
        <is>
          <t>Tonne</t>
        </is>
      </c>
      <c r="E456" s="6" t="n">
        <v>60.016</v>
      </c>
      <c r="F456" s="3" t="n">
        <v>24846360</v>
      </c>
      <c r="G456" t="inlineStr">
        <is>
          <t>Russie</t>
        </is>
      </c>
      <c r="H456" s="24" t="n">
        <v>585.67</v>
      </c>
      <c r="I456" s="25" t="n">
        <v>24846360</v>
      </c>
      <c r="J456" s="25" t="n">
        <v>42423.82</v>
      </c>
    </row>
    <row r="457">
      <c r="A457" t="n">
        <v>2019</v>
      </c>
      <c r="B457" t="inlineStr">
        <is>
          <t>GCO</t>
        </is>
      </c>
      <c r="C457" t="inlineStr">
        <is>
          <t>Titane</t>
        </is>
      </c>
      <c r="D457" t="inlineStr">
        <is>
          <t>Tonne</t>
        </is>
      </c>
      <c r="E457" s="6" t="n">
        <v>35678.434</v>
      </c>
      <c r="F457" s="3" t="n">
        <v>3037501898</v>
      </c>
      <c r="G457" t="inlineStr">
        <is>
          <t>Suède</t>
        </is>
      </c>
      <c r="H457" s="24" t="n">
        <v>585.67</v>
      </c>
      <c r="I457" s="25" t="n">
        <v>3037501898</v>
      </c>
      <c r="J457" s="25" t="n">
        <v>5186370.99</v>
      </c>
    </row>
    <row r="458">
      <c r="A458" t="n">
        <v>2019</v>
      </c>
      <c r="B458" t="inlineStr">
        <is>
          <t>GCO</t>
        </is>
      </c>
      <c r="C458" t="inlineStr">
        <is>
          <t>Titane</t>
        </is>
      </c>
      <c r="D458" t="inlineStr">
        <is>
          <t>Tonne</t>
        </is>
      </c>
      <c r="E458" s="6" t="n">
        <v>16268.802</v>
      </c>
      <c r="F458" s="3" t="n">
        <v>2114063389</v>
      </c>
      <c r="G458" t="inlineStr">
        <is>
          <t>Suisse</t>
        </is>
      </c>
      <c r="H458" s="24" t="n">
        <v>585.67</v>
      </c>
      <c r="I458" s="25" t="n">
        <v>2114063389</v>
      </c>
      <c r="J458" s="25" t="n">
        <v>3609649.44</v>
      </c>
    </row>
    <row r="459">
      <c r="A459" t="n">
        <v>2019</v>
      </c>
      <c r="B459" t="inlineStr">
        <is>
          <t>GCO</t>
        </is>
      </c>
      <c r="C459" t="inlineStr">
        <is>
          <t>Titane</t>
        </is>
      </c>
      <c r="D459" t="inlineStr">
        <is>
          <t>Tonne</t>
        </is>
      </c>
      <c r="E459" s="6" t="n">
        <v>400</v>
      </c>
      <c r="F459" s="3" t="n">
        <v>169857630</v>
      </c>
      <c r="G459" t="inlineStr">
        <is>
          <t>Ukraine</t>
        </is>
      </c>
      <c r="H459" s="24" t="n">
        <v>585.67</v>
      </c>
      <c r="I459" s="25" t="n">
        <v>169857630</v>
      </c>
      <c r="J459" s="25" t="n">
        <v>290022.76</v>
      </c>
    </row>
    <row r="460">
      <c r="A460" t="n">
        <v>2019</v>
      </c>
      <c r="B460" t="inlineStr">
        <is>
          <t>GCO</t>
        </is>
      </c>
      <c r="C460" t="inlineStr">
        <is>
          <t>Titane</t>
        </is>
      </c>
      <c r="D460" t="inlineStr">
        <is>
          <t>Tonne</t>
        </is>
      </c>
      <c r="E460" s="6" t="n">
        <v>20</v>
      </c>
      <c r="F460" s="3" t="n">
        <v>13712600</v>
      </c>
      <c r="G460" t="inlineStr">
        <is>
          <t>Vietnam</t>
        </is>
      </c>
      <c r="H460" s="24" t="n">
        <v>585.67</v>
      </c>
      <c r="I460" s="25" t="n">
        <v>13712600</v>
      </c>
      <c r="J460" s="25" t="n">
        <v>23413.53</v>
      </c>
    </row>
    <row r="461">
      <c r="A461" t="n">
        <v>2019</v>
      </c>
      <c r="B461" t="inlineStr">
        <is>
          <t>GCO</t>
        </is>
      </c>
      <c r="C461" t="inlineStr">
        <is>
          <t>Zircon</t>
        </is>
      </c>
      <c r="D461" t="inlineStr">
        <is>
          <t>Tonne</t>
        </is>
      </c>
      <c r="E461" s="6" t="n">
        <v>60</v>
      </c>
      <c r="F461" s="3" t="n">
        <v>25934856</v>
      </c>
      <c r="G461" t="inlineStr">
        <is>
          <t>Afrique du Sud</t>
        </is>
      </c>
      <c r="H461" s="24" t="n">
        <v>585.67</v>
      </c>
      <c r="I461" s="25" t="n">
        <v>25934856</v>
      </c>
      <c r="J461" s="25" t="n">
        <v>44282.37</v>
      </c>
    </row>
    <row r="462">
      <c r="A462" t="n">
        <v>2019</v>
      </c>
      <c r="B462" t="inlineStr">
        <is>
          <t>GCO</t>
        </is>
      </c>
      <c r="C462" t="inlineStr">
        <is>
          <t>Zircon</t>
        </is>
      </c>
      <c r="D462" t="inlineStr">
        <is>
          <t>Tonne</t>
        </is>
      </c>
      <c r="E462" s="6" t="n">
        <v>793.02</v>
      </c>
      <c r="F462" s="3" t="n">
        <v>697609772</v>
      </c>
      <c r="G462" t="inlineStr">
        <is>
          <t>Allemagne</t>
        </is>
      </c>
      <c r="H462" s="24" t="n">
        <v>585.67</v>
      </c>
      <c r="I462" s="25" t="n">
        <v>697609772</v>
      </c>
      <c r="J462" s="25" t="n">
        <v>1191131.14</v>
      </c>
    </row>
    <row r="463">
      <c r="A463" t="n">
        <v>2019</v>
      </c>
      <c r="B463" t="inlineStr">
        <is>
          <t>GCO</t>
        </is>
      </c>
      <c r="C463" t="inlineStr">
        <is>
          <t>Zircon</t>
        </is>
      </c>
      <c r="D463" t="inlineStr">
        <is>
          <t>Tonne</t>
        </is>
      </c>
      <c r="E463" s="6" t="n">
        <v>1509.951</v>
      </c>
      <c r="F463" s="3" t="n">
        <v>1510675462</v>
      </c>
      <c r="G463" t="inlineStr">
        <is>
          <t>Australie</t>
        </is>
      </c>
      <c r="H463" s="24" t="n">
        <v>585.67</v>
      </c>
      <c r="I463" s="25" t="n">
        <v>1510675462</v>
      </c>
      <c r="J463" s="25" t="n">
        <v>2579397.04</v>
      </c>
    </row>
    <row r="464">
      <c r="A464" t="n">
        <v>2019</v>
      </c>
      <c r="B464" t="inlineStr">
        <is>
          <t>GCO</t>
        </is>
      </c>
      <c r="C464" t="inlineStr">
        <is>
          <t>Zircon</t>
        </is>
      </c>
      <c r="D464" t="inlineStr">
        <is>
          <t>Tonne</t>
        </is>
      </c>
      <c r="E464" s="6" t="n">
        <v>3545.219</v>
      </c>
      <c r="F464" s="3" t="n">
        <v>3132088193</v>
      </c>
      <c r="G464" t="inlineStr">
        <is>
          <t>Belgique</t>
        </is>
      </c>
      <c r="H464" s="24" t="n">
        <v>585.67</v>
      </c>
      <c r="I464" s="25" t="n">
        <v>3132088193</v>
      </c>
      <c r="J464" s="25" t="n">
        <v>5347872</v>
      </c>
    </row>
    <row r="465">
      <c r="A465" t="n">
        <v>2019</v>
      </c>
      <c r="B465" t="inlineStr">
        <is>
          <t>GCO</t>
        </is>
      </c>
      <c r="C465" t="inlineStr">
        <is>
          <t>Zircon</t>
        </is>
      </c>
      <c r="D465" t="inlineStr">
        <is>
          <t>Tonne</t>
        </is>
      </c>
      <c r="E465" s="6" t="n">
        <v>432.59</v>
      </c>
      <c r="F465" s="3" t="n">
        <v>407332695</v>
      </c>
      <c r="G465" t="inlineStr">
        <is>
          <t>Brésil</t>
        </is>
      </c>
      <c r="H465" s="24" t="n">
        <v>585.67</v>
      </c>
      <c r="I465" s="25" t="n">
        <v>407332695</v>
      </c>
      <c r="J465" s="25" t="n">
        <v>695498.65</v>
      </c>
    </row>
    <row r="466">
      <c r="A466" t="n">
        <v>2019</v>
      </c>
      <c r="B466" t="inlineStr">
        <is>
          <t>GCO</t>
        </is>
      </c>
      <c r="C466" t="inlineStr">
        <is>
          <t>Zircon</t>
        </is>
      </c>
      <c r="D466" t="inlineStr">
        <is>
          <t>Tonne</t>
        </is>
      </c>
      <c r="E466" s="6" t="n">
        <v>18211.958</v>
      </c>
      <c r="F466" s="3" t="n">
        <v>9588818298</v>
      </c>
      <c r="G466" t="inlineStr">
        <is>
          <t>Chine</t>
        </is>
      </c>
      <c r="H466" s="24" t="n">
        <v>585.67</v>
      </c>
      <c r="I466" s="25" t="n">
        <v>9588818298</v>
      </c>
      <c r="J466" s="25" t="n">
        <v>16372391.1</v>
      </c>
    </row>
    <row r="467">
      <c r="A467" t="n">
        <v>2019</v>
      </c>
      <c r="B467" t="inlineStr">
        <is>
          <t>GCO</t>
        </is>
      </c>
      <c r="C467" t="inlineStr">
        <is>
          <t>Zircon</t>
        </is>
      </c>
      <c r="D467" t="inlineStr">
        <is>
          <t>Tonne</t>
        </is>
      </c>
      <c r="E467" s="6" t="n">
        <v>480</v>
      </c>
      <c r="F467" s="3" t="n">
        <v>287176700</v>
      </c>
      <c r="G467" t="inlineStr">
        <is>
          <t>Corée du Sud</t>
        </is>
      </c>
      <c r="H467" s="24" t="n">
        <v>585.67</v>
      </c>
      <c r="I467" s="25" t="n">
        <v>287176700</v>
      </c>
      <c r="J467" s="25" t="n">
        <v>490338.76</v>
      </c>
    </row>
    <row r="468">
      <c r="A468" t="n">
        <v>2019</v>
      </c>
      <c r="B468" t="inlineStr">
        <is>
          <t>GCO</t>
        </is>
      </c>
      <c r="C468" t="inlineStr">
        <is>
          <t>Zircon</t>
        </is>
      </c>
      <c r="D468" t="inlineStr">
        <is>
          <t>Tonne</t>
        </is>
      </c>
      <c r="E468" s="6" t="n">
        <v>200</v>
      </c>
      <c r="F468" s="3" t="n">
        <v>125996450</v>
      </c>
      <c r="G468" t="inlineStr">
        <is>
          <t>Costa Rica</t>
        </is>
      </c>
      <c r="H468" s="24" t="n">
        <v>585.67</v>
      </c>
      <c r="I468" s="25" t="n">
        <v>125996450</v>
      </c>
      <c r="J468" s="25" t="n">
        <v>215132.16</v>
      </c>
    </row>
    <row r="469">
      <c r="A469" t="n">
        <v>2019</v>
      </c>
      <c r="B469" t="inlineStr">
        <is>
          <t>GCO</t>
        </is>
      </c>
      <c r="C469" t="inlineStr">
        <is>
          <t>Zircon</t>
        </is>
      </c>
      <c r="D469" t="inlineStr">
        <is>
          <t>Tonne</t>
        </is>
      </c>
      <c r="E469" s="6" t="n">
        <v>18835.03</v>
      </c>
      <c r="F469" s="3" t="n">
        <v>16759043528</v>
      </c>
      <c r="G469" t="inlineStr">
        <is>
          <t>Espagne</t>
        </is>
      </c>
      <c r="H469" s="24" t="n">
        <v>585.67</v>
      </c>
      <c r="I469" s="25" t="n">
        <v>16759043528</v>
      </c>
      <c r="J469" s="25" t="n">
        <v>28615164.73</v>
      </c>
    </row>
    <row r="470">
      <c r="A470" t="n">
        <v>2019</v>
      </c>
      <c r="B470" t="inlineStr">
        <is>
          <t>GCO</t>
        </is>
      </c>
      <c r="C470" t="inlineStr">
        <is>
          <t>Zircon</t>
        </is>
      </c>
      <c r="D470" t="inlineStr">
        <is>
          <t>Tonne</t>
        </is>
      </c>
      <c r="E470" s="6" t="n">
        <v>5856.48</v>
      </c>
      <c r="F470" s="3" t="n">
        <v>5698452377</v>
      </c>
      <c r="G470" t="inlineStr">
        <is>
          <t>États-Unis</t>
        </is>
      </c>
      <c r="H470" s="24" t="n">
        <v>585.67</v>
      </c>
      <c r="I470" s="25" t="n">
        <v>5698452377</v>
      </c>
      <c r="J470" s="25" t="n">
        <v>9729800.699999999</v>
      </c>
    </row>
    <row r="471">
      <c r="A471" t="n">
        <v>2019</v>
      </c>
      <c r="B471" t="inlineStr">
        <is>
          <t>GCO</t>
        </is>
      </c>
      <c r="C471" t="inlineStr">
        <is>
          <t>Zircon</t>
        </is>
      </c>
      <c r="D471" t="inlineStr">
        <is>
          <t>Tonne</t>
        </is>
      </c>
      <c r="E471" s="6" t="n">
        <v>1883.97</v>
      </c>
      <c r="F471" s="3" t="n">
        <v>1768991238</v>
      </c>
      <c r="G471" t="inlineStr">
        <is>
          <t>France</t>
        </is>
      </c>
      <c r="H471" s="24" t="n">
        <v>585.67</v>
      </c>
      <c r="I471" s="25" t="n">
        <v>1768991238</v>
      </c>
      <c r="J471" s="25" t="n">
        <v>3020457.32</v>
      </c>
    </row>
    <row r="472">
      <c r="A472" t="n">
        <v>2019</v>
      </c>
      <c r="B472" t="inlineStr">
        <is>
          <t>GCO</t>
        </is>
      </c>
      <c r="C472" t="inlineStr">
        <is>
          <t>Zircon</t>
        </is>
      </c>
      <c r="D472" t="inlineStr">
        <is>
          <t>Tonne</t>
        </is>
      </c>
      <c r="E472" s="6" t="n">
        <v>1005.884</v>
      </c>
      <c r="F472" s="3" t="n">
        <v>235791515</v>
      </c>
      <c r="G472" t="inlineStr">
        <is>
          <t>Hong Kong</t>
        </is>
      </c>
      <c r="H472" s="24" t="n">
        <v>585.67</v>
      </c>
      <c r="I472" s="25" t="n">
        <v>235791515</v>
      </c>
      <c r="J472" s="25" t="n">
        <v>402601.32</v>
      </c>
    </row>
    <row r="473">
      <c r="A473" t="n">
        <v>2019</v>
      </c>
      <c r="B473" t="inlineStr">
        <is>
          <t>GCO</t>
        </is>
      </c>
      <c r="C473" t="inlineStr">
        <is>
          <t>Zircon</t>
        </is>
      </c>
      <c r="D473" t="inlineStr">
        <is>
          <t>Tonne</t>
        </is>
      </c>
      <c r="E473" s="6" t="n">
        <v>787.563</v>
      </c>
      <c r="F473" s="3" t="n">
        <v>697884692</v>
      </c>
      <c r="G473" t="inlineStr">
        <is>
          <t>Inde</t>
        </is>
      </c>
      <c r="H473" s="24" t="n">
        <v>585.67</v>
      </c>
      <c r="I473" s="25" t="n">
        <v>697884692</v>
      </c>
      <c r="J473" s="25" t="n">
        <v>1191600.55</v>
      </c>
    </row>
    <row r="474">
      <c r="A474" t="n">
        <v>2019</v>
      </c>
      <c r="B474" t="inlineStr">
        <is>
          <t>GCO</t>
        </is>
      </c>
      <c r="C474" t="inlineStr">
        <is>
          <t>Zircon</t>
        </is>
      </c>
      <c r="D474" t="inlineStr">
        <is>
          <t>Tonne</t>
        </is>
      </c>
      <c r="E474" s="6" t="n">
        <v>3019.409</v>
      </c>
      <c r="F474" s="3" t="n">
        <v>2752054212</v>
      </c>
      <c r="G474" t="inlineStr">
        <is>
          <t>Italie</t>
        </is>
      </c>
      <c r="H474" s="24" t="n">
        <v>585.67</v>
      </c>
      <c r="I474" s="25" t="n">
        <v>2752054212</v>
      </c>
      <c r="J474" s="25" t="n">
        <v>4698984.43</v>
      </c>
    </row>
    <row r="475">
      <c r="A475" t="n">
        <v>2019</v>
      </c>
      <c r="B475" t="inlineStr">
        <is>
          <t>GCO</t>
        </is>
      </c>
      <c r="C475" t="inlineStr">
        <is>
          <t>Zircon</t>
        </is>
      </c>
      <c r="D475" t="inlineStr">
        <is>
          <t>Tonne</t>
        </is>
      </c>
      <c r="E475" s="6" t="n">
        <v>3581.186</v>
      </c>
      <c r="F475" s="3" t="n">
        <v>3487715930</v>
      </c>
      <c r="G475" t="inlineStr">
        <is>
          <t>Japon</t>
        </is>
      </c>
      <c r="H475" s="24" t="n">
        <v>585.67</v>
      </c>
      <c r="I475" s="25" t="n">
        <v>3487715930</v>
      </c>
      <c r="J475" s="25" t="n">
        <v>5955087.22</v>
      </c>
    </row>
    <row r="476">
      <c r="A476" t="n">
        <v>2019</v>
      </c>
      <c r="B476" t="inlineStr">
        <is>
          <t>GCO</t>
        </is>
      </c>
      <c r="C476" t="inlineStr">
        <is>
          <t>Zircon</t>
        </is>
      </c>
      <c r="D476" t="inlineStr">
        <is>
          <t>Tonne</t>
        </is>
      </c>
      <c r="E476" s="6" t="n">
        <v>300.946</v>
      </c>
      <c r="F476" s="3" t="n">
        <v>280903277</v>
      </c>
      <c r="G476" t="inlineStr">
        <is>
          <t>Malaisie</t>
        </is>
      </c>
      <c r="H476" s="24" t="n">
        <v>585.67</v>
      </c>
      <c r="I476" s="25" t="n">
        <v>280903277</v>
      </c>
      <c r="J476" s="25" t="n">
        <v>479627.23</v>
      </c>
    </row>
    <row r="477">
      <c r="A477" t="n">
        <v>2019</v>
      </c>
      <c r="B477" t="inlineStr">
        <is>
          <t>GCO</t>
        </is>
      </c>
      <c r="C477" t="inlineStr">
        <is>
          <t>Zircon</t>
        </is>
      </c>
      <c r="D477" t="inlineStr">
        <is>
          <t>Tonne</t>
        </is>
      </c>
      <c r="E477" s="6" t="n">
        <v>692.353</v>
      </c>
      <c r="F477" s="3" t="n">
        <v>1318614759</v>
      </c>
      <c r="G477" t="inlineStr">
        <is>
          <t>Mexique</t>
        </is>
      </c>
      <c r="H477" s="24" t="n">
        <v>585.67</v>
      </c>
      <c r="I477" s="25" t="n">
        <v>1318614759</v>
      </c>
      <c r="J477" s="25" t="n">
        <v>2251463.72</v>
      </c>
    </row>
    <row r="478">
      <c r="A478" t="n">
        <v>2019</v>
      </c>
      <c r="B478" t="inlineStr">
        <is>
          <t>GCO</t>
        </is>
      </c>
      <c r="C478" t="inlineStr">
        <is>
          <t>Zircon</t>
        </is>
      </c>
      <c r="D478" t="inlineStr">
        <is>
          <t>Tonne</t>
        </is>
      </c>
      <c r="E478" s="6" t="n">
        <v>881.772</v>
      </c>
      <c r="F478" s="3" t="n">
        <v>819992836</v>
      </c>
      <c r="G478" t="inlineStr">
        <is>
          <t>Monténégro</t>
        </is>
      </c>
      <c r="H478" s="24" t="n">
        <v>585.67</v>
      </c>
      <c r="I478" s="25" t="n">
        <v>819992836</v>
      </c>
      <c r="J478" s="25" t="n">
        <v>1400093.63</v>
      </c>
    </row>
    <row r="479">
      <c r="A479" t="n">
        <v>2019</v>
      </c>
      <c r="B479" t="inlineStr">
        <is>
          <t>GCO</t>
        </is>
      </c>
      <c r="C479" t="inlineStr">
        <is>
          <t>Zircon</t>
        </is>
      </c>
      <c r="D479" t="inlineStr">
        <is>
          <t>Tonne</t>
        </is>
      </c>
      <c r="E479" s="6" t="n">
        <v>1742.801</v>
      </c>
      <c r="F479" s="3" t="n">
        <v>1510053148</v>
      </c>
      <c r="G479" t="inlineStr">
        <is>
          <t>Pays-Bas</t>
        </is>
      </c>
      <c r="H479" s="24" t="n">
        <v>585.67</v>
      </c>
      <c r="I479" s="25" t="n">
        <v>1510053148</v>
      </c>
      <c r="J479" s="25" t="n">
        <v>2578334.47</v>
      </c>
    </row>
    <row r="480">
      <c r="A480" t="n">
        <v>2019</v>
      </c>
      <c r="B480" t="inlineStr">
        <is>
          <t>GCO</t>
        </is>
      </c>
      <c r="C480" t="inlineStr">
        <is>
          <t>Zircon</t>
        </is>
      </c>
      <c r="D480" t="inlineStr">
        <is>
          <t>Tonne</t>
        </is>
      </c>
      <c r="E480" s="6" t="n">
        <v>529.819</v>
      </c>
      <c r="F480" s="3" t="n">
        <v>622824529</v>
      </c>
      <c r="G480" t="inlineStr">
        <is>
          <t>Pologne</t>
        </is>
      </c>
      <c r="H480" s="24" t="n">
        <v>585.67</v>
      </c>
      <c r="I480" s="25" t="n">
        <v>622824529</v>
      </c>
      <c r="J480" s="25" t="n">
        <v>1063439.36</v>
      </c>
    </row>
    <row r="481">
      <c r="A481" t="n">
        <v>2019</v>
      </c>
      <c r="B481" t="inlineStr">
        <is>
          <t>GCO</t>
        </is>
      </c>
      <c r="C481" t="inlineStr">
        <is>
          <t>Zircon</t>
        </is>
      </c>
      <c r="D481" t="inlineStr">
        <is>
          <t>Tonne</t>
        </is>
      </c>
      <c r="E481" s="6" t="n">
        <v>59.114</v>
      </c>
      <c r="F481" s="3" t="n">
        <v>54513959</v>
      </c>
      <c r="G481" t="inlineStr">
        <is>
          <t>Royaume-Uni</t>
        </is>
      </c>
      <c r="H481" s="24" t="n">
        <v>585.67</v>
      </c>
      <c r="I481" s="25" t="n">
        <v>54513959</v>
      </c>
      <c r="J481" s="25" t="n">
        <v>93079.64999999999</v>
      </c>
    </row>
    <row r="482">
      <c r="A482" t="n">
        <v>2019</v>
      </c>
      <c r="B482" t="inlineStr">
        <is>
          <t>GCO</t>
        </is>
      </c>
      <c r="C482" t="inlineStr">
        <is>
          <t>Zircon</t>
        </is>
      </c>
      <c r="D482" t="inlineStr">
        <is>
          <t>Tonne</t>
        </is>
      </c>
      <c r="E482" s="6" t="n">
        <v>22610.453</v>
      </c>
      <c r="F482" s="3" t="n">
        <v>7952913239</v>
      </c>
      <c r="G482" t="inlineStr">
        <is>
          <t>Suisse</t>
        </is>
      </c>
      <c r="H482" s="24" t="n">
        <v>585.67</v>
      </c>
      <c r="I482" s="25" t="n">
        <v>7952913239</v>
      </c>
      <c r="J482" s="25" t="n">
        <v>13579171.27</v>
      </c>
    </row>
    <row r="483">
      <c r="A483" t="n">
        <v>2019</v>
      </c>
      <c r="B483" t="inlineStr">
        <is>
          <t>GCO</t>
        </is>
      </c>
      <c r="C483" t="inlineStr">
        <is>
          <t>Zircon</t>
        </is>
      </c>
      <c r="D483" t="inlineStr">
        <is>
          <t>Tonne</t>
        </is>
      </c>
      <c r="E483" s="6" t="n">
        <v>1652.912</v>
      </c>
      <c r="F483" s="3" t="n">
        <v>1458268587</v>
      </c>
      <c r="G483" t="inlineStr">
        <is>
          <t>Turquie</t>
        </is>
      </c>
      <c r="H483" s="24" t="n">
        <v>585.67</v>
      </c>
      <c r="I483" s="25" t="n">
        <v>1458268587</v>
      </c>
      <c r="J483" s="25" t="n">
        <v>2489915.12</v>
      </c>
    </row>
    <row r="484">
      <c r="A484" t="n">
        <v>2019</v>
      </c>
      <c r="B484" t="inlineStr">
        <is>
          <t>GCO</t>
        </is>
      </c>
      <c r="C484" t="inlineStr">
        <is>
          <t>Zircon</t>
        </is>
      </c>
      <c r="D484" t="inlineStr">
        <is>
          <t>Tonne</t>
        </is>
      </c>
      <c r="E484" s="6" t="n">
        <v>60</v>
      </c>
      <c r="F484" s="3" t="n">
        <v>24394860</v>
      </c>
      <c r="G484" t="inlineStr">
        <is>
          <t>Ukraine</t>
        </is>
      </c>
      <c r="H484" s="24" t="n">
        <v>585.67</v>
      </c>
      <c r="I484" s="25" t="n">
        <v>24394860</v>
      </c>
      <c r="J484" s="25" t="n">
        <v>41652.91</v>
      </c>
    </row>
    <row r="485">
      <c r="A485" t="n">
        <v>2019</v>
      </c>
      <c r="B485" t="inlineStr">
        <is>
          <t>GCO</t>
        </is>
      </c>
      <c r="C485" t="inlineStr">
        <is>
          <t>Zircon</t>
        </is>
      </c>
      <c r="D485" t="inlineStr">
        <is>
          <t>Tonne</t>
        </is>
      </c>
      <c r="E485" s="6" t="n">
        <v>40.013</v>
      </c>
      <c r="F485" s="3" t="n">
        <v>32994042</v>
      </c>
      <c r="G485" t="inlineStr">
        <is>
          <t>Vietnam</t>
        </is>
      </c>
      <c r="H485" s="24" t="n">
        <v>585.67</v>
      </c>
      <c r="I485" s="25" t="n">
        <v>32994042</v>
      </c>
      <c r="J485" s="25" t="n">
        <v>56335.55</v>
      </c>
    </row>
    <row r="486">
      <c r="A486" t="n">
        <v>2020</v>
      </c>
      <c r="B486" t="inlineStr">
        <is>
          <t>PMC</t>
        </is>
      </c>
      <c r="C486" t="inlineStr">
        <is>
          <t>Or</t>
        </is>
      </c>
      <c r="D486" t="inlineStr">
        <is>
          <t>Tonne</t>
        </is>
      </c>
      <c r="E486" s="8" t="n">
        <v>3.99228676</v>
      </c>
      <c r="F486" s="3" t="n">
        <v>117267141286</v>
      </c>
      <c r="G486" t="inlineStr">
        <is>
          <t>Australie</t>
        </is>
      </c>
      <c r="H486" s="24" t="n">
        <v>575.59</v>
      </c>
      <c r="I486" s="25" t="n">
        <v>117267141286</v>
      </c>
      <c r="J486" s="25" t="n">
        <v>203733805.81</v>
      </c>
    </row>
    <row r="487">
      <c r="A487" t="n">
        <v>2020</v>
      </c>
      <c r="B487" t="inlineStr">
        <is>
          <t>PMC</t>
        </is>
      </c>
      <c r="C487" t="inlineStr">
        <is>
          <t>Or</t>
        </is>
      </c>
      <c r="D487" t="inlineStr">
        <is>
          <t>Tonne</t>
        </is>
      </c>
      <c r="E487" s="8" t="n">
        <v>1.32049811</v>
      </c>
      <c r="F487" s="3" t="n">
        <v>39522643736</v>
      </c>
      <c r="G487" t="inlineStr">
        <is>
          <t>Suisse</t>
        </is>
      </c>
      <c r="H487" s="24" t="n">
        <v>575.59</v>
      </c>
      <c r="I487" s="25" t="n">
        <v>39522643736</v>
      </c>
      <c r="J487" s="25" t="n">
        <v>68664576.76000001</v>
      </c>
    </row>
    <row r="488">
      <c r="A488" t="n">
        <v>2020</v>
      </c>
      <c r="B488" t="inlineStr">
        <is>
          <t>SGO</t>
        </is>
      </c>
      <c r="C488" t="inlineStr">
        <is>
          <t>Or</t>
        </is>
      </c>
      <c r="D488" t="inlineStr">
        <is>
          <t>Tonne</t>
        </is>
      </c>
      <c r="E488" s="8" t="n">
        <v>0.26437955</v>
      </c>
      <c r="F488" s="3" t="n">
        <v>8692666730</v>
      </c>
      <c r="G488" t="inlineStr">
        <is>
          <t>Sénégal</t>
        </is>
      </c>
      <c r="H488" s="24" t="n">
        <v>575.59</v>
      </c>
      <c r="I488" s="25" t="n">
        <v>8692666730</v>
      </c>
      <c r="J488" s="25" t="n">
        <v>15102185.11</v>
      </c>
    </row>
    <row r="489">
      <c r="A489" t="n">
        <v>2020</v>
      </c>
      <c r="B489" t="inlineStr">
        <is>
          <t>SGO</t>
        </is>
      </c>
      <c r="C489" t="inlineStr">
        <is>
          <t>Or</t>
        </is>
      </c>
      <c r="D489" t="inlineStr">
        <is>
          <t>Tonne</t>
        </is>
      </c>
      <c r="E489" s="8" t="n">
        <v>6.77713656</v>
      </c>
      <c r="F489" s="3" t="n">
        <v>220079268751</v>
      </c>
      <c r="G489" t="inlineStr">
        <is>
          <t>Suisse</t>
        </is>
      </c>
      <c r="H489" s="24" t="n">
        <v>575.59</v>
      </c>
      <c r="I489" s="25" t="n">
        <v>220079268751</v>
      </c>
      <c r="J489" s="25" t="n">
        <v>382354225.67</v>
      </c>
    </row>
    <row r="490">
      <c r="A490" t="n">
        <v>2020</v>
      </c>
      <c r="B490" t="inlineStr">
        <is>
          <t>PMC</t>
        </is>
      </c>
      <c r="C490" t="inlineStr">
        <is>
          <t>Argent</t>
        </is>
      </c>
      <c r="D490" t="inlineStr">
        <is>
          <t>Tonne</t>
        </is>
      </c>
      <c r="E490" s="8" t="n">
        <v>0.5904373000000001</v>
      </c>
      <c r="F490" s="3" t="n">
        <v>219911782</v>
      </c>
      <c r="G490" t="inlineStr">
        <is>
          <t>Australie</t>
        </is>
      </c>
      <c r="H490" s="24" t="n">
        <v>575.59</v>
      </c>
      <c r="I490" s="25" t="n">
        <v>219911782</v>
      </c>
      <c r="J490" s="25" t="n">
        <v>382063.24</v>
      </c>
    </row>
    <row r="491">
      <c r="A491" t="n">
        <v>2020</v>
      </c>
      <c r="B491" t="inlineStr">
        <is>
          <t>PMC</t>
        </is>
      </c>
      <c r="C491" t="inlineStr">
        <is>
          <t>Argent</t>
        </is>
      </c>
      <c r="D491" t="inlineStr">
        <is>
          <t>Tonne</t>
        </is>
      </c>
      <c r="E491" s="8" t="n">
        <v>0.49970846</v>
      </c>
      <c r="F491" s="3" t="n">
        <v>193308323</v>
      </c>
      <c r="G491" t="inlineStr">
        <is>
          <t>Suisse</t>
        </is>
      </c>
      <c r="H491" s="24" t="n">
        <v>575.59</v>
      </c>
      <c r="I491" s="25" t="n">
        <v>193308323</v>
      </c>
      <c r="J491" s="25" t="n">
        <v>335843.78</v>
      </c>
    </row>
    <row r="492">
      <c r="A492" t="n">
        <v>2020</v>
      </c>
      <c r="B492" t="inlineStr">
        <is>
          <t>CDS</t>
        </is>
      </c>
      <c r="C492" t="inlineStr">
        <is>
          <t>Ciment</t>
        </is>
      </c>
      <c r="D492" t="inlineStr">
        <is>
          <t>Tonne</t>
        </is>
      </c>
      <c r="E492" s="3" t="n">
        <v>912826</v>
      </c>
      <c r="F492" s="3" t="n">
        <v>36347814225</v>
      </c>
      <c r="G492" t="inlineStr">
        <is>
          <t>NC</t>
        </is>
      </c>
      <c r="H492" s="24" t="n">
        <v>575.59</v>
      </c>
      <c r="I492" s="25" t="n">
        <v>36347814225</v>
      </c>
      <c r="J492" s="25" t="n">
        <v>63148793.8</v>
      </c>
    </row>
    <row r="493">
      <c r="A493" t="n">
        <v>2020</v>
      </c>
      <c r="B493" t="inlineStr">
        <is>
          <t>SOCOCIM</t>
        </is>
      </c>
      <c r="C493" t="inlineStr">
        <is>
          <t>Ciment</t>
        </is>
      </c>
      <c r="D493" t="inlineStr">
        <is>
          <t>Tonne</t>
        </is>
      </c>
      <c r="E493" s="3" t="n">
        <v>55</v>
      </c>
      <c r="F493" s="3" t="n">
        <v>2200000</v>
      </c>
      <c r="G493" t="inlineStr">
        <is>
          <t>Côte d'Ivoire</t>
        </is>
      </c>
      <c r="H493" s="24" t="n">
        <v>575.59</v>
      </c>
      <c r="I493" s="25" t="n">
        <v>2200000</v>
      </c>
      <c r="J493" s="25" t="n">
        <v>3822.17</v>
      </c>
    </row>
    <row r="494">
      <c r="A494" t="n">
        <v>2020</v>
      </c>
      <c r="B494" t="inlineStr">
        <is>
          <t>SOCOCIM</t>
        </is>
      </c>
      <c r="C494" t="inlineStr">
        <is>
          <t>Ciment</t>
        </is>
      </c>
      <c r="D494" t="inlineStr">
        <is>
          <t>Tonne</t>
        </is>
      </c>
      <c r="E494" s="3" t="n">
        <v>47997</v>
      </c>
      <c r="F494" s="3" t="n">
        <v>1895035605</v>
      </c>
      <c r="G494" t="inlineStr">
        <is>
          <t>Gambie</t>
        </is>
      </c>
      <c r="H494" s="24" t="n">
        <v>575.59</v>
      </c>
      <c r="I494" s="25" t="n">
        <v>1895035605</v>
      </c>
      <c r="J494" s="25" t="n">
        <v>3292335.87</v>
      </c>
    </row>
    <row r="495">
      <c r="A495" t="n">
        <v>2020</v>
      </c>
      <c r="B495" t="inlineStr">
        <is>
          <t>SOCOCIM</t>
        </is>
      </c>
      <c r="C495" t="inlineStr">
        <is>
          <t>Ciment</t>
        </is>
      </c>
      <c r="D495" t="inlineStr">
        <is>
          <t>Tonne</t>
        </is>
      </c>
      <c r="E495" s="3" t="n">
        <v>740</v>
      </c>
      <c r="F495" s="3" t="n">
        <v>29230000</v>
      </c>
      <c r="G495" t="inlineStr">
        <is>
          <t>Guinée</t>
        </is>
      </c>
      <c r="H495" s="24" t="n">
        <v>575.59</v>
      </c>
      <c r="I495" s="25" t="n">
        <v>29230000</v>
      </c>
      <c r="J495" s="25" t="n">
        <v>50782.68</v>
      </c>
    </row>
    <row r="496">
      <c r="A496" t="n">
        <v>2020</v>
      </c>
      <c r="B496" t="inlineStr">
        <is>
          <t>SOCOCIM</t>
        </is>
      </c>
      <c r="C496" t="inlineStr">
        <is>
          <t>Ciment</t>
        </is>
      </c>
      <c r="D496" t="inlineStr">
        <is>
          <t>Tonne</t>
        </is>
      </c>
      <c r="E496" s="3" t="n">
        <v>7399</v>
      </c>
      <c r="F496" s="3" t="n">
        <v>386707522</v>
      </c>
      <c r="G496" t="inlineStr">
        <is>
          <t>Guinée-Bissau</t>
        </is>
      </c>
      <c r="H496" s="24" t="n">
        <v>575.59</v>
      </c>
      <c r="I496" s="25" t="n">
        <v>386707522</v>
      </c>
      <c r="J496" s="25" t="n">
        <v>671845.45</v>
      </c>
    </row>
    <row r="497">
      <c r="A497" t="n">
        <v>2020</v>
      </c>
      <c r="B497" t="inlineStr">
        <is>
          <t>SOCOCIM</t>
        </is>
      </c>
      <c r="C497" t="inlineStr">
        <is>
          <t>Ciment</t>
        </is>
      </c>
      <c r="D497" t="inlineStr">
        <is>
          <t>Tonne</t>
        </is>
      </c>
      <c r="E497" s="3" t="n">
        <v>191134</v>
      </c>
      <c r="F497" s="3" t="n">
        <v>7698913592</v>
      </c>
      <c r="G497" t="inlineStr">
        <is>
          <t>Mali</t>
        </is>
      </c>
      <c r="H497" s="24" t="n">
        <v>575.59</v>
      </c>
      <c r="I497" s="25" t="n">
        <v>7698913592</v>
      </c>
      <c r="J497" s="25" t="n">
        <v>13375690.32</v>
      </c>
    </row>
    <row r="498">
      <c r="A498" t="n">
        <v>2020</v>
      </c>
      <c r="B498" t="inlineStr">
        <is>
          <t>SOCOCIM</t>
        </is>
      </c>
      <c r="C498" t="inlineStr">
        <is>
          <t>Ciment</t>
        </is>
      </c>
      <c r="D498" t="inlineStr">
        <is>
          <t>Tonne</t>
        </is>
      </c>
      <c r="E498" s="3" t="n">
        <v>8616</v>
      </c>
      <c r="F498" s="3" t="n">
        <v>337302697</v>
      </c>
      <c r="G498" t="inlineStr">
        <is>
          <t>Mauritanie</t>
        </is>
      </c>
      <c r="H498" s="24" t="n">
        <v>575.59</v>
      </c>
      <c r="I498" s="25" t="n">
        <v>337302697</v>
      </c>
      <c r="J498" s="25" t="n">
        <v>586012.09</v>
      </c>
    </row>
    <row r="499">
      <c r="A499" t="n">
        <v>2020</v>
      </c>
      <c r="B499" t="inlineStr">
        <is>
          <t>DANGOTE</t>
        </is>
      </c>
      <c r="C499" t="inlineStr">
        <is>
          <t>Ciment</t>
        </is>
      </c>
      <c r="D499" t="inlineStr">
        <is>
          <t>Tonne</t>
        </is>
      </c>
      <c r="E499" s="3" t="n">
        <v>80550</v>
      </c>
      <c r="F499" s="3" t="n">
        <v>2949893720</v>
      </c>
      <c r="G499" t="inlineStr">
        <is>
          <t>Gambie</t>
        </is>
      </c>
      <c r="H499" s="24" t="n">
        <v>575.59</v>
      </c>
      <c r="I499" s="25" t="n">
        <v>2949893720</v>
      </c>
      <c r="J499" s="25" t="n">
        <v>5124991.26</v>
      </c>
    </row>
    <row r="500">
      <c r="A500" t="n">
        <v>2020</v>
      </c>
      <c r="B500" t="inlineStr">
        <is>
          <t>DANGOTE</t>
        </is>
      </c>
      <c r="C500" t="inlineStr">
        <is>
          <t>Ciment</t>
        </is>
      </c>
      <c r="D500" t="inlineStr">
        <is>
          <t>Tonne</t>
        </is>
      </c>
      <c r="E500" s="3" t="n">
        <v>4097</v>
      </c>
      <c r="F500" s="3" t="n">
        <v>150315420</v>
      </c>
      <c r="G500" t="inlineStr">
        <is>
          <t>Guinée-Bissau</t>
        </is>
      </c>
      <c r="H500" s="24" t="n">
        <v>575.59</v>
      </c>
      <c r="I500" s="25" t="n">
        <v>150315420</v>
      </c>
      <c r="J500" s="25" t="n">
        <v>261150.16</v>
      </c>
    </row>
    <row r="501">
      <c r="A501" t="n">
        <v>2020</v>
      </c>
      <c r="B501" t="inlineStr">
        <is>
          <t>DANGOTE</t>
        </is>
      </c>
      <c r="C501" t="inlineStr">
        <is>
          <t>Ciment</t>
        </is>
      </c>
      <c r="D501" t="inlineStr">
        <is>
          <t>Tonne</t>
        </is>
      </c>
      <c r="E501" s="3" t="n">
        <v>316067</v>
      </c>
      <c r="F501" s="3" t="n">
        <v>12349792020</v>
      </c>
      <c r="G501" t="inlineStr">
        <is>
          <t>Mali</t>
        </is>
      </c>
      <c r="H501" s="24" t="n">
        <v>575.59</v>
      </c>
      <c r="I501" s="25" t="n">
        <v>12349792020</v>
      </c>
      <c r="J501" s="25" t="n">
        <v>21455883.56</v>
      </c>
    </row>
    <row r="502">
      <c r="A502" t="n">
        <v>2020</v>
      </c>
      <c r="B502" t="inlineStr">
        <is>
          <t>SOCOCIM</t>
        </is>
      </c>
      <c r="C502" t="inlineStr">
        <is>
          <t>Clinker</t>
        </is>
      </c>
      <c r="D502" t="inlineStr">
        <is>
          <t>Tonne</t>
        </is>
      </c>
      <c r="E502" s="3" t="n">
        <v>226093</v>
      </c>
      <c r="F502" s="3" t="n">
        <v>7234987200</v>
      </c>
      <c r="G502" t="inlineStr">
        <is>
          <t>Mali</t>
        </is>
      </c>
      <c r="H502" s="24" t="n">
        <v>575.59</v>
      </c>
      <c r="I502" s="25" t="n">
        <v>7234987200</v>
      </c>
      <c r="J502" s="25" t="n">
        <v>12569688.84</v>
      </c>
    </row>
    <row r="503">
      <c r="A503" t="n">
        <v>2020</v>
      </c>
      <c r="B503" t="inlineStr">
        <is>
          <t>SOCOCIM</t>
        </is>
      </c>
      <c r="C503" t="inlineStr">
        <is>
          <t>Autres</t>
        </is>
      </c>
      <c r="D503" t="inlineStr">
        <is>
          <t>NC</t>
        </is>
      </c>
      <c r="E503" t="inlineStr">
        <is>
          <t>NC</t>
        </is>
      </c>
      <c r="F503" s="3" t="n">
        <v>5247656</v>
      </c>
      <c r="G503" t="inlineStr">
        <is>
          <t>France</t>
        </is>
      </c>
      <c r="H503" s="24" t="n">
        <v>575.59</v>
      </c>
      <c r="I503" s="25" t="n">
        <v>5247656</v>
      </c>
      <c r="J503" s="25" t="n">
        <v>9117</v>
      </c>
    </row>
    <row r="504">
      <c r="A504" t="n">
        <v>2020</v>
      </c>
      <c r="B504" t="inlineStr">
        <is>
          <t>SOCOCIM</t>
        </is>
      </c>
      <c r="C504" t="inlineStr">
        <is>
          <t>Autres</t>
        </is>
      </c>
      <c r="D504" t="inlineStr">
        <is>
          <t>NC</t>
        </is>
      </c>
      <c r="E504" t="inlineStr">
        <is>
          <t>NC</t>
        </is>
      </c>
      <c r="F504" s="3" t="n">
        <v>11894800</v>
      </c>
      <c r="G504" t="inlineStr">
        <is>
          <t>Mali</t>
        </is>
      </c>
      <c r="H504" s="24" t="n">
        <v>575.59</v>
      </c>
      <c r="I504" s="25" t="n">
        <v>11894800</v>
      </c>
      <c r="J504" s="25" t="n">
        <v>20665.4</v>
      </c>
    </row>
    <row r="505">
      <c r="A505" t="n">
        <v>2020</v>
      </c>
      <c r="B505" t="inlineStr">
        <is>
          <t>SSPT</t>
        </is>
      </c>
      <c r="C505" t="inlineStr">
        <is>
          <t>Attapulgite</t>
        </is>
      </c>
      <c r="D505" t="inlineStr">
        <is>
          <t>Tonne</t>
        </is>
      </c>
      <c r="E505" s="3" t="n">
        <v>67092</v>
      </c>
      <c r="F505" s="3" t="n">
        <v>2972523698</v>
      </c>
      <c r="G505" t="inlineStr">
        <is>
          <t>Royaume-Uni</t>
        </is>
      </c>
      <c r="H505" s="24" t="n">
        <v>575.59</v>
      </c>
      <c r="I505" s="25" t="n">
        <v>2972523698</v>
      </c>
      <c r="J505" s="25" t="n">
        <v>5164307.4</v>
      </c>
    </row>
    <row r="506">
      <c r="A506" t="n">
        <v>2020</v>
      </c>
      <c r="B506" t="inlineStr">
        <is>
          <t>SSPT</t>
        </is>
      </c>
      <c r="C506" t="inlineStr">
        <is>
          <t>Attapulgite</t>
        </is>
      </c>
      <c r="D506" t="inlineStr">
        <is>
          <t>Tonne</t>
        </is>
      </c>
      <c r="E506" s="3" t="n">
        <v>68552</v>
      </c>
      <c r="F506" s="3" t="n">
        <v>3076614293</v>
      </c>
      <c r="G506" t="inlineStr">
        <is>
          <t>France</t>
        </is>
      </c>
      <c r="H506" s="24" t="n">
        <v>575.59</v>
      </c>
      <c r="I506" s="25" t="n">
        <v>3076614293</v>
      </c>
      <c r="J506" s="25" t="n">
        <v>5345148.97</v>
      </c>
    </row>
    <row r="507">
      <c r="A507" t="n">
        <v>2020</v>
      </c>
      <c r="B507" t="inlineStr">
        <is>
          <t>SSPT</t>
        </is>
      </c>
      <c r="C507" t="inlineStr">
        <is>
          <t>Attapulgite</t>
        </is>
      </c>
      <c r="D507" t="inlineStr">
        <is>
          <t>Tonne</t>
        </is>
      </c>
      <c r="E507" s="3" t="n">
        <v>46688</v>
      </c>
      <c r="F507" s="3" t="n">
        <v>2051437212</v>
      </c>
      <c r="G507" t="inlineStr">
        <is>
          <t>Pays-Bas</t>
        </is>
      </c>
      <c r="H507" s="24" t="n">
        <v>575.59</v>
      </c>
      <c r="I507" s="25" t="n">
        <v>2051437212</v>
      </c>
      <c r="J507" s="25" t="n">
        <v>3564059.86</v>
      </c>
    </row>
    <row r="508">
      <c r="A508" t="n">
        <v>2020</v>
      </c>
      <c r="B508" t="inlineStr">
        <is>
          <t>SOMIVA</t>
        </is>
      </c>
      <c r="C508" t="inlineStr">
        <is>
          <t>Phosphate</t>
        </is>
      </c>
      <c r="D508" t="inlineStr">
        <is>
          <t>Tonne</t>
        </is>
      </c>
      <c r="E508" t="inlineStr">
        <is>
          <t>NC</t>
        </is>
      </c>
      <c r="F508" s="3" t="n">
        <v>4149925243</v>
      </c>
      <c r="G508" t="inlineStr">
        <is>
          <t>Liban</t>
        </is>
      </c>
      <c r="H508" s="24" t="n">
        <v>575.59</v>
      </c>
      <c r="I508" s="25" t="n">
        <v>4149925243</v>
      </c>
      <c r="J508" s="25" t="n">
        <v>7209863.35</v>
      </c>
    </row>
    <row r="509">
      <c r="A509" t="n">
        <v>2020</v>
      </c>
      <c r="B509" t="inlineStr">
        <is>
          <t>SOMIVA</t>
        </is>
      </c>
      <c r="C509" t="inlineStr">
        <is>
          <t>Phosphate</t>
        </is>
      </c>
      <c r="D509" t="inlineStr">
        <is>
          <t>Tonne</t>
        </is>
      </c>
      <c r="E509" t="inlineStr">
        <is>
          <t>NC</t>
        </is>
      </c>
      <c r="F509" s="3" t="n">
        <v>7083605121</v>
      </c>
      <c r="G509" t="inlineStr">
        <is>
          <t>Suisse</t>
        </is>
      </c>
      <c r="H509" s="24" t="n">
        <v>575.59</v>
      </c>
      <c r="I509" s="25" t="n">
        <v>7083605121</v>
      </c>
      <c r="J509" s="25" t="n">
        <v>12306685.52</v>
      </c>
    </row>
    <row r="510">
      <c r="A510" t="n">
        <v>2020</v>
      </c>
      <c r="B510" t="inlineStr">
        <is>
          <t>SEPHOS</t>
        </is>
      </c>
      <c r="C510" t="inlineStr">
        <is>
          <t>Phosphate</t>
        </is>
      </c>
      <c r="D510" t="inlineStr">
        <is>
          <t>Tonne</t>
        </is>
      </c>
      <c r="E510" s="3" t="n">
        <v>21914</v>
      </c>
      <c r="F510" s="3" t="n">
        <v>522260835</v>
      </c>
      <c r="G510" t="inlineStr">
        <is>
          <t>Espagne</t>
        </is>
      </c>
      <c r="H510" s="24" t="n">
        <v>575.59</v>
      </c>
      <c r="I510" s="25" t="n">
        <v>522260835</v>
      </c>
      <c r="J510" s="25" t="n">
        <v>907348.6899999999</v>
      </c>
    </row>
    <row r="511">
      <c r="A511" t="n">
        <v>2020</v>
      </c>
      <c r="B511" t="inlineStr">
        <is>
          <t>SEPHOS</t>
        </is>
      </c>
      <c r="C511" t="inlineStr">
        <is>
          <t>Phosphate</t>
        </is>
      </c>
      <c r="D511" t="inlineStr">
        <is>
          <t>Tonne</t>
        </is>
      </c>
      <c r="E511" s="3" t="n">
        <v>1215</v>
      </c>
      <c r="F511" s="3" t="n">
        <v>68362503</v>
      </c>
      <c r="G511" t="inlineStr">
        <is>
          <t>Malaisie</t>
        </is>
      </c>
      <c r="H511" s="24" t="n">
        <v>575.59</v>
      </c>
      <c r="I511" s="25" t="n">
        <v>68362503</v>
      </c>
      <c r="J511" s="25" t="n">
        <v>118769.44</v>
      </c>
    </row>
    <row r="512">
      <c r="A512" t="n">
        <v>2020</v>
      </c>
      <c r="B512" t="inlineStr">
        <is>
          <t>SEPHOS</t>
        </is>
      </c>
      <c r="C512" t="inlineStr">
        <is>
          <t>Phosphate</t>
        </is>
      </c>
      <c r="D512" t="inlineStr">
        <is>
          <t>Tonne</t>
        </is>
      </c>
      <c r="E512" s="3" t="n">
        <v>6550</v>
      </c>
      <c r="F512" s="3" t="n">
        <v>182076638</v>
      </c>
      <c r="G512" t="inlineStr">
        <is>
          <t>Panama</t>
        </is>
      </c>
      <c r="H512" s="24" t="n">
        <v>575.59</v>
      </c>
      <c r="I512" s="25" t="n">
        <v>182076638</v>
      </c>
      <c r="J512" s="25" t="n">
        <v>316330.44</v>
      </c>
    </row>
    <row r="513">
      <c r="A513" t="n">
        <v>2020</v>
      </c>
      <c r="B513" t="inlineStr">
        <is>
          <t>SEPHOS</t>
        </is>
      </c>
      <c r="C513" t="inlineStr">
        <is>
          <t>Phosphate</t>
        </is>
      </c>
      <c r="D513" t="inlineStr">
        <is>
          <t>Tonne</t>
        </is>
      </c>
      <c r="E513" s="3" t="n">
        <v>28174</v>
      </c>
      <c r="F513" s="3" t="n">
        <v>844048602</v>
      </c>
      <c r="G513" t="inlineStr">
        <is>
          <t>Sénégal</t>
        </is>
      </c>
      <c r="H513" s="24" t="n">
        <v>575.59</v>
      </c>
      <c r="I513" s="25" t="n">
        <v>844048602</v>
      </c>
      <c r="J513" s="25" t="n">
        <v>1466405.95</v>
      </c>
    </row>
    <row r="514">
      <c r="A514" t="n">
        <v>2020</v>
      </c>
      <c r="B514" t="inlineStr">
        <is>
          <t>SEPHOS</t>
        </is>
      </c>
      <c r="C514" t="inlineStr">
        <is>
          <t>Phosphate</t>
        </is>
      </c>
      <c r="D514" t="inlineStr">
        <is>
          <t>Tonne</t>
        </is>
      </c>
      <c r="E514" s="3" t="n">
        <v>25</v>
      </c>
      <c r="F514" s="3" t="n">
        <v>2100930</v>
      </c>
      <c r="G514" t="inlineStr">
        <is>
          <t>Sierra Leone</t>
        </is>
      </c>
      <c r="H514" s="24" t="n">
        <v>575.59</v>
      </c>
      <c r="I514" s="25" t="n">
        <v>2100930</v>
      </c>
      <c r="J514" s="25" t="n">
        <v>3650.05</v>
      </c>
    </row>
    <row r="515">
      <c r="A515" t="n">
        <v>2020</v>
      </c>
      <c r="B515" t="inlineStr">
        <is>
          <t>SEPHOS</t>
        </is>
      </c>
      <c r="C515" t="inlineStr">
        <is>
          <t>Phosphate</t>
        </is>
      </c>
      <c r="D515" t="inlineStr">
        <is>
          <t>Tonne</t>
        </is>
      </c>
      <c r="E515" s="3" t="n">
        <v>432</v>
      </c>
      <c r="F515" s="3" t="n">
        <v>19404880</v>
      </c>
      <c r="G515" t="inlineStr">
        <is>
          <t>Thaïlande</t>
        </is>
      </c>
      <c r="H515" s="24" t="n">
        <v>575.59</v>
      </c>
      <c r="I515" s="25" t="n">
        <v>19404880</v>
      </c>
      <c r="J515" s="25" t="n">
        <v>33713.02</v>
      </c>
    </row>
    <row r="516">
      <c r="A516" t="n">
        <v>2020</v>
      </c>
      <c r="B516" t="inlineStr">
        <is>
          <t>GCO</t>
        </is>
      </c>
      <c r="C516" t="inlineStr">
        <is>
          <t>Sables minéralisés</t>
        </is>
      </c>
      <c r="D516" t="inlineStr">
        <is>
          <t>Tonne</t>
        </is>
      </c>
      <c r="E516" s="3" t="n">
        <v>598</v>
      </c>
      <c r="F516" s="3" t="n">
        <v>498805389</v>
      </c>
      <c r="G516" t="inlineStr">
        <is>
          <t>Australie</t>
        </is>
      </c>
      <c r="H516" s="24" t="n">
        <v>575.59</v>
      </c>
      <c r="I516" s="25" t="n">
        <v>498805389</v>
      </c>
      <c r="J516" s="25" t="n">
        <v>866598.4300000001</v>
      </c>
    </row>
    <row r="517">
      <c r="A517" t="n">
        <v>2020</v>
      </c>
      <c r="B517" t="inlineStr">
        <is>
          <t>GCO</t>
        </is>
      </c>
      <c r="C517" t="inlineStr">
        <is>
          <t>Sables minéralisés</t>
        </is>
      </c>
      <c r="D517" t="inlineStr">
        <is>
          <t>Tonne</t>
        </is>
      </c>
      <c r="E517" s="3" t="n">
        <v>496</v>
      </c>
      <c r="F517" s="3" t="n">
        <v>391062137</v>
      </c>
      <c r="G517" t="inlineStr">
        <is>
          <t>Brésil</t>
        </is>
      </c>
      <c r="H517" s="24" t="n">
        <v>575.59</v>
      </c>
      <c r="I517" s="25" t="n">
        <v>391062137</v>
      </c>
      <c r="J517" s="25" t="n">
        <v>679410.9300000001</v>
      </c>
    </row>
    <row r="518">
      <c r="A518" t="n">
        <v>2020</v>
      </c>
      <c r="B518" t="inlineStr">
        <is>
          <t>GCO</t>
        </is>
      </c>
      <c r="C518" t="inlineStr">
        <is>
          <t>Sables minéralisés</t>
        </is>
      </c>
      <c r="D518" t="inlineStr">
        <is>
          <t>Tonne</t>
        </is>
      </c>
      <c r="E518" s="3" t="n">
        <v>93975</v>
      </c>
      <c r="F518" s="3" t="n">
        <v>22588939916</v>
      </c>
      <c r="G518" t="inlineStr">
        <is>
          <t>Chine</t>
        </is>
      </c>
      <c r="H518" s="24" t="n">
        <v>575.59</v>
      </c>
      <c r="I518" s="25" t="n">
        <v>22588939916</v>
      </c>
      <c r="J518" s="25"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4" t="n">
        <v>575.59</v>
      </c>
      <c r="I519" s="25" t="n">
        <v>1003919140</v>
      </c>
      <c r="J519" s="25" t="n">
        <v>1744156.67</v>
      </c>
    </row>
    <row r="520">
      <c r="A520" t="n">
        <v>2020</v>
      </c>
      <c r="B520" t="inlineStr">
        <is>
          <t>GCO</t>
        </is>
      </c>
      <c r="C520" t="inlineStr">
        <is>
          <t>Sables minéralisés</t>
        </is>
      </c>
      <c r="D520" t="inlineStr">
        <is>
          <t>Tonne</t>
        </is>
      </c>
      <c r="E520" s="3" t="n">
        <v>1180</v>
      </c>
      <c r="F520" s="3" t="n">
        <v>579478970</v>
      </c>
      <c r="G520" t="inlineStr">
        <is>
          <t>Royaume-Uni</t>
        </is>
      </c>
      <c r="H520" s="24" t="n">
        <v>575.59</v>
      </c>
      <c r="I520" s="25" t="n">
        <v>579478970</v>
      </c>
      <c r="J520" s="25" t="n">
        <v>1006756.49</v>
      </c>
    </row>
    <row r="521">
      <c r="A521" t="n">
        <v>2020</v>
      </c>
      <c r="B521" t="inlineStr">
        <is>
          <t>GCO</t>
        </is>
      </c>
      <c r="C521" t="inlineStr">
        <is>
          <t>Sables minéralisés</t>
        </is>
      </c>
      <c r="D521" t="inlineStr">
        <is>
          <t>Tonne</t>
        </is>
      </c>
      <c r="E521" s="3" t="n">
        <v>2509</v>
      </c>
      <c r="F521" s="3" t="n">
        <v>2124263915</v>
      </c>
      <c r="G521" t="inlineStr">
        <is>
          <t>France</t>
        </is>
      </c>
      <c r="H521" s="24" t="n">
        <v>575.59</v>
      </c>
      <c r="I521" s="25" t="n">
        <v>2124263915</v>
      </c>
      <c r="J521" s="25" t="n">
        <v>3690585.16</v>
      </c>
    </row>
    <row r="522">
      <c r="A522" t="n">
        <v>2020</v>
      </c>
      <c r="B522" t="inlineStr">
        <is>
          <t>GCO</t>
        </is>
      </c>
      <c r="C522" t="inlineStr">
        <is>
          <t>Sables minéralisés</t>
        </is>
      </c>
      <c r="D522" t="inlineStr">
        <is>
          <t>Tonne</t>
        </is>
      </c>
      <c r="E522" s="3" t="n">
        <v>5248</v>
      </c>
      <c r="F522" s="3" t="n">
        <v>4010259387</v>
      </c>
      <c r="G522" t="inlineStr">
        <is>
          <t>Allemagne</t>
        </is>
      </c>
      <c r="H522" s="24" t="n">
        <v>575.59</v>
      </c>
      <c r="I522" s="25" t="n">
        <v>4010259387</v>
      </c>
      <c r="J522" s="25" t="n">
        <v>6967215.18</v>
      </c>
    </row>
    <row r="523">
      <c r="A523" t="n">
        <v>2020</v>
      </c>
      <c r="B523" t="inlineStr">
        <is>
          <t>GCO</t>
        </is>
      </c>
      <c r="C523" t="inlineStr">
        <is>
          <t>Sables minéralisés</t>
        </is>
      </c>
      <c r="D523" t="inlineStr">
        <is>
          <t>Tonne</t>
        </is>
      </c>
      <c r="E523" s="3" t="n">
        <v>1978</v>
      </c>
      <c r="F523" s="3" t="n">
        <v>1502838129</v>
      </c>
      <c r="G523" t="inlineStr">
        <is>
          <t>Inde</t>
        </is>
      </c>
      <c r="H523" s="24" t="n">
        <v>575.59</v>
      </c>
      <c r="I523" s="25" t="n">
        <v>1502838129</v>
      </c>
      <c r="J523" s="25" t="n">
        <v>2610952.46</v>
      </c>
    </row>
    <row r="524">
      <c r="A524" t="n">
        <v>2020</v>
      </c>
      <c r="B524" t="inlineStr">
        <is>
          <t>GCO</t>
        </is>
      </c>
      <c r="C524" t="inlineStr">
        <is>
          <t>Sables minéralisés</t>
        </is>
      </c>
      <c r="D524" t="inlineStr">
        <is>
          <t>Tonne</t>
        </is>
      </c>
      <c r="E524" s="3" t="n">
        <v>1388</v>
      </c>
      <c r="F524" s="3" t="n">
        <v>995666124</v>
      </c>
      <c r="G524" t="inlineStr">
        <is>
          <t>Italie</t>
        </is>
      </c>
      <c r="H524" s="24" t="n">
        <v>575.59</v>
      </c>
      <c r="I524" s="25" t="n">
        <v>995666124</v>
      </c>
      <c r="J524" s="25" t="n">
        <v>1729818.32</v>
      </c>
    </row>
    <row r="525">
      <c r="A525" t="n">
        <v>2020</v>
      </c>
      <c r="B525" t="inlineStr">
        <is>
          <t>GCO</t>
        </is>
      </c>
      <c r="C525" t="inlineStr">
        <is>
          <t>Sables minéralisés</t>
        </is>
      </c>
      <c r="D525" t="inlineStr">
        <is>
          <t>Tonne</t>
        </is>
      </c>
      <c r="E525" s="3" t="n">
        <v>3316</v>
      </c>
      <c r="F525" s="3" t="n">
        <v>2784151575</v>
      </c>
      <c r="G525" t="inlineStr">
        <is>
          <t>Japon</t>
        </is>
      </c>
      <c r="H525" s="24" t="n">
        <v>575.59</v>
      </c>
      <c r="I525" s="25" t="n">
        <v>2784151575</v>
      </c>
      <c r="J525" s="25" t="n">
        <v>4837039.52</v>
      </c>
    </row>
    <row r="526">
      <c r="A526" t="n">
        <v>2020</v>
      </c>
      <c r="B526" t="inlineStr">
        <is>
          <t>GCO</t>
        </is>
      </c>
      <c r="C526" t="inlineStr">
        <is>
          <t>Sables minéralisés</t>
        </is>
      </c>
      <c r="D526" t="inlineStr">
        <is>
          <t>Tonne</t>
        </is>
      </c>
      <c r="E526" s="3" t="n">
        <v>758</v>
      </c>
      <c r="F526" s="3" t="n">
        <v>591401281</v>
      </c>
      <c r="G526" t="inlineStr">
        <is>
          <t>Malaisie</t>
        </is>
      </c>
      <c r="H526" s="24" t="n">
        <v>575.59</v>
      </c>
      <c r="I526" s="25" t="n">
        <v>591401281</v>
      </c>
      <c r="J526" s="25" t="n">
        <v>1027469.69</v>
      </c>
    </row>
    <row r="527">
      <c r="A527" t="n">
        <v>2020</v>
      </c>
      <c r="B527" t="inlineStr">
        <is>
          <t>GCO</t>
        </is>
      </c>
      <c r="C527" t="inlineStr">
        <is>
          <t>Sables minéralisés</t>
        </is>
      </c>
      <c r="D527" t="inlineStr">
        <is>
          <t>Tonne</t>
        </is>
      </c>
      <c r="E527" s="3" t="n">
        <v>60115</v>
      </c>
      <c r="F527" s="3" t="n">
        <v>8488260636</v>
      </c>
      <c r="G527" t="inlineStr">
        <is>
          <t>Mexique</t>
        </is>
      </c>
      <c r="H527" s="24" t="n">
        <v>575.59</v>
      </c>
      <c r="I527" s="25" t="n">
        <v>8488260636</v>
      </c>
      <c r="J527" s="25" t="n">
        <v>14747060.64</v>
      </c>
    </row>
    <row r="528">
      <c r="A528" t="n">
        <v>2020</v>
      </c>
      <c r="B528" t="inlineStr">
        <is>
          <t>GCO</t>
        </is>
      </c>
      <c r="C528" t="inlineStr">
        <is>
          <t>Sables minéralisés</t>
        </is>
      </c>
      <c r="D528" t="inlineStr">
        <is>
          <t>Tonne</t>
        </is>
      </c>
      <c r="E528" s="3" t="n">
        <v>2562</v>
      </c>
      <c r="F528" s="3" t="n">
        <v>1788453170</v>
      </c>
      <c r="G528" t="inlineStr">
        <is>
          <t>Pays-Bas</t>
        </is>
      </c>
      <c r="H528" s="24" t="n">
        <v>575.59</v>
      </c>
      <c r="I528" s="25" t="n">
        <v>1788453170</v>
      </c>
      <c r="J528" s="25" t="n">
        <v>3107165.12</v>
      </c>
    </row>
    <row r="529">
      <c r="A529" t="n">
        <v>2020</v>
      </c>
      <c r="B529" t="inlineStr">
        <is>
          <t>GCO</t>
        </is>
      </c>
      <c r="C529" t="inlineStr">
        <is>
          <t>Sables minéralisés</t>
        </is>
      </c>
      <c r="D529" t="inlineStr">
        <is>
          <t>Tonne</t>
        </is>
      </c>
      <c r="E529" s="3" t="n">
        <v>323629</v>
      </c>
      <c r="F529" s="3" t="n">
        <v>33912201300</v>
      </c>
      <c r="G529" t="inlineStr">
        <is>
          <t>Norvège</t>
        </is>
      </c>
      <c r="H529" s="24" t="n">
        <v>575.59</v>
      </c>
      <c r="I529" s="25" t="n">
        <v>33912201300</v>
      </c>
      <c r="J529" s="25" t="n">
        <v>58917287.13</v>
      </c>
    </row>
    <row r="530">
      <c r="A530" t="n">
        <v>2020</v>
      </c>
      <c r="B530" t="inlineStr">
        <is>
          <t>GCO</t>
        </is>
      </c>
      <c r="C530" t="inlineStr">
        <is>
          <t>Sables minéralisés</t>
        </is>
      </c>
      <c r="D530" t="inlineStr">
        <is>
          <t>Tonne</t>
        </is>
      </c>
      <c r="E530" s="3" t="n">
        <v>80</v>
      </c>
      <c r="F530" s="3" t="n">
        <v>34014130</v>
      </c>
      <c r="G530" t="inlineStr">
        <is>
          <t>Afrique du Sud</t>
        </is>
      </c>
      <c r="H530" s="24" t="n">
        <v>575.59</v>
      </c>
      <c r="I530" s="25" t="n">
        <v>34014130</v>
      </c>
      <c r="J530" s="25" t="n">
        <v>59094.37</v>
      </c>
    </row>
    <row r="531">
      <c r="A531" t="n">
        <v>2020</v>
      </c>
      <c r="B531" t="inlineStr">
        <is>
          <t>GCO</t>
        </is>
      </c>
      <c r="C531" t="inlineStr">
        <is>
          <t>Sables minéralisés</t>
        </is>
      </c>
      <c r="D531" t="inlineStr">
        <is>
          <t>Tonne</t>
        </is>
      </c>
      <c r="E531" s="3" t="n">
        <v>3320</v>
      </c>
      <c r="F531" s="3" t="n">
        <v>2090982288</v>
      </c>
      <c r="G531" t="inlineStr">
        <is>
          <t>Corée du Sud</t>
        </is>
      </c>
      <c r="H531" s="24" t="n">
        <v>575.59</v>
      </c>
      <c r="I531" s="25" t="n">
        <v>2090982288</v>
      </c>
      <c r="J531" s="25" t="n">
        <v>3632763.4</v>
      </c>
    </row>
    <row r="532">
      <c r="A532" t="n">
        <v>2020</v>
      </c>
      <c r="B532" t="inlineStr">
        <is>
          <t>GCO</t>
        </is>
      </c>
      <c r="C532" t="inlineStr">
        <is>
          <t>Sables minéralisés</t>
        </is>
      </c>
      <c r="D532" t="inlineStr">
        <is>
          <t>Tonne</t>
        </is>
      </c>
      <c r="E532" s="3" t="n">
        <v>21211</v>
      </c>
      <c r="F532" s="3" t="n">
        <v>16015469705</v>
      </c>
      <c r="G532" t="inlineStr">
        <is>
          <t>Espagne</t>
        </is>
      </c>
      <c r="H532" s="24" t="n">
        <v>575.59</v>
      </c>
      <c r="I532" s="25" t="n">
        <v>16015469705</v>
      </c>
      <c r="J532" s="25" t="n">
        <v>27824440.5</v>
      </c>
    </row>
    <row r="533">
      <c r="A533" t="n">
        <v>2020</v>
      </c>
      <c r="B533" t="inlineStr">
        <is>
          <t>GCO</t>
        </is>
      </c>
      <c r="C533" t="inlineStr">
        <is>
          <t>Sables minéralisés</t>
        </is>
      </c>
      <c r="D533" t="inlineStr">
        <is>
          <t>Tonne</t>
        </is>
      </c>
      <c r="E533" s="3" t="n">
        <v>3680</v>
      </c>
      <c r="F533" s="3" t="n">
        <v>2752602430</v>
      </c>
      <c r="G533" t="inlineStr">
        <is>
          <t>Turquie</t>
        </is>
      </c>
      <c r="H533" s="24" t="n">
        <v>575.59</v>
      </c>
      <c r="I533" s="25" t="n">
        <v>2752602430</v>
      </c>
      <c r="J533" s="25" t="n">
        <v>4782227.68</v>
      </c>
    </row>
    <row r="534">
      <c r="A534" t="n">
        <v>2020</v>
      </c>
      <c r="B534" t="inlineStr">
        <is>
          <t>GCO</t>
        </is>
      </c>
      <c r="C534" t="inlineStr">
        <is>
          <t>Sables minéralisés</t>
        </is>
      </c>
      <c r="D534" t="inlineStr">
        <is>
          <t>Tonne</t>
        </is>
      </c>
      <c r="E534" s="3" t="n">
        <v>76632</v>
      </c>
      <c r="F534" s="3" t="n">
        <v>13020571767</v>
      </c>
      <c r="G534" t="inlineStr">
        <is>
          <t>États-Unis</t>
        </is>
      </c>
      <c r="H534" s="24" t="n">
        <v>575.59</v>
      </c>
      <c r="I534" s="25" t="n">
        <v>13020571767</v>
      </c>
      <c r="J534" s="25" t="n">
        <v>22621261.26</v>
      </c>
    </row>
    <row r="535">
      <c r="A535" t="n">
        <v>2020</v>
      </c>
      <c r="B535" t="inlineStr">
        <is>
          <t>ICS</t>
        </is>
      </c>
      <c r="C535" t="inlineStr">
        <is>
          <t>Engrais</t>
        </is>
      </c>
      <c r="D535" t="inlineStr">
        <is>
          <t>Tonne</t>
        </is>
      </c>
      <c r="E535" s="3" t="n">
        <v>96369</v>
      </c>
      <c r="F535" s="3" t="n">
        <v>18778762558</v>
      </c>
      <c r="G535" t="inlineStr">
        <is>
          <t>Sénégal</t>
        </is>
      </c>
      <c r="H535" s="24" t="n">
        <v>575.59</v>
      </c>
      <c r="I535" s="25" t="n">
        <v>18778762558</v>
      </c>
      <c r="J535" s="25" t="n">
        <v>32625241.16</v>
      </c>
    </row>
    <row r="536">
      <c r="A536" t="n">
        <v>2020</v>
      </c>
      <c r="B536" t="inlineStr">
        <is>
          <t>ICS</t>
        </is>
      </c>
      <c r="C536" t="inlineStr">
        <is>
          <t>Engrais</t>
        </is>
      </c>
      <c r="D536" t="inlineStr">
        <is>
          <t>Tonne</t>
        </is>
      </c>
      <c r="E536" s="3" t="n">
        <v>54727</v>
      </c>
      <c r="F536" s="3" t="n">
        <v>11820442475</v>
      </c>
      <c r="G536" t="inlineStr">
        <is>
          <t>Pays de l'OHADA</t>
        </is>
      </c>
      <c r="H536" s="24" t="n">
        <v>575.59</v>
      </c>
      <c r="I536" s="25" t="n">
        <v>11820442475</v>
      </c>
      <c r="J536" s="25" t="n">
        <v>20536219.31</v>
      </c>
    </row>
    <row r="537">
      <c r="A537" t="n">
        <v>2020</v>
      </c>
      <c r="B537" t="inlineStr">
        <is>
          <t>ICS</t>
        </is>
      </c>
      <c r="C537" t="inlineStr">
        <is>
          <t>Engrais</t>
        </is>
      </c>
      <c r="D537" t="inlineStr">
        <is>
          <t>Tonne</t>
        </is>
      </c>
      <c r="E537" s="3" t="n">
        <v>8778</v>
      </c>
      <c r="F537" s="3" t="n">
        <v>1773669262</v>
      </c>
      <c r="G537" t="inlineStr">
        <is>
          <t>Pays hors l'OHADA</t>
        </is>
      </c>
      <c r="H537" s="24" t="n">
        <v>575.59</v>
      </c>
      <c r="I537" s="25" t="n">
        <v>1773669262</v>
      </c>
      <c r="J537" s="25" t="n">
        <v>3081480.33</v>
      </c>
    </row>
    <row r="538">
      <c r="A538" t="n">
        <v>2020</v>
      </c>
      <c r="B538" t="inlineStr">
        <is>
          <t>ICS</t>
        </is>
      </c>
      <c r="C538" t="inlineStr">
        <is>
          <t>Acide Phosphorique</t>
        </is>
      </c>
      <c r="D538" t="inlineStr">
        <is>
          <t>Tonne</t>
        </is>
      </c>
      <c r="E538" s="3" t="n">
        <v>9</v>
      </c>
      <c r="F538" s="3" t="n">
        <v>4917150</v>
      </c>
      <c r="G538" t="inlineStr">
        <is>
          <t>Sénégal</t>
        </is>
      </c>
      <c r="H538" s="24" t="n">
        <v>575.59</v>
      </c>
      <c r="I538" s="25" t="n">
        <v>4917150</v>
      </c>
      <c r="J538" s="25"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4" t="n">
        <v>575.59</v>
      </c>
      <c r="I539" s="25" t="n">
        <v>166008591119</v>
      </c>
      <c r="J539" s="25" t="n">
        <v>288414654.74</v>
      </c>
    </row>
    <row r="540">
      <c r="A540" t="n">
        <v>2020</v>
      </c>
      <c r="B540" t="inlineStr">
        <is>
          <t>ICS</t>
        </is>
      </c>
      <c r="C540" t="inlineStr">
        <is>
          <t>Gypse</t>
        </is>
      </c>
      <c r="D540" t="inlineStr">
        <is>
          <t>Tonne</t>
        </is>
      </c>
      <c r="E540" s="3" t="n">
        <v>72599410</v>
      </c>
      <c r="F540" s="3" t="n">
        <v>448992160</v>
      </c>
      <c r="G540" t="inlineStr">
        <is>
          <t>Sénégal</t>
        </is>
      </c>
      <c r="H540" s="24" t="n">
        <v>575.59</v>
      </c>
      <c r="I540" s="25" t="n">
        <v>448992160</v>
      </c>
      <c r="J540" s="25" t="n">
        <v>780055.53</v>
      </c>
    </row>
    <row r="541">
      <c r="A541" t="n">
        <v>2020</v>
      </c>
      <c r="B541" t="inlineStr">
        <is>
          <t>ICS</t>
        </is>
      </c>
      <c r="C541" t="inlineStr">
        <is>
          <t>Silex</t>
        </is>
      </c>
      <c r="D541" t="inlineStr">
        <is>
          <t>Tonne</t>
        </is>
      </c>
      <c r="E541" s="3" t="n">
        <v>825772</v>
      </c>
      <c r="F541" s="3" t="n">
        <v>1238658000</v>
      </c>
      <c r="G541" t="inlineStr">
        <is>
          <t>Sénégal</t>
        </is>
      </c>
      <c r="H541" s="24" t="n">
        <v>575.59</v>
      </c>
      <c r="I541" s="25" t="n">
        <v>1238658000</v>
      </c>
      <c r="J541" s="25" t="n">
        <v>2151979.71</v>
      </c>
    </row>
    <row r="542">
      <c r="A542" t="n">
        <v>2020</v>
      </c>
      <c r="B542" t="inlineStr">
        <is>
          <t>ICS</t>
        </is>
      </c>
      <c r="C542" t="inlineStr">
        <is>
          <t>Acide Sulfurique</t>
        </is>
      </c>
      <c r="D542" t="inlineStr">
        <is>
          <t>Tonne</t>
        </is>
      </c>
      <c r="E542" s="3" t="n">
        <v>174</v>
      </c>
      <c r="F542" s="3" t="n">
        <v>35928900</v>
      </c>
      <c r="G542" t="inlineStr">
        <is>
          <t>Sénégal</t>
        </is>
      </c>
      <c r="H542" s="24" t="n">
        <v>575.59</v>
      </c>
      <c r="I542" s="25" t="n">
        <v>35928900</v>
      </c>
      <c r="J542" s="25" t="n">
        <v>62420.99</v>
      </c>
    </row>
    <row r="543">
      <c r="A543" t="n">
        <v>2020</v>
      </c>
      <c r="B543" t="inlineStr">
        <is>
          <t>ICS</t>
        </is>
      </c>
      <c r="C543" t="inlineStr">
        <is>
          <t>Cendres</t>
        </is>
      </c>
      <c r="D543" t="inlineStr">
        <is>
          <t>Tonne</t>
        </is>
      </c>
      <c r="E543" s="3" t="n">
        <v>26774172</v>
      </c>
      <c r="F543" s="3" t="n">
        <v>80322516</v>
      </c>
      <c r="G543" t="inlineStr">
        <is>
          <t>Sénégal</t>
        </is>
      </c>
      <c r="H543" s="24" t="n">
        <v>575.59</v>
      </c>
      <c r="I543" s="25" t="n">
        <v>80322516</v>
      </c>
      <c r="J543" s="25" t="n">
        <v>139548.14</v>
      </c>
    </row>
    <row r="544">
      <c r="A544" t="n">
        <v>2022</v>
      </c>
      <c r="B544" t="inlineStr">
        <is>
          <t>SGO</t>
        </is>
      </c>
      <c r="C544" t="inlineStr">
        <is>
          <t>Or</t>
        </is>
      </c>
      <c r="D544" t="inlineStr">
        <is>
          <t>Tonne</t>
        </is>
      </c>
      <c r="E544" s="8" t="n">
        <v>10.5416</v>
      </c>
      <c r="F544" s="3" t="n">
        <v>380045730082</v>
      </c>
      <c r="G544" t="inlineStr">
        <is>
          <t>Suisse</t>
        </is>
      </c>
      <c r="H544" s="24" t="n">
        <v>623.76</v>
      </c>
      <c r="I544" s="25" t="n">
        <v>380045730082</v>
      </c>
      <c r="J544" s="25" t="n">
        <v>609281983.59</v>
      </c>
    </row>
    <row r="545">
      <c r="A545" t="n">
        <v>2022</v>
      </c>
      <c r="B545" t="inlineStr">
        <is>
          <t>PMC</t>
        </is>
      </c>
      <c r="C545" t="inlineStr">
        <is>
          <t>Or</t>
        </is>
      </c>
      <c r="D545" t="inlineStr">
        <is>
          <t>Tonne</t>
        </is>
      </c>
      <c r="E545" s="8" t="n">
        <v>4.0319</v>
      </c>
      <c r="F545" s="3" t="n">
        <v>147954684761</v>
      </c>
      <c r="G545" t="inlineStr">
        <is>
          <t>Australie</t>
        </is>
      </c>
      <c r="H545" s="24" t="n">
        <v>623.76</v>
      </c>
      <c r="I545" s="25" t="n">
        <v>147954684761</v>
      </c>
      <c r="J545" s="25" t="n">
        <v>237198096.64</v>
      </c>
    </row>
    <row r="546">
      <c r="A546" t="n">
        <v>2022</v>
      </c>
      <c r="B546" t="inlineStr">
        <is>
          <t>SGO</t>
        </is>
      </c>
      <c r="C546" t="inlineStr">
        <is>
          <t>Or</t>
        </is>
      </c>
      <c r="D546" t="inlineStr">
        <is>
          <t>Tonne</t>
        </is>
      </c>
      <c r="E546" s="8" t="n">
        <v>0.3485</v>
      </c>
      <c r="F546" s="3" t="n">
        <v>12540974385</v>
      </c>
      <c r="G546" t="inlineStr">
        <is>
          <t>Sénégal</t>
        </is>
      </c>
      <c r="H546" s="24" t="n">
        <v>623.76</v>
      </c>
      <c r="I546" s="25" t="n">
        <v>12540974385</v>
      </c>
      <c r="J546" s="25" t="n">
        <v>20105448.23</v>
      </c>
    </row>
    <row r="547">
      <c r="A547" t="n">
        <v>2022</v>
      </c>
      <c r="B547" t="inlineStr">
        <is>
          <t>ICS</t>
        </is>
      </c>
      <c r="C547" t="inlineStr">
        <is>
          <t>Acide Phosphorique</t>
        </is>
      </c>
      <c r="D547" t="inlineStr">
        <is>
          <t>Tonne</t>
        </is>
      </c>
      <c r="E547" s="3" t="n">
        <v>558409</v>
      </c>
      <c r="F547" s="3" t="n">
        <v>533842674117</v>
      </c>
      <c r="G547" t="inlineStr">
        <is>
          <t>Inde</t>
        </is>
      </c>
      <c r="H547" s="24" t="n">
        <v>623.76</v>
      </c>
      <c r="I547" s="25" t="n">
        <v>533842674117</v>
      </c>
      <c r="J547" s="25" t="n">
        <v>855846277.6</v>
      </c>
    </row>
    <row r="548">
      <c r="A548" t="n">
        <v>2022</v>
      </c>
      <c r="B548" t="inlineStr">
        <is>
          <t>GCO</t>
        </is>
      </c>
      <c r="C548" t="inlineStr">
        <is>
          <t>Ilménite</t>
        </is>
      </c>
      <c r="D548" t="inlineStr">
        <is>
          <t>Tonne</t>
        </is>
      </c>
      <c r="E548" s="3" t="n">
        <v>255142</v>
      </c>
      <c r="F548" s="3" t="n">
        <v>55201748257</v>
      </c>
      <c r="G548" t="inlineStr">
        <is>
          <t>France</t>
        </is>
      </c>
      <c r="H548" s="24" t="n">
        <v>623.76</v>
      </c>
      <c r="I548" s="25" t="n">
        <v>55201748257</v>
      </c>
      <c r="J548" s="25" t="n">
        <v>88498377.98999999</v>
      </c>
    </row>
    <row r="549">
      <c r="A549" t="n">
        <v>2022</v>
      </c>
      <c r="B549" t="inlineStr">
        <is>
          <t>GCO</t>
        </is>
      </c>
      <c r="C549" t="inlineStr">
        <is>
          <t>Ilménite</t>
        </is>
      </c>
      <c r="D549" t="inlineStr">
        <is>
          <t>Tonne</t>
        </is>
      </c>
      <c r="E549" s="3" t="n">
        <v>101793</v>
      </c>
      <c r="F549" s="3" t="n">
        <v>17574924450</v>
      </c>
      <c r="G549" t="inlineStr">
        <is>
          <t>Norvège</t>
        </is>
      </c>
      <c r="H549" s="24" t="n">
        <v>623.76</v>
      </c>
      <c r="I549" s="25" t="n">
        <v>17574924450</v>
      </c>
      <c r="J549" s="25" t="n">
        <v>28175779.87</v>
      </c>
    </row>
    <row r="550">
      <c r="A550" t="n">
        <v>2022</v>
      </c>
      <c r="B550" t="inlineStr">
        <is>
          <t>CDS</t>
        </is>
      </c>
      <c r="C550" t="inlineStr">
        <is>
          <t>Ciment</t>
        </is>
      </c>
      <c r="D550" t="inlineStr">
        <is>
          <t>Tonne</t>
        </is>
      </c>
      <c r="E550" s="3" t="n">
        <v>586349</v>
      </c>
      <c r="F550" s="3" t="n">
        <v>27805006450</v>
      </c>
      <c r="G550" t="inlineStr">
        <is>
          <t>Mali</t>
        </is>
      </c>
      <c r="H550" s="24" t="n">
        <v>623.76</v>
      </c>
      <c r="I550" s="25" t="n">
        <v>27805006450</v>
      </c>
      <c r="J550" s="25" t="n">
        <v>44576450</v>
      </c>
    </row>
    <row r="551">
      <c r="A551" t="n">
        <v>2022</v>
      </c>
      <c r="B551" t="inlineStr">
        <is>
          <t>CDS</t>
        </is>
      </c>
      <c r="C551" t="inlineStr">
        <is>
          <t>Ciment</t>
        </is>
      </c>
      <c r="D551" t="inlineStr">
        <is>
          <t>Tonne</t>
        </is>
      </c>
      <c r="E551" s="3" t="n">
        <v>487563</v>
      </c>
      <c r="F551" s="3" t="n">
        <v>21800118950</v>
      </c>
      <c r="G551" t="inlineStr">
        <is>
          <t>Gambie</t>
        </is>
      </c>
      <c r="H551" s="24" t="n">
        <v>623.76</v>
      </c>
      <c r="I551" s="25" t="n">
        <v>21800118950</v>
      </c>
      <c r="J551" s="25" t="n">
        <v>34949530.19</v>
      </c>
    </row>
    <row r="552">
      <c r="A552" t="n">
        <v>2022</v>
      </c>
      <c r="B552" t="inlineStr">
        <is>
          <t>SOCOCIM</t>
        </is>
      </c>
      <c r="C552" t="inlineStr">
        <is>
          <t>Ciment</t>
        </is>
      </c>
      <c r="D552" t="inlineStr">
        <is>
          <t>Tonne</t>
        </is>
      </c>
      <c r="E552" s="3" t="n">
        <v>132612</v>
      </c>
      <c r="F552" s="3" t="n">
        <v>5920144025</v>
      </c>
      <c r="G552" t="inlineStr">
        <is>
          <t>Mali</t>
        </is>
      </c>
      <c r="H552" s="24" t="n">
        <v>623.76</v>
      </c>
      <c r="I552" s="25" t="n">
        <v>5920144025</v>
      </c>
      <c r="J552" s="25" t="n">
        <v>9491060.699999999</v>
      </c>
    </row>
    <row r="553">
      <c r="A553" t="n">
        <v>2022</v>
      </c>
      <c r="B553" t="inlineStr">
        <is>
          <t>SOCOCIM</t>
        </is>
      </c>
      <c r="C553" t="inlineStr">
        <is>
          <t>Ciment</t>
        </is>
      </c>
      <c r="D553" t="inlineStr">
        <is>
          <t>Tonne</t>
        </is>
      </c>
      <c r="E553" s="3" t="n">
        <v>44460</v>
      </c>
      <c r="F553" s="3" t="n">
        <v>1994599434</v>
      </c>
      <c r="G553" t="inlineStr">
        <is>
          <t>Gambie</t>
        </is>
      </c>
      <c r="H553" s="24" t="n">
        <v>623.76</v>
      </c>
      <c r="I553" s="25" t="n">
        <v>1994599434</v>
      </c>
      <c r="J553" s="25" t="n">
        <v>3197703.34</v>
      </c>
    </row>
    <row r="554">
      <c r="A554" t="n">
        <v>2022</v>
      </c>
      <c r="B554" t="inlineStr">
        <is>
          <t>DANGOTE</t>
        </is>
      </c>
      <c r="C554" t="inlineStr">
        <is>
          <t>Ciment</t>
        </is>
      </c>
      <c r="D554" t="inlineStr">
        <is>
          <t>Tonne</t>
        </is>
      </c>
      <c r="E554" s="3" t="n">
        <v>51948</v>
      </c>
      <c r="F554" s="3" t="n">
        <v>1949347100</v>
      </c>
      <c r="G554" t="inlineStr">
        <is>
          <t>Gambie</t>
        </is>
      </c>
      <c r="H554" s="24" t="n">
        <v>623.76</v>
      </c>
      <c r="I554" s="25" t="n">
        <v>1949347100</v>
      </c>
      <c r="J554" s="25" t="n">
        <v>3125155.67</v>
      </c>
    </row>
    <row r="555">
      <c r="A555" t="n">
        <v>2022</v>
      </c>
      <c r="B555" t="inlineStr">
        <is>
          <t>CDS</t>
        </is>
      </c>
      <c r="C555" t="inlineStr">
        <is>
          <t>Ciment</t>
        </is>
      </c>
      <c r="D555" t="inlineStr">
        <is>
          <t>Tonne</t>
        </is>
      </c>
      <c r="E555" s="3" t="n">
        <v>35174</v>
      </c>
      <c r="F555" s="3" t="n">
        <v>1572723200</v>
      </c>
      <c r="G555" t="inlineStr">
        <is>
          <t>Mauritanie</t>
        </is>
      </c>
      <c r="H555" s="24" t="n">
        <v>623.76</v>
      </c>
      <c r="I555" s="25" t="n">
        <v>1572723200</v>
      </c>
      <c r="J555" s="25" t="n">
        <v>2521359.5</v>
      </c>
    </row>
    <row r="556">
      <c r="A556" t="n">
        <v>2022</v>
      </c>
      <c r="B556" t="inlineStr">
        <is>
          <t>DANGOTE</t>
        </is>
      </c>
      <c r="C556" t="inlineStr">
        <is>
          <t>Ciment</t>
        </is>
      </c>
      <c r="D556" t="inlineStr">
        <is>
          <t>Tonne</t>
        </is>
      </c>
      <c r="E556" s="3" t="n">
        <v>27637</v>
      </c>
      <c r="F556" s="3" t="n">
        <v>1094455440</v>
      </c>
      <c r="G556" t="inlineStr">
        <is>
          <t>Mali</t>
        </is>
      </c>
      <c r="H556" s="24" t="n">
        <v>623.76</v>
      </c>
      <c r="I556" s="25" t="n">
        <v>1094455440</v>
      </c>
      <c r="J556" s="25" t="n">
        <v>1754609.85</v>
      </c>
    </row>
    <row r="557">
      <c r="A557" t="n">
        <v>2022</v>
      </c>
      <c r="B557" t="inlineStr">
        <is>
          <t>DANGOTE</t>
        </is>
      </c>
      <c r="C557" t="inlineStr">
        <is>
          <t>Ciment</t>
        </is>
      </c>
      <c r="D557" t="inlineStr">
        <is>
          <t>Tonne</t>
        </is>
      </c>
      <c r="E557" s="3" t="n">
        <v>7991</v>
      </c>
      <c r="F557" s="3" t="n">
        <v>300244740</v>
      </c>
      <c r="G557" t="inlineStr">
        <is>
          <t>Guinée-Bissau</t>
        </is>
      </c>
      <c r="H557" s="24" t="n">
        <v>623.76</v>
      </c>
      <c r="I557" s="25" t="n">
        <v>300244740</v>
      </c>
      <c r="J557" s="25" t="n">
        <v>481346.58</v>
      </c>
    </row>
    <row r="558">
      <c r="A558" t="n">
        <v>2022</v>
      </c>
      <c r="B558" t="inlineStr">
        <is>
          <t>CDS</t>
        </is>
      </c>
      <c r="C558" t="inlineStr">
        <is>
          <t>Ciment</t>
        </is>
      </c>
      <c r="D558" t="inlineStr">
        <is>
          <t>Tonne</t>
        </is>
      </c>
      <c r="E558" s="3" t="n">
        <v>2836</v>
      </c>
      <c r="F558" s="3" t="n">
        <v>134463000</v>
      </c>
      <c r="G558" t="inlineStr">
        <is>
          <t>Guinée-Bissau</t>
        </is>
      </c>
      <c r="H558" s="24" t="n">
        <v>623.76</v>
      </c>
      <c r="I558" s="25" t="n">
        <v>134463000</v>
      </c>
      <c r="J558" s="25" t="n">
        <v>215568.49</v>
      </c>
    </row>
    <row r="559">
      <c r="A559" t="n">
        <v>2022</v>
      </c>
      <c r="B559" t="inlineStr">
        <is>
          <t>DANGOTE</t>
        </is>
      </c>
      <c r="C559" t="inlineStr">
        <is>
          <t>Ciment</t>
        </is>
      </c>
      <c r="D559" t="inlineStr">
        <is>
          <t>Tonne</t>
        </is>
      </c>
      <c r="E559" s="3" t="n">
        <v>3396</v>
      </c>
      <c r="F559" s="3" t="n">
        <v>130813500</v>
      </c>
      <c r="G559" t="inlineStr">
        <is>
          <t>Burkina Faso</t>
        </is>
      </c>
      <c r="H559" s="24" t="n">
        <v>623.76</v>
      </c>
      <c r="I559" s="25" t="n">
        <v>130813500</v>
      </c>
      <c r="J559" s="25" t="n">
        <v>209717.68</v>
      </c>
    </row>
    <row r="560">
      <c r="A560" t="n">
        <v>2022</v>
      </c>
      <c r="B560" t="inlineStr">
        <is>
          <t>SOCOCIM</t>
        </is>
      </c>
      <c r="C560" t="inlineStr">
        <is>
          <t>Ciment</t>
        </is>
      </c>
      <c r="D560" t="inlineStr">
        <is>
          <t>Tonne</t>
        </is>
      </c>
      <c r="E560" s="3" t="n">
        <v>2484</v>
      </c>
      <c r="F560" s="3" t="n">
        <v>111807125</v>
      </c>
      <c r="G560" t="inlineStr">
        <is>
          <t>Mauritanie</t>
        </is>
      </c>
      <c r="H560" s="24" t="n">
        <v>623.76</v>
      </c>
      <c r="I560" s="25" t="n">
        <v>111807125</v>
      </c>
      <c r="J560" s="25" t="n">
        <v>179247.03</v>
      </c>
    </row>
    <row r="561">
      <c r="A561" t="n">
        <v>2022</v>
      </c>
      <c r="B561" t="inlineStr">
        <is>
          <t>SOCOCIM</t>
        </is>
      </c>
      <c r="C561" t="inlineStr">
        <is>
          <t>Ciment</t>
        </is>
      </c>
      <c r="D561" t="inlineStr">
        <is>
          <t>Tonne</t>
        </is>
      </c>
      <c r="E561" s="3" t="n">
        <v>1462</v>
      </c>
      <c r="F561" s="3" t="n">
        <v>69090250</v>
      </c>
      <c r="G561" t="inlineStr">
        <is>
          <t>Guinée</t>
        </is>
      </c>
      <c r="H561" s="24" t="n">
        <v>623.76</v>
      </c>
      <c r="I561" s="25" t="n">
        <v>69090250</v>
      </c>
      <c r="J561" s="25" t="n">
        <v>110764.16</v>
      </c>
    </row>
    <row r="562">
      <c r="A562" t="n">
        <v>2022</v>
      </c>
      <c r="B562" t="inlineStr">
        <is>
          <t>SOCOCIM</t>
        </is>
      </c>
      <c r="C562" t="inlineStr">
        <is>
          <t>Ciment</t>
        </is>
      </c>
      <c r="D562" t="inlineStr">
        <is>
          <t>Tonne</t>
        </is>
      </c>
      <c r="E562" s="3" t="n">
        <v>533</v>
      </c>
      <c r="F562" s="3" t="n">
        <v>34820000</v>
      </c>
      <c r="G562" t="inlineStr">
        <is>
          <t>Guinée-Bissau</t>
        </is>
      </c>
      <c r="H562" s="24" t="n">
        <v>623.76</v>
      </c>
      <c r="I562" s="25" t="n">
        <v>34820000</v>
      </c>
      <c r="J562" s="25" t="n">
        <v>55822.75</v>
      </c>
    </row>
    <row r="563">
      <c r="A563" t="n">
        <v>2022</v>
      </c>
      <c r="B563" t="inlineStr">
        <is>
          <t>CDS</t>
        </is>
      </c>
      <c r="C563" t="inlineStr">
        <is>
          <t>Ciment</t>
        </is>
      </c>
      <c r="D563" t="inlineStr">
        <is>
          <t>Tonne</t>
        </is>
      </c>
      <c r="E563" s="3" t="n">
        <v>384</v>
      </c>
      <c r="F563" s="3" t="n">
        <v>18200000</v>
      </c>
      <c r="G563" t="inlineStr">
        <is>
          <t>Burkina Faso</t>
        </is>
      </c>
      <c r="H563" s="24" t="n">
        <v>623.76</v>
      </c>
      <c r="I563" s="25" t="n">
        <v>18200000</v>
      </c>
      <c r="J563" s="25" t="n">
        <v>29177.89</v>
      </c>
    </row>
    <row r="564">
      <c r="A564" t="n">
        <v>2022</v>
      </c>
      <c r="B564" t="inlineStr">
        <is>
          <t>CDS</t>
        </is>
      </c>
      <c r="C564" t="inlineStr">
        <is>
          <t>Ciment</t>
        </is>
      </c>
      <c r="D564" t="inlineStr">
        <is>
          <t>Tonne</t>
        </is>
      </c>
      <c r="E564" s="3" t="n">
        <v>107</v>
      </c>
      <c r="F564" s="3" t="n">
        <v>4785000</v>
      </c>
      <c r="G564" t="inlineStr">
        <is>
          <t>Guinée</t>
        </is>
      </c>
      <c r="H564" s="24" t="n">
        <v>623.76</v>
      </c>
      <c r="I564" s="25" t="n">
        <v>4785000</v>
      </c>
      <c r="J564" s="25" t="n">
        <v>7671.22</v>
      </c>
    </row>
    <row r="565">
      <c r="A565" t="n">
        <v>2022</v>
      </c>
      <c r="B565" t="inlineStr">
        <is>
          <t>GCO</t>
        </is>
      </c>
      <c r="C565" t="inlineStr">
        <is>
          <t>Zircon</t>
        </is>
      </c>
      <c r="D565" t="inlineStr">
        <is>
          <t>Tonne</t>
        </is>
      </c>
      <c r="E565" s="3" t="n">
        <v>26783</v>
      </c>
      <c r="F565" s="3" t="n">
        <v>37837012342</v>
      </c>
      <c r="G565" t="inlineStr">
        <is>
          <t>France</t>
        </is>
      </c>
      <c r="H565" s="24" t="n">
        <v>623.76</v>
      </c>
      <c r="I565" s="25" t="n">
        <v>37837012342</v>
      </c>
      <c r="J565" s="25" t="n">
        <v>60659568.33</v>
      </c>
    </row>
    <row r="566">
      <c r="A566" t="n">
        <v>2022</v>
      </c>
      <c r="B566" t="inlineStr">
        <is>
          <t>GCO</t>
        </is>
      </c>
      <c r="C566" t="inlineStr">
        <is>
          <t>Zircon</t>
        </is>
      </c>
      <c r="D566" t="inlineStr">
        <is>
          <t>Tonne</t>
        </is>
      </c>
      <c r="E566" s="3" t="n">
        <v>2241</v>
      </c>
      <c r="F566" s="3" t="n">
        <v>2672529707</v>
      </c>
      <c r="G566" t="inlineStr">
        <is>
          <t>États-Unis</t>
        </is>
      </c>
      <c r="H566" s="24" t="n">
        <v>623.76</v>
      </c>
      <c r="I566" s="25" t="n">
        <v>2672529707</v>
      </c>
      <c r="J566" s="25" t="n">
        <v>4284548.07</v>
      </c>
    </row>
    <row r="567">
      <c r="A567" t="n">
        <v>2022</v>
      </c>
      <c r="B567" t="inlineStr">
        <is>
          <t>GCO</t>
        </is>
      </c>
      <c r="C567" t="inlineStr">
        <is>
          <t>Zircon</t>
        </is>
      </c>
      <c r="D567" t="inlineStr">
        <is>
          <t>Tonne</t>
        </is>
      </c>
      <c r="E567" s="3" t="n">
        <v>1763</v>
      </c>
      <c r="F567" s="3" t="n">
        <v>2159428247</v>
      </c>
      <c r="G567" t="inlineStr">
        <is>
          <t>Espagne</t>
        </is>
      </c>
      <c r="H567" s="24" t="n">
        <v>623.76</v>
      </c>
      <c r="I567" s="25" t="n">
        <v>2159428247</v>
      </c>
      <c r="J567" s="25" t="n">
        <v>3461953.71</v>
      </c>
    </row>
    <row r="568">
      <c r="A568" t="n">
        <v>2022</v>
      </c>
      <c r="B568" t="inlineStr">
        <is>
          <t>GCO</t>
        </is>
      </c>
      <c r="C568" t="inlineStr">
        <is>
          <t>Zircon</t>
        </is>
      </c>
      <c r="D568" t="inlineStr">
        <is>
          <t>Tonne</t>
        </is>
      </c>
      <c r="E568" s="3" t="n">
        <v>1553</v>
      </c>
      <c r="F568" s="3" t="n">
        <v>1972277908</v>
      </c>
      <c r="G568" t="inlineStr">
        <is>
          <t>Chine</t>
        </is>
      </c>
      <c r="H568" s="24" t="n">
        <v>623.76</v>
      </c>
      <c r="I568" s="25" t="n">
        <v>1972277908</v>
      </c>
      <c r="J568" s="25" t="n">
        <v>3161917.9</v>
      </c>
    </row>
    <row r="569">
      <c r="A569" t="n">
        <v>2022</v>
      </c>
      <c r="B569" t="inlineStr">
        <is>
          <t>GCO</t>
        </is>
      </c>
      <c r="C569" t="inlineStr">
        <is>
          <t>Zircon</t>
        </is>
      </c>
      <c r="D569" t="inlineStr">
        <is>
          <t>Tonne</t>
        </is>
      </c>
      <c r="E569" s="3" t="n">
        <v>899</v>
      </c>
      <c r="F569" s="3" t="n">
        <v>1151481123</v>
      </c>
      <c r="G569" t="inlineStr">
        <is>
          <t>Japon</t>
        </is>
      </c>
      <c r="H569" s="24" t="n">
        <v>623.76</v>
      </c>
      <c r="I569" s="25" t="n">
        <v>1151481123</v>
      </c>
      <c r="J569" s="25" t="n">
        <v>1846032.32</v>
      </c>
    </row>
    <row r="570">
      <c r="A570" t="n">
        <v>2022</v>
      </c>
      <c r="B570" t="inlineStr">
        <is>
          <t>GCO</t>
        </is>
      </c>
      <c r="C570" t="inlineStr">
        <is>
          <t>Zircon</t>
        </is>
      </c>
      <c r="D570" t="inlineStr">
        <is>
          <t>Tonne</t>
        </is>
      </c>
      <c r="E570" s="3" t="n">
        <v>680</v>
      </c>
      <c r="F570" s="3" t="n">
        <v>879535090</v>
      </c>
      <c r="G570" t="inlineStr">
        <is>
          <t>Australie</t>
        </is>
      </c>
      <c r="H570" s="24" t="n">
        <v>623.76</v>
      </c>
      <c r="I570" s="25" t="n">
        <v>879535090</v>
      </c>
      <c r="J570" s="25" t="n">
        <v>1410053.69</v>
      </c>
    </row>
    <row r="571">
      <c r="A571" t="n">
        <v>2022</v>
      </c>
      <c r="B571" t="inlineStr">
        <is>
          <t>GCO</t>
        </is>
      </c>
      <c r="C571" t="inlineStr">
        <is>
          <t>Zircon</t>
        </is>
      </c>
      <c r="D571" t="inlineStr">
        <is>
          <t>Tonne</t>
        </is>
      </c>
      <c r="E571" s="3" t="n">
        <v>661</v>
      </c>
      <c r="F571" s="3" t="n">
        <v>805310967</v>
      </c>
      <c r="G571" t="inlineStr">
        <is>
          <t>Italie</t>
        </is>
      </c>
      <c r="H571" s="24" t="n">
        <v>623.76</v>
      </c>
      <c r="I571" s="25" t="n">
        <v>805310967</v>
      </c>
      <c r="J571" s="25" t="n">
        <v>1291059.01</v>
      </c>
    </row>
    <row r="572">
      <c r="A572" t="n">
        <v>2022</v>
      </c>
      <c r="B572" t="inlineStr">
        <is>
          <t>GCO</t>
        </is>
      </c>
      <c r="C572" t="inlineStr">
        <is>
          <t>Zircon</t>
        </is>
      </c>
      <c r="D572" t="inlineStr">
        <is>
          <t>Tonne</t>
        </is>
      </c>
      <c r="E572" s="3" t="n">
        <v>595</v>
      </c>
      <c r="F572" s="3" t="n">
        <v>738090401</v>
      </c>
      <c r="G572" t="inlineStr">
        <is>
          <t>Turquie</t>
        </is>
      </c>
      <c r="H572" s="24" t="n">
        <v>623.76</v>
      </c>
      <c r="I572" s="25" t="n">
        <v>738090401</v>
      </c>
      <c r="J572" s="25" t="n">
        <v>1183292.29</v>
      </c>
    </row>
    <row r="573">
      <c r="A573" t="n">
        <v>2022</v>
      </c>
      <c r="B573" t="inlineStr">
        <is>
          <t>GCO</t>
        </is>
      </c>
      <c r="C573" t="inlineStr">
        <is>
          <t>Zircon</t>
        </is>
      </c>
      <c r="D573" t="inlineStr">
        <is>
          <t>Tonne</t>
        </is>
      </c>
      <c r="E573" s="3" t="n">
        <v>160</v>
      </c>
      <c r="F573" s="3" t="n">
        <v>205255608</v>
      </c>
      <c r="G573" t="inlineStr">
        <is>
          <t>Royaume-Uni</t>
        </is>
      </c>
      <c r="H573" s="24" t="n">
        <v>623.76</v>
      </c>
      <c r="I573" s="25" t="n">
        <v>205255608</v>
      </c>
      <c r="J573" s="25" t="n">
        <v>329061.83</v>
      </c>
    </row>
    <row r="574">
      <c r="A574" t="n">
        <v>2022</v>
      </c>
      <c r="B574" t="inlineStr">
        <is>
          <t>GCO</t>
        </is>
      </c>
      <c r="C574" t="inlineStr">
        <is>
          <t>Zircon</t>
        </is>
      </c>
      <c r="D574" t="inlineStr">
        <is>
          <t>Tonne</t>
        </is>
      </c>
      <c r="E574" s="3" t="n">
        <v>140</v>
      </c>
      <c r="F574" s="3" t="n">
        <v>176061353</v>
      </c>
      <c r="G574" t="inlineStr">
        <is>
          <t>Brésil</t>
        </is>
      </c>
      <c r="H574" s="24" t="n">
        <v>623.76</v>
      </c>
      <c r="I574" s="25" t="n">
        <v>176061353</v>
      </c>
      <c r="J574" s="25" t="n">
        <v>282258.16</v>
      </c>
    </row>
    <row r="575">
      <c r="A575" t="n">
        <v>2022</v>
      </c>
      <c r="B575" t="inlineStr">
        <is>
          <t>GCO</t>
        </is>
      </c>
      <c r="C575" t="inlineStr">
        <is>
          <t>Zircon</t>
        </is>
      </c>
      <c r="D575" t="inlineStr">
        <is>
          <t>Tonne</t>
        </is>
      </c>
      <c r="E575" s="3" t="n">
        <v>110</v>
      </c>
      <c r="F575" s="3" t="n">
        <v>137806911</v>
      </c>
      <c r="G575" t="inlineStr">
        <is>
          <t>Pays-Bas</t>
        </is>
      </c>
      <c r="H575" s="24" t="n">
        <v>623.76</v>
      </c>
      <c r="I575" s="25" t="n">
        <v>137806911</v>
      </c>
      <c r="J575" s="25" t="n">
        <v>220929.38</v>
      </c>
    </row>
    <row r="576">
      <c r="A576" t="n">
        <v>2022</v>
      </c>
      <c r="B576" t="inlineStr">
        <is>
          <t>GCO</t>
        </is>
      </c>
      <c r="C576" t="inlineStr">
        <is>
          <t>Zircon</t>
        </is>
      </c>
      <c r="D576" t="inlineStr">
        <is>
          <t>Tonne</t>
        </is>
      </c>
      <c r="E576" s="3" t="n">
        <v>66</v>
      </c>
      <c r="F576" s="3" t="n">
        <v>82182071</v>
      </c>
      <c r="G576" t="inlineStr">
        <is>
          <t>Allemagne</t>
        </is>
      </c>
      <c r="H576" s="24" t="n">
        <v>623.76</v>
      </c>
      <c r="I576" s="25" t="n">
        <v>82182071</v>
      </c>
      <c r="J576" s="25" t="n">
        <v>131752.71</v>
      </c>
    </row>
    <row r="577">
      <c r="A577" t="n">
        <v>2022</v>
      </c>
      <c r="B577" t="inlineStr">
        <is>
          <t>GCO</t>
        </is>
      </c>
      <c r="C577" t="inlineStr">
        <is>
          <t>Zircon</t>
        </is>
      </c>
      <c r="D577" t="inlineStr">
        <is>
          <t>Tonne</t>
        </is>
      </c>
      <c r="E577" s="3" t="n">
        <v>64</v>
      </c>
      <c r="F577" s="3" t="n">
        <v>79007117</v>
      </c>
      <c r="G577" t="inlineStr">
        <is>
          <t>Inde</t>
        </is>
      </c>
      <c r="H577" s="24" t="n">
        <v>623.76</v>
      </c>
      <c r="I577" s="25" t="n">
        <v>79007117</v>
      </c>
      <c r="J577" s="25" t="n">
        <v>126662.69</v>
      </c>
    </row>
    <row r="578">
      <c r="A578" t="n">
        <v>2022</v>
      </c>
      <c r="B578" t="inlineStr">
        <is>
          <t>GCO</t>
        </is>
      </c>
      <c r="C578" t="inlineStr">
        <is>
          <t>Zircon</t>
        </is>
      </c>
      <c r="D578" t="inlineStr">
        <is>
          <t>Tonne</t>
        </is>
      </c>
      <c r="E578" s="3" t="n">
        <v>16915</v>
      </c>
      <c r="F578" s="3" t="n">
        <v>22797650023</v>
      </c>
      <c r="G578" t="inlineStr">
        <is>
          <t>France</t>
        </is>
      </c>
      <c r="H578" s="24" t="n">
        <v>623.76</v>
      </c>
      <c r="I578" s="25" t="n">
        <v>22797650023</v>
      </c>
      <c r="J578" s="25" t="n">
        <v>36548752.76</v>
      </c>
    </row>
    <row r="579">
      <c r="A579" t="n">
        <v>2022</v>
      </c>
      <c r="B579" t="inlineStr">
        <is>
          <t>GCO</t>
        </is>
      </c>
      <c r="C579" t="inlineStr">
        <is>
          <t>Zircon</t>
        </is>
      </c>
      <c r="D579" t="inlineStr">
        <is>
          <t>Tonne</t>
        </is>
      </c>
      <c r="E579" s="3" t="n">
        <v>3591</v>
      </c>
      <c r="F579" s="3" t="n">
        <v>4215746222</v>
      </c>
      <c r="G579" t="inlineStr">
        <is>
          <t>Espagne</t>
        </is>
      </c>
      <c r="H579" s="24" t="n">
        <v>623.76</v>
      </c>
      <c r="I579" s="25" t="n">
        <v>4215746222</v>
      </c>
      <c r="J579" s="25" t="n">
        <v>6758603.02</v>
      </c>
    </row>
    <row r="580">
      <c r="A580" t="n">
        <v>2022</v>
      </c>
      <c r="B580" t="inlineStr">
        <is>
          <t>GCO</t>
        </is>
      </c>
      <c r="C580" t="inlineStr">
        <is>
          <t>Zircon</t>
        </is>
      </c>
      <c r="D580" t="inlineStr">
        <is>
          <t>Tonne</t>
        </is>
      </c>
      <c r="E580" s="3" t="n">
        <v>1678</v>
      </c>
      <c r="F580" s="3" t="n">
        <v>2119199304</v>
      </c>
      <c r="G580" t="inlineStr">
        <is>
          <t>Allemagne</t>
        </is>
      </c>
      <c r="H580" s="24" t="n">
        <v>623.76</v>
      </c>
      <c r="I580" s="25" t="n">
        <v>2119199304</v>
      </c>
      <c r="J580" s="25" t="n">
        <v>3397459.45</v>
      </c>
    </row>
    <row r="581">
      <c r="A581" t="n">
        <v>2022</v>
      </c>
      <c r="B581" t="inlineStr">
        <is>
          <t>GCO</t>
        </is>
      </c>
      <c r="C581" t="inlineStr">
        <is>
          <t>Zircon</t>
        </is>
      </c>
      <c r="D581" t="inlineStr">
        <is>
          <t>Tonne</t>
        </is>
      </c>
      <c r="E581" s="3" t="n">
        <v>463</v>
      </c>
      <c r="F581" s="3" t="n">
        <v>569141409</v>
      </c>
      <c r="G581" t="inlineStr">
        <is>
          <t>Pays-Bas</t>
        </is>
      </c>
      <c r="H581" s="24" t="n">
        <v>623.76</v>
      </c>
      <c r="I581" s="25" t="n">
        <v>569141409</v>
      </c>
      <c r="J581" s="25" t="n">
        <v>912436.53</v>
      </c>
    </row>
    <row r="582">
      <c r="A582" t="n">
        <v>2022</v>
      </c>
      <c r="B582" t="inlineStr">
        <is>
          <t>GCO</t>
        </is>
      </c>
      <c r="C582" t="inlineStr">
        <is>
          <t>Zircon</t>
        </is>
      </c>
      <c r="D582" t="inlineStr">
        <is>
          <t>Tonne</t>
        </is>
      </c>
      <c r="E582" s="3" t="n">
        <v>368</v>
      </c>
      <c r="F582" s="3" t="n">
        <v>436920695</v>
      </c>
      <c r="G582" t="inlineStr">
        <is>
          <t>Chine</t>
        </is>
      </c>
      <c r="H582" s="24" t="n">
        <v>623.76</v>
      </c>
      <c r="I582" s="25" t="n">
        <v>436920695</v>
      </c>
      <c r="J582" s="25" t="n">
        <v>700462.83</v>
      </c>
    </row>
    <row r="583">
      <c r="A583" t="n">
        <v>2022</v>
      </c>
      <c r="B583" t="inlineStr">
        <is>
          <t>GCO</t>
        </is>
      </c>
      <c r="C583" t="inlineStr">
        <is>
          <t>Zircon</t>
        </is>
      </c>
      <c r="D583" t="inlineStr">
        <is>
          <t>Tonne</t>
        </is>
      </c>
      <c r="E583" s="3" t="n">
        <v>234</v>
      </c>
      <c r="F583" s="3" t="n">
        <v>298525342</v>
      </c>
      <c r="G583" t="inlineStr">
        <is>
          <t>Inde</t>
        </is>
      </c>
      <c r="H583" s="24" t="n">
        <v>623.76</v>
      </c>
      <c r="I583" s="25" t="n">
        <v>298525342</v>
      </c>
      <c r="J583" s="25" t="n">
        <v>478590.07</v>
      </c>
    </row>
    <row r="584">
      <c r="A584" t="n">
        <v>2022</v>
      </c>
      <c r="B584" t="inlineStr">
        <is>
          <t>GCO</t>
        </is>
      </c>
      <c r="C584" t="inlineStr">
        <is>
          <t>Zircon</t>
        </is>
      </c>
      <c r="D584" t="inlineStr">
        <is>
          <t>Tonne</t>
        </is>
      </c>
      <c r="E584" s="3" t="n">
        <v>132</v>
      </c>
      <c r="F584" s="3" t="n">
        <v>158946658</v>
      </c>
      <c r="G584" t="inlineStr">
        <is>
          <t>États-Unis</t>
        </is>
      </c>
      <c r="H584" s="24" t="n">
        <v>623.76</v>
      </c>
      <c r="I584" s="25" t="n">
        <v>158946658</v>
      </c>
      <c r="J584" s="25" t="n">
        <v>254820.22</v>
      </c>
    </row>
    <row r="585">
      <c r="A585" t="n">
        <v>2022</v>
      </c>
      <c r="B585" t="inlineStr">
        <is>
          <t>GCO</t>
        </is>
      </c>
      <c r="C585" t="inlineStr">
        <is>
          <t>Zircon</t>
        </is>
      </c>
      <c r="D585" t="inlineStr">
        <is>
          <t>Tonne</t>
        </is>
      </c>
      <c r="E585" s="3" t="n">
        <v>120</v>
      </c>
      <c r="F585" s="3" t="n">
        <v>149568411</v>
      </c>
      <c r="G585" t="inlineStr">
        <is>
          <t>Japon</t>
        </is>
      </c>
      <c r="H585" s="24" t="n">
        <v>623.76</v>
      </c>
      <c r="I585" s="25" t="n">
        <v>149568411</v>
      </c>
      <c r="J585" s="25" t="n">
        <v>239785.19</v>
      </c>
    </row>
    <row r="586">
      <c r="A586" t="n">
        <v>2022</v>
      </c>
      <c r="B586" t="inlineStr">
        <is>
          <t>GCO</t>
        </is>
      </c>
      <c r="C586" t="inlineStr">
        <is>
          <t>Zircon</t>
        </is>
      </c>
      <c r="D586" t="inlineStr">
        <is>
          <t>Tonne</t>
        </is>
      </c>
      <c r="E586" s="3" t="n">
        <v>80</v>
      </c>
      <c r="F586" s="3" t="n">
        <v>100225403</v>
      </c>
      <c r="G586" t="inlineStr">
        <is>
          <t>Norvège</t>
        </is>
      </c>
      <c r="H586" s="24" t="n">
        <v>623.76</v>
      </c>
      <c r="I586" s="25" t="n">
        <v>100225403</v>
      </c>
      <c r="J586" s="25" t="n">
        <v>160679.43</v>
      </c>
    </row>
    <row r="587">
      <c r="A587" t="n">
        <v>2022</v>
      </c>
      <c r="B587" t="inlineStr">
        <is>
          <t>GCO</t>
        </is>
      </c>
      <c r="C587" t="inlineStr">
        <is>
          <t>Ilménite</t>
        </is>
      </c>
      <c r="D587" t="inlineStr">
        <is>
          <t>Tonne</t>
        </is>
      </c>
      <c r="E587" s="3" t="n">
        <v>105551</v>
      </c>
      <c r="F587" s="3" t="n">
        <v>23782278269</v>
      </c>
      <c r="G587" t="inlineStr">
        <is>
          <t>France</t>
        </is>
      </c>
      <c r="H587" s="24" t="n">
        <v>623.76</v>
      </c>
      <c r="I587" s="25" t="n">
        <v>23782278269</v>
      </c>
      <c r="J587" s="25" t="n">
        <v>38127289.77</v>
      </c>
    </row>
    <row r="588">
      <c r="A588" t="n">
        <v>2022</v>
      </c>
      <c r="B588" t="inlineStr">
        <is>
          <t>GCO</t>
        </is>
      </c>
      <c r="C588" t="inlineStr">
        <is>
          <t>Ilménite</t>
        </is>
      </c>
      <c r="D588" t="inlineStr">
        <is>
          <t>Tonne</t>
        </is>
      </c>
      <c r="E588" s="3" t="n">
        <v>29005</v>
      </c>
      <c r="F588" s="3" t="n">
        <v>5376147493</v>
      </c>
      <c r="G588" t="inlineStr">
        <is>
          <t>États-Unis</t>
        </is>
      </c>
      <c r="H588" s="24" t="n">
        <v>623.76</v>
      </c>
      <c r="I588" s="25" t="n">
        <v>5376147493</v>
      </c>
      <c r="J588" s="25" t="n">
        <v>8618935.960000001</v>
      </c>
    </row>
    <row r="589">
      <c r="A589" t="n">
        <v>2022</v>
      </c>
      <c r="B589" t="inlineStr">
        <is>
          <t>GCO</t>
        </is>
      </c>
      <c r="C589" t="inlineStr">
        <is>
          <t>Ilménite</t>
        </is>
      </c>
      <c r="D589" t="inlineStr">
        <is>
          <t>Tonne</t>
        </is>
      </c>
      <c r="E589" s="3" t="n">
        <v>40</v>
      </c>
      <c r="F589" s="3" t="n">
        <v>23021583</v>
      </c>
      <c r="G589" t="inlineStr">
        <is>
          <t>Corée du Sud</t>
        </is>
      </c>
      <c r="H589" s="24" t="n">
        <v>623.76</v>
      </c>
      <c r="I589" s="25" t="n">
        <v>23021583</v>
      </c>
      <c r="J589" s="25" t="n">
        <v>36907.76</v>
      </c>
    </row>
    <row r="590">
      <c r="A590" t="n">
        <v>2022</v>
      </c>
      <c r="B590" t="inlineStr">
        <is>
          <t>SOMIVA</t>
        </is>
      </c>
      <c r="C590" t="inlineStr">
        <is>
          <t>Phosphate</t>
        </is>
      </c>
      <c r="D590" t="inlineStr">
        <is>
          <t>Tonne</t>
        </is>
      </c>
      <c r="E590" s="3" t="n">
        <v>204722</v>
      </c>
      <c r="F590" s="3" t="n">
        <v>19685664021</v>
      </c>
      <c r="G590" t="inlineStr">
        <is>
          <t>NC</t>
        </is>
      </c>
      <c r="H590" s="24" t="n">
        <v>623.76</v>
      </c>
      <c r="I590" s="25" t="n">
        <v>19685664021</v>
      </c>
      <c r="J590" s="25" t="n">
        <v>31559676.83</v>
      </c>
    </row>
    <row r="591">
      <c r="A591" t="n">
        <v>2022</v>
      </c>
      <c r="B591" t="inlineStr">
        <is>
          <t>SEPHOS</t>
        </is>
      </c>
      <c r="C591" t="inlineStr">
        <is>
          <t>Phosphate</t>
        </is>
      </c>
      <c r="D591" t="inlineStr">
        <is>
          <t>Tonne</t>
        </is>
      </c>
      <c r="E591" s="3" t="n">
        <v>43408</v>
      </c>
      <c r="F591" s="3" t="n">
        <v>3655055730</v>
      </c>
      <c r="G591" t="inlineStr">
        <is>
          <t>Espagne</t>
        </is>
      </c>
      <c r="H591" s="24" t="n">
        <v>623.76</v>
      </c>
      <c r="I591" s="25" t="n">
        <v>3655055730</v>
      </c>
      <c r="J591" s="25" t="n">
        <v>5859714.84</v>
      </c>
    </row>
    <row r="592">
      <c r="A592" t="n">
        <v>2022</v>
      </c>
      <c r="B592" t="inlineStr">
        <is>
          <t>BMCC</t>
        </is>
      </c>
      <c r="C592" t="inlineStr">
        <is>
          <t>Phosphate</t>
        </is>
      </c>
      <c r="D592" t="inlineStr">
        <is>
          <t>Tonne</t>
        </is>
      </c>
      <c r="E592" s="3" t="n">
        <v>49106</v>
      </c>
      <c r="F592" s="3" t="n">
        <v>2483353653</v>
      </c>
      <c r="G592" t="inlineStr">
        <is>
          <t>Inde</t>
        </is>
      </c>
      <c r="H592" s="24" t="n">
        <v>623.76</v>
      </c>
      <c r="I592" s="25" t="n">
        <v>2483353653</v>
      </c>
      <c r="J592" s="25" t="n">
        <v>3981264.67</v>
      </c>
    </row>
    <row r="593">
      <c r="A593" t="n">
        <v>2022</v>
      </c>
      <c r="B593" t="inlineStr">
        <is>
          <t>SEPHOS</t>
        </is>
      </c>
      <c r="C593" t="inlineStr">
        <is>
          <t>Phosphate</t>
        </is>
      </c>
      <c r="D593" t="inlineStr">
        <is>
          <t>Tonne</t>
        </is>
      </c>
      <c r="E593" s="3" t="n">
        <v>5500</v>
      </c>
      <c r="F593" s="3" t="n">
        <v>785469071</v>
      </c>
      <c r="G593" t="inlineStr">
        <is>
          <t>El Salvador</t>
        </is>
      </c>
      <c r="H593" s="24" t="n">
        <v>623.76</v>
      </c>
      <c r="I593" s="25" t="n">
        <v>785469071</v>
      </c>
      <c r="J593" s="25" t="n">
        <v>1259248.86</v>
      </c>
    </row>
    <row r="594">
      <c r="A594" t="n">
        <v>2022</v>
      </c>
      <c r="B594" t="inlineStr">
        <is>
          <t>SEPHOS</t>
        </is>
      </c>
      <c r="C594" t="inlineStr">
        <is>
          <t>Phosphate</t>
        </is>
      </c>
      <c r="D594" t="inlineStr">
        <is>
          <t>Tonne</t>
        </is>
      </c>
      <c r="E594" s="3" t="n">
        <v>3336</v>
      </c>
      <c r="F594" s="3" t="n">
        <v>171436989</v>
      </c>
      <c r="G594" t="inlineStr">
        <is>
          <t>Sénégal</t>
        </is>
      </c>
      <c r="H594" s="24" t="n">
        <v>623.76</v>
      </c>
      <c r="I594" s="25" t="n">
        <v>171436989</v>
      </c>
      <c r="J594" s="25" t="n">
        <v>274844.47</v>
      </c>
    </row>
    <row r="595">
      <c r="A595" t="n">
        <v>2022</v>
      </c>
      <c r="B595" t="inlineStr">
        <is>
          <t>BMCC</t>
        </is>
      </c>
      <c r="C595" t="inlineStr">
        <is>
          <t>Phosphate</t>
        </is>
      </c>
      <c r="D595" t="inlineStr">
        <is>
          <t>Tonne</t>
        </is>
      </c>
      <c r="E595" s="3" t="n">
        <v>2565</v>
      </c>
      <c r="F595" s="3" t="n">
        <v>146278950</v>
      </c>
      <c r="G595" t="inlineStr">
        <is>
          <t>Sénégal</t>
        </is>
      </c>
      <c r="H595" s="24" t="n">
        <v>623.76</v>
      </c>
      <c r="I595" s="25" t="n">
        <v>146278950</v>
      </c>
      <c r="J595" s="25" t="n">
        <v>234511.59</v>
      </c>
    </row>
    <row r="596">
      <c r="A596" t="n">
        <v>2022</v>
      </c>
      <c r="B596" t="inlineStr">
        <is>
          <t>GCO</t>
        </is>
      </c>
      <c r="C596" t="inlineStr">
        <is>
          <t>Zircon</t>
        </is>
      </c>
      <c r="D596" t="inlineStr">
        <is>
          <t>Tonne</t>
        </is>
      </c>
      <c r="E596" s="3" t="n">
        <v>25033</v>
      </c>
      <c r="F596" s="3" t="n">
        <v>6221775946</v>
      </c>
      <c r="G596" t="inlineStr">
        <is>
          <t>France</t>
        </is>
      </c>
      <c r="H596" s="24" t="n">
        <v>623.76</v>
      </c>
      <c r="I596" s="25" t="n">
        <v>6221775946</v>
      </c>
      <c r="J596" s="25" t="n">
        <v>9974631.18</v>
      </c>
    </row>
    <row r="597">
      <c r="A597" t="n">
        <v>2022</v>
      </c>
      <c r="B597" t="inlineStr">
        <is>
          <t>GCO</t>
        </is>
      </c>
      <c r="C597" t="inlineStr">
        <is>
          <t>Zircon</t>
        </is>
      </c>
      <c r="D597" t="inlineStr">
        <is>
          <t>Tonne</t>
        </is>
      </c>
      <c r="E597" s="3" t="n">
        <v>6416</v>
      </c>
      <c r="F597" s="3" t="n">
        <v>2188304538</v>
      </c>
      <c r="G597" t="inlineStr">
        <is>
          <t>Chine</t>
        </is>
      </c>
      <c r="H597" s="24" t="n">
        <v>623.76</v>
      </c>
      <c r="I597" s="25" t="n">
        <v>2188304538</v>
      </c>
      <c r="J597" s="25" t="n">
        <v>3508247.62</v>
      </c>
    </row>
    <row r="598">
      <c r="A598" t="n">
        <v>2022</v>
      </c>
      <c r="B598" t="inlineStr">
        <is>
          <t>GCO</t>
        </is>
      </c>
      <c r="C598" t="inlineStr">
        <is>
          <t>Ilménite</t>
        </is>
      </c>
      <c r="D598" t="inlineStr">
        <is>
          <t>Tonne</t>
        </is>
      </c>
      <c r="E598" s="3" t="n">
        <v>35216</v>
      </c>
      <c r="F598" s="3" t="n">
        <v>7578109574</v>
      </c>
      <c r="G598" t="inlineStr">
        <is>
          <t>France</t>
        </is>
      </c>
      <c r="H598" s="24" t="n">
        <v>623.76</v>
      </c>
      <c r="I598" s="25" t="n">
        <v>7578109574</v>
      </c>
      <c r="J598" s="25" t="n">
        <v>12149079.09</v>
      </c>
    </row>
    <row r="599">
      <c r="A599" t="n">
        <v>2022</v>
      </c>
      <c r="B599" t="inlineStr">
        <is>
          <t>GCO</t>
        </is>
      </c>
      <c r="C599" t="inlineStr">
        <is>
          <t>Leucoxène</t>
        </is>
      </c>
      <c r="D599" t="inlineStr">
        <is>
          <t>Tonne</t>
        </is>
      </c>
      <c r="E599" s="3" t="n">
        <v>4540</v>
      </c>
      <c r="F599" s="3" t="n">
        <v>4153250167</v>
      </c>
      <c r="G599" t="inlineStr">
        <is>
          <t>France</t>
        </is>
      </c>
      <c r="H599" s="24" t="n">
        <v>623.76</v>
      </c>
      <c r="I599" s="25" t="n">
        <v>4153250167</v>
      </c>
      <c r="J599" s="25" t="n">
        <v>6658410.55</v>
      </c>
    </row>
    <row r="600">
      <c r="A600" t="n">
        <v>2022</v>
      </c>
      <c r="B600" t="inlineStr">
        <is>
          <t>GCO</t>
        </is>
      </c>
      <c r="C600" t="inlineStr">
        <is>
          <t>Leucoxène</t>
        </is>
      </c>
      <c r="D600" t="inlineStr">
        <is>
          <t>Tonne</t>
        </is>
      </c>
      <c r="E600" s="3" t="n">
        <v>440</v>
      </c>
      <c r="F600" s="3" t="n">
        <v>341151279</v>
      </c>
      <c r="G600" t="inlineStr">
        <is>
          <t>Émirats Arabes Unis</t>
        </is>
      </c>
      <c r="H600" s="24" t="n">
        <v>623.76</v>
      </c>
      <c r="I600" s="25" t="n">
        <v>341151279</v>
      </c>
      <c r="J600" s="25" t="n">
        <v>546927.15</v>
      </c>
    </row>
    <row r="601">
      <c r="A601" t="n">
        <v>2022</v>
      </c>
      <c r="B601" t="inlineStr">
        <is>
          <t>GCO</t>
        </is>
      </c>
      <c r="C601" t="inlineStr">
        <is>
          <t>Leucoxène</t>
        </is>
      </c>
      <c r="D601" t="inlineStr">
        <is>
          <t>Tonne</t>
        </is>
      </c>
      <c r="E601" s="3" t="n">
        <v>400</v>
      </c>
      <c r="F601" s="3" t="n">
        <v>303853087</v>
      </c>
      <c r="G601" t="inlineStr">
        <is>
          <t>Chine</t>
        </is>
      </c>
      <c r="H601" s="24" t="n">
        <v>623.76</v>
      </c>
      <c r="I601" s="25" t="n">
        <v>303853087</v>
      </c>
      <c r="J601" s="25" t="n">
        <v>487131.41</v>
      </c>
    </row>
    <row r="602">
      <c r="A602" t="n">
        <v>2022</v>
      </c>
      <c r="B602" t="inlineStr">
        <is>
          <t>GCO</t>
        </is>
      </c>
      <c r="C602" t="inlineStr">
        <is>
          <t>Leucoxène</t>
        </is>
      </c>
      <c r="D602" t="inlineStr">
        <is>
          <t>Tonne</t>
        </is>
      </c>
      <c r="E602" s="3" t="n">
        <v>400</v>
      </c>
      <c r="F602" s="3" t="n">
        <v>298442192</v>
      </c>
      <c r="G602" t="inlineStr">
        <is>
          <t>Corée du Sud</t>
        </is>
      </c>
      <c r="H602" s="24" t="n">
        <v>623.76</v>
      </c>
      <c r="I602" s="25" t="n">
        <v>298442192</v>
      </c>
      <c r="J602" s="25" t="n">
        <v>478456.77</v>
      </c>
    </row>
    <row r="603">
      <c r="A603" t="n">
        <v>2022</v>
      </c>
      <c r="B603" t="inlineStr">
        <is>
          <t>GCO</t>
        </is>
      </c>
      <c r="C603" t="inlineStr">
        <is>
          <t>Leucoxène</t>
        </is>
      </c>
      <c r="D603" t="inlineStr">
        <is>
          <t>Tonne</t>
        </is>
      </c>
      <c r="E603" s="3" t="n">
        <v>180</v>
      </c>
      <c r="F603" s="3" t="n">
        <v>142683113</v>
      </c>
      <c r="G603" t="inlineStr">
        <is>
          <t>Pays-Bas</t>
        </is>
      </c>
      <c r="H603" s="24" t="n">
        <v>623.76</v>
      </c>
      <c r="I603" s="25" t="n">
        <v>142683113</v>
      </c>
      <c r="J603" s="25" t="n">
        <v>228746.81</v>
      </c>
    </row>
    <row r="604">
      <c r="A604" t="n">
        <v>2022</v>
      </c>
      <c r="B604" t="inlineStr">
        <is>
          <t>GCO</t>
        </is>
      </c>
      <c r="C604" t="inlineStr">
        <is>
          <t>Leucoxène</t>
        </is>
      </c>
      <c r="D604" t="inlineStr">
        <is>
          <t>Tonne</t>
        </is>
      </c>
      <c r="E604" s="3" t="n">
        <v>120</v>
      </c>
      <c r="F604" s="3" t="n">
        <v>99738379</v>
      </c>
      <c r="G604" t="inlineStr">
        <is>
          <t>Japon</t>
        </is>
      </c>
      <c r="H604" s="24" t="n">
        <v>623.76</v>
      </c>
      <c r="I604" s="25" t="n">
        <v>99738379</v>
      </c>
      <c r="J604" s="25" t="n">
        <v>159898.65</v>
      </c>
    </row>
    <row r="605">
      <c r="A605" t="n">
        <v>2022</v>
      </c>
      <c r="B605" t="inlineStr">
        <is>
          <t>GCO</t>
        </is>
      </c>
      <c r="C605" t="inlineStr">
        <is>
          <t>Leucoxène</t>
        </is>
      </c>
      <c r="D605" t="inlineStr">
        <is>
          <t>Tonne</t>
        </is>
      </c>
      <c r="E605" s="3" t="n">
        <v>120</v>
      </c>
      <c r="F605" s="3" t="n">
        <v>87597760</v>
      </c>
      <c r="G605" t="inlineStr">
        <is>
          <t>Royaume-Uni</t>
        </is>
      </c>
      <c r="H605" s="24" t="n">
        <v>623.76</v>
      </c>
      <c r="I605" s="25" t="n">
        <v>87597760</v>
      </c>
      <c r="J605" s="25" t="n">
        <v>140435.04</v>
      </c>
    </row>
    <row r="606">
      <c r="A606" t="n">
        <v>2022</v>
      </c>
      <c r="B606" t="inlineStr">
        <is>
          <t>GCO</t>
        </is>
      </c>
      <c r="C606" t="inlineStr">
        <is>
          <t>Leucoxène</t>
        </is>
      </c>
      <c r="D606" t="inlineStr">
        <is>
          <t>Tonne</t>
        </is>
      </c>
      <c r="E606" s="3" t="n">
        <v>100</v>
      </c>
      <c r="F606" s="3" t="n">
        <v>76434262</v>
      </c>
      <c r="G606" t="inlineStr">
        <is>
          <t>Afrique du Sud</t>
        </is>
      </c>
      <c r="H606" s="24" t="n">
        <v>623.76</v>
      </c>
      <c r="I606" s="25" t="n">
        <v>76434262</v>
      </c>
      <c r="J606" s="25" t="n">
        <v>122537.93</v>
      </c>
    </row>
    <row r="607">
      <c r="A607" t="n">
        <v>2022</v>
      </c>
      <c r="B607" t="inlineStr">
        <is>
          <t>GCO</t>
        </is>
      </c>
      <c r="C607" t="inlineStr">
        <is>
          <t>Leucoxène</t>
        </is>
      </c>
      <c r="D607" t="inlineStr">
        <is>
          <t>Tonne</t>
        </is>
      </c>
      <c r="E607" s="3" t="n">
        <v>40</v>
      </c>
      <c r="F607" s="3" t="n">
        <v>29664509</v>
      </c>
      <c r="G607" t="inlineStr">
        <is>
          <t>Allemagne</t>
        </is>
      </c>
      <c r="H607" s="24" t="n">
        <v>623.76</v>
      </c>
      <c r="I607" s="25" t="n">
        <v>29664509</v>
      </c>
      <c r="J607" s="25" t="n">
        <v>47557.57</v>
      </c>
    </row>
    <row r="608">
      <c r="A608" t="n">
        <v>2022</v>
      </c>
      <c r="B608" t="inlineStr">
        <is>
          <t>GCO</t>
        </is>
      </c>
      <c r="C608" t="inlineStr">
        <is>
          <t>Rutile</t>
        </is>
      </c>
      <c r="D608" t="inlineStr">
        <is>
          <t>Tonne</t>
        </is>
      </c>
      <c r="E608" s="3" t="n">
        <v>2840</v>
      </c>
      <c r="F608" s="3" t="n">
        <v>3827194780</v>
      </c>
      <c r="G608" t="inlineStr">
        <is>
          <t>France</t>
        </is>
      </c>
      <c r="H608" s="24" t="n">
        <v>623.76</v>
      </c>
      <c r="I608" s="25" t="n">
        <v>3827194780</v>
      </c>
      <c r="J608" s="25" t="n">
        <v>6135684.85</v>
      </c>
    </row>
    <row r="609">
      <c r="A609" t="n">
        <v>2022</v>
      </c>
      <c r="B609" t="inlineStr">
        <is>
          <t>GCO</t>
        </is>
      </c>
      <c r="C609" t="inlineStr">
        <is>
          <t>Rutile</t>
        </is>
      </c>
      <c r="D609" t="inlineStr">
        <is>
          <t>Tonne</t>
        </is>
      </c>
      <c r="E609" s="3" t="n">
        <v>580</v>
      </c>
      <c r="F609" s="3" t="n">
        <v>634237080</v>
      </c>
      <c r="G609" t="inlineStr">
        <is>
          <t>Corée du Sud</t>
        </is>
      </c>
      <c r="H609" s="24" t="n">
        <v>623.76</v>
      </c>
      <c r="I609" s="25" t="n">
        <v>634237080</v>
      </c>
      <c r="J609" s="25" t="n">
        <v>1016796.65</v>
      </c>
    </row>
    <row r="610">
      <c r="A610" t="n">
        <v>2022</v>
      </c>
      <c r="B610" t="inlineStr">
        <is>
          <t>GCO</t>
        </is>
      </c>
      <c r="C610" t="inlineStr">
        <is>
          <t>Rutile</t>
        </is>
      </c>
      <c r="D610" t="inlineStr">
        <is>
          <t>Tonne</t>
        </is>
      </c>
      <c r="E610" s="3" t="n">
        <v>240</v>
      </c>
      <c r="F610" s="3" t="n">
        <v>237528598</v>
      </c>
      <c r="G610" t="inlineStr">
        <is>
          <t>Japon</t>
        </is>
      </c>
      <c r="H610" s="24" t="n">
        <v>623.76</v>
      </c>
      <c r="I610" s="25" t="n">
        <v>237528598</v>
      </c>
      <c r="J610" s="25" t="n">
        <v>380801.27</v>
      </c>
    </row>
    <row r="611">
      <c r="A611" t="n">
        <v>2022</v>
      </c>
      <c r="B611" t="inlineStr">
        <is>
          <t>GCO</t>
        </is>
      </c>
      <c r="C611" t="inlineStr">
        <is>
          <t>Rutile</t>
        </is>
      </c>
      <c r="D611" t="inlineStr">
        <is>
          <t>Tonne</t>
        </is>
      </c>
      <c r="E611" s="3" t="n">
        <v>100</v>
      </c>
      <c r="F611" s="3" t="n">
        <v>131314917</v>
      </c>
      <c r="G611" t="inlineStr">
        <is>
          <t>Royaume-Uni</t>
        </is>
      </c>
      <c r="H611" s="24" t="n">
        <v>623.76</v>
      </c>
      <c r="I611" s="25" t="n">
        <v>131314917</v>
      </c>
      <c r="J611" s="25" t="n">
        <v>210521.54</v>
      </c>
    </row>
    <row r="612">
      <c r="A612" t="n">
        <v>2022</v>
      </c>
      <c r="B612" t="inlineStr">
        <is>
          <t>GCO</t>
        </is>
      </c>
      <c r="C612" t="inlineStr">
        <is>
          <t>Rutile</t>
        </is>
      </c>
      <c r="D612" t="inlineStr">
        <is>
          <t>Tonne</t>
        </is>
      </c>
      <c r="E612" s="3" t="n">
        <v>100</v>
      </c>
      <c r="F612" s="3" t="n">
        <v>126512108</v>
      </c>
      <c r="G612" t="inlineStr">
        <is>
          <t>Pays-Bas</t>
        </is>
      </c>
      <c r="H612" s="24" t="n">
        <v>623.76</v>
      </c>
      <c r="I612" s="25" t="n">
        <v>126512108</v>
      </c>
      <c r="J612" s="25" t="n">
        <v>202821.77</v>
      </c>
    </row>
    <row r="613">
      <c r="A613" t="n">
        <v>2022</v>
      </c>
      <c r="B613" t="inlineStr">
        <is>
          <t>GCO</t>
        </is>
      </c>
      <c r="C613" t="inlineStr">
        <is>
          <t>Rutile</t>
        </is>
      </c>
      <c r="D613" t="inlineStr">
        <is>
          <t>Tonne</t>
        </is>
      </c>
      <c r="E613" s="3" t="n">
        <v>80</v>
      </c>
      <c r="F613" s="3" t="n">
        <v>96661461</v>
      </c>
      <c r="G613" t="inlineStr">
        <is>
          <t>Chine</t>
        </is>
      </c>
      <c r="H613" s="24" t="n">
        <v>623.76</v>
      </c>
      <c r="I613" s="25" t="n">
        <v>96661461</v>
      </c>
      <c r="J613" s="25" t="n">
        <v>154965.79</v>
      </c>
    </row>
    <row r="614">
      <c r="A614" t="n">
        <v>2022</v>
      </c>
      <c r="B614" t="inlineStr">
        <is>
          <t>GCO</t>
        </is>
      </c>
      <c r="C614" t="inlineStr">
        <is>
          <t>Rutile</t>
        </is>
      </c>
      <c r="D614" t="inlineStr">
        <is>
          <t>Tonne</t>
        </is>
      </c>
      <c r="E614" s="3" t="n">
        <v>60</v>
      </c>
      <c r="F614" s="3" t="n">
        <v>66222480</v>
      </c>
      <c r="G614" t="inlineStr">
        <is>
          <t>Taiwan</t>
        </is>
      </c>
      <c r="H614" s="24" t="n">
        <v>623.76</v>
      </c>
      <c r="I614" s="25" t="n">
        <v>66222480</v>
      </c>
      <c r="J614" s="25" t="n">
        <v>106166.6</v>
      </c>
    </row>
    <row r="615">
      <c r="A615" t="n">
        <v>2022</v>
      </c>
      <c r="B615" t="inlineStr">
        <is>
          <t>GCO</t>
        </is>
      </c>
      <c r="C615" t="inlineStr">
        <is>
          <t>Rutile</t>
        </is>
      </c>
      <c r="D615" t="inlineStr">
        <is>
          <t>Tonne</t>
        </is>
      </c>
      <c r="E615" s="3" t="n">
        <v>60</v>
      </c>
      <c r="F615" s="3" t="n">
        <v>64976444</v>
      </c>
      <c r="G615" t="inlineStr">
        <is>
          <t>Espagne</t>
        </is>
      </c>
      <c r="H615" s="24" t="n">
        <v>623.76</v>
      </c>
      <c r="I615" s="25" t="n">
        <v>64976444</v>
      </c>
      <c r="J615" s="25" t="n">
        <v>104168.98</v>
      </c>
    </row>
    <row r="616">
      <c r="A616" t="n">
        <v>2022</v>
      </c>
      <c r="B616" t="inlineStr">
        <is>
          <t>GCO</t>
        </is>
      </c>
      <c r="C616" t="inlineStr">
        <is>
          <t>Rutile</t>
        </is>
      </c>
      <c r="D616" t="inlineStr">
        <is>
          <t>Tonne</t>
        </is>
      </c>
      <c r="E616" s="3" t="n">
        <v>60</v>
      </c>
      <c r="F616" s="3" t="n">
        <v>63697902</v>
      </c>
      <c r="G616" t="inlineStr">
        <is>
          <t>Émirats Arabes Unis</t>
        </is>
      </c>
      <c r="H616" s="24" t="n">
        <v>623.76</v>
      </c>
      <c r="I616" s="25" t="n">
        <v>63697902</v>
      </c>
      <c r="J616" s="25" t="n">
        <v>102119.25</v>
      </c>
    </row>
    <row r="617">
      <c r="A617" t="n">
        <v>2022</v>
      </c>
      <c r="B617" t="inlineStr">
        <is>
          <t>GCO</t>
        </is>
      </c>
      <c r="C617" t="inlineStr">
        <is>
          <t>Rutile</t>
        </is>
      </c>
      <c r="D617" t="inlineStr">
        <is>
          <t>Tonne</t>
        </is>
      </c>
      <c r="E617" s="3" t="n">
        <v>20</v>
      </c>
      <c r="F617" s="3" t="n">
        <v>26978417</v>
      </c>
      <c r="G617" t="inlineStr">
        <is>
          <t>États-Unis</t>
        </is>
      </c>
      <c r="H617" s="24" t="n">
        <v>623.76</v>
      </c>
      <c r="I617" s="25" t="n">
        <v>26978417</v>
      </c>
      <c r="J617" s="25" t="n">
        <v>43251.28</v>
      </c>
    </row>
    <row r="618">
      <c r="A618" t="n">
        <v>2022</v>
      </c>
      <c r="B618" t="inlineStr">
        <is>
          <t>GCO</t>
        </is>
      </c>
      <c r="C618" t="inlineStr">
        <is>
          <t>Rutile</t>
        </is>
      </c>
      <c r="D618" t="inlineStr">
        <is>
          <t>Tonne</t>
        </is>
      </c>
      <c r="E618" s="3" t="n">
        <v>20</v>
      </c>
      <c r="F618" s="3" t="n">
        <v>15489006</v>
      </c>
      <c r="G618" t="inlineStr">
        <is>
          <t>Inde</t>
        </is>
      </c>
      <c r="H618" s="24" t="n">
        <v>623.76</v>
      </c>
      <c r="I618" s="25" t="n">
        <v>15489006</v>
      </c>
      <c r="J618" s="25" t="n">
        <v>24831.68</v>
      </c>
    </row>
    <row r="619">
      <c r="A619" t="n">
        <v>2022</v>
      </c>
      <c r="B619" t="inlineStr">
        <is>
          <t>SSPT</t>
        </is>
      </c>
      <c r="C619" t="inlineStr">
        <is>
          <t>Attapulgite</t>
        </is>
      </c>
      <c r="D619" t="inlineStr">
        <is>
          <t>Tonne</t>
        </is>
      </c>
      <c r="E619" s="3" t="n">
        <v>42629</v>
      </c>
      <c r="F619" s="3" t="n">
        <v>1283260095</v>
      </c>
      <c r="G619" t="inlineStr">
        <is>
          <t>France</t>
        </is>
      </c>
      <c r="H619" s="24" t="n">
        <v>623.76</v>
      </c>
      <c r="I619" s="25" t="n">
        <v>1283260095</v>
      </c>
      <c r="J619" s="25" t="n">
        <v>2057297.83</v>
      </c>
    </row>
    <row r="620">
      <c r="A620" t="n">
        <v>2022</v>
      </c>
      <c r="B620" t="inlineStr">
        <is>
          <t>SSPT</t>
        </is>
      </c>
      <c r="C620" t="inlineStr">
        <is>
          <t>Attapulgite</t>
        </is>
      </c>
      <c r="D620" t="inlineStr">
        <is>
          <t>Tonne</t>
        </is>
      </c>
      <c r="E620" s="3" t="n">
        <v>37352</v>
      </c>
      <c r="F620" s="3" t="n">
        <v>1050899906</v>
      </c>
      <c r="G620" t="inlineStr">
        <is>
          <t>Royaume-Uni</t>
        </is>
      </c>
      <c r="H620" s="24" t="n">
        <v>623.76</v>
      </c>
      <c r="I620" s="25" t="n">
        <v>1050899906</v>
      </c>
      <c r="J620" s="25" t="n">
        <v>1684782.46</v>
      </c>
    </row>
    <row r="621">
      <c r="A621" t="n">
        <v>2022</v>
      </c>
      <c r="B621" t="inlineStr">
        <is>
          <t>SSPT</t>
        </is>
      </c>
      <c r="C621" t="inlineStr">
        <is>
          <t>Attapulgite</t>
        </is>
      </c>
      <c r="D621" t="inlineStr">
        <is>
          <t>Tonne</t>
        </is>
      </c>
      <c r="E621" s="3" t="n">
        <v>25442</v>
      </c>
      <c r="F621" s="3" t="n">
        <v>667908065</v>
      </c>
      <c r="G621" t="inlineStr">
        <is>
          <t>Pays-Bas</t>
        </is>
      </c>
      <c r="H621" s="24" t="n">
        <v>623.76</v>
      </c>
      <c r="I621" s="25" t="n">
        <v>667908065</v>
      </c>
      <c r="J621" s="25" t="n">
        <v>1070777.33</v>
      </c>
    </row>
    <row r="622">
      <c r="A622" t="n">
        <v>2022</v>
      </c>
      <c r="B622" t="inlineStr">
        <is>
          <t>SSPT</t>
        </is>
      </c>
      <c r="C622" t="inlineStr">
        <is>
          <t>Attapulgite</t>
        </is>
      </c>
      <c r="D622" t="inlineStr">
        <is>
          <t>Tonne</t>
        </is>
      </c>
      <c r="E622" s="3" t="n">
        <v>3009</v>
      </c>
      <c r="F622" s="3" t="n">
        <v>60126370</v>
      </c>
      <c r="G622" t="inlineStr">
        <is>
          <t>Royaume-Uni</t>
        </is>
      </c>
      <c r="H622" s="24" t="n">
        <v>623.76</v>
      </c>
      <c r="I622" s="25" t="n">
        <v>60126370</v>
      </c>
      <c r="J622" s="25" t="n">
        <v>96393.44</v>
      </c>
    </row>
    <row r="623">
      <c r="A623" t="n">
        <v>2022</v>
      </c>
      <c r="B623" t="inlineStr">
        <is>
          <t>ICS</t>
        </is>
      </c>
      <c r="C623" t="inlineStr">
        <is>
          <t>Engrais</t>
        </is>
      </c>
      <c r="D623" t="inlineStr">
        <is>
          <t>Tonne</t>
        </is>
      </c>
      <c r="E623" s="3" t="n">
        <v>4477</v>
      </c>
      <c r="F623" s="3" t="n">
        <v>1676673578</v>
      </c>
      <c r="G623" t="inlineStr">
        <is>
          <t>NC</t>
        </is>
      </c>
      <c r="H623" s="24" t="n">
        <v>623.76</v>
      </c>
      <c r="I623" s="25" t="n">
        <v>1676673578</v>
      </c>
      <c r="J623" s="25" t="n">
        <v>2688010.74</v>
      </c>
    </row>
    <row r="624">
      <c r="A624" t="n">
        <v>2022</v>
      </c>
      <c r="B624" t="inlineStr">
        <is>
          <t>ICS</t>
        </is>
      </c>
      <c r="C624" t="inlineStr">
        <is>
          <t>Engrais</t>
        </is>
      </c>
      <c r="D624" t="inlineStr">
        <is>
          <t>Tonne</t>
        </is>
      </c>
      <c r="E624" s="3" t="n">
        <v>4349</v>
      </c>
      <c r="F624" s="3" t="n">
        <v>471203100</v>
      </c>
      <c r="G624" t="inlineStr">
        <is>
          <t>Mali</t>
        </is>
      </c>
      <c r="H624" s="24" t="n">
        <v>623.76</v>
      </c>
      <c r="I624" s="25" t="n">
        <v>471203100</v>
      </c>
      <c r="J624" s="25" t="n">
        <v>755423.72</v>
      </c>
    </row>
    <row r="625">
      <c r="A625" t="n">
        <v>2022</v>
      </c>
      <c r="B625" t="inlineStr">
        <is>
          <t>ICS</t>
        </is>
      </c>
      <c r="C625" t="inlineStr">
        <is>
          <t>Engrais</t>
        </is>
      </c>
      <c r="D625" t="inlineStr">
        <is>
          <t>Tonne</t>
        </is>
      </c>
      <c r="E625" s="3" t="n">
        <v>47</v>
      </c>
      <c r="F625" s="3" t="n">
        <v>6063200</v>
      </c>
      <c r="G625" t="inlineStr">
        <is>
          <t>Burkina Faso</t>
        </is>
      </c>
      <c r="H625" s="24" t="n">
        <v>623.76</v>
      </c>
      <c r="I625" s="25" t="n">
        <v>6063200</v>
      </c>
      <c r="J625" s="25" t="n">
        <v>9720.41</v>
      </c>
    </row>
    <row r="626">
      <c r="A626" t="n">
        <v>2022</v>
      </c>
      <c r="B626" t="inlineStr">
        <is>
          <t>ICS</t>
        </is>
      </c>
      <c r="C626" t="inlineStr">
        <is>
          <t>Engrais</t>
        </is>
      </c>
      <c r="D626" t="inlineStr">
        <is>
          <t>Tonne</t>
        </is>
      </c>
      <c r="E626" s="3" t="n">
        <v>2455</v>
      </c>
      <c r="F626" s="3" t="n">
        <v>795369377</v>
      </c>
      <c r="G626" t="inlineStr">
        <is>
          <t>Gambie</t>
        </is>
      </c>
      <c r="H626" s="24" t="n">
        <v>623.76</v>
      </c>
      <c r="I626" s="25" t="n">
        <v>795369377</v>
      </c>
      <c r="J626" s="25" t="n">
        <v>1275120.84</v>
      </c>
    </row>
    <row r="627">
      <c r="A627" t="n">
        <v>2022</v>
      </c>
      <c r="B627" t="inlineStr">
        <is>
          <t>ICS</t>
        </is>
      </c>
      <c r="C627" t="inlineStr">
        <is>
          <t>Engrais</t>
        </is>
      </c>
      <c r="D627" t="inlineStr">
        <is>
          <t>Tonne</t>
        </is>
      </c>
      <c r="E627" s="3" t="n">
        <v>990</v>
      </c>
      <c r="F627" s="3" t="n">
        <v>379655625</v>
      </c>
      <c r="G627" t="inlineStr">
        <is>
          <t>Guinée</t>
        </is>
      </c>
      <c r="H627" s="24" t="n">
        <v>623.76</v>
      </c>
      <c r="I627" s="25" t="n">
        <v>379655625</v>
      </c>
      <c r="J627" s="25" t="n">
        <v>608656.5699999999</v>
      </c>
    </row>
    <row r="628">
      <c r="A628" t="n">
        <v>2022</v>
      </c>
      <c r="B628" t="inlineStr">
        <is>
          <t>GECAMINES</t>
        </is>
      </c>
      <c r="C628" t="inlineStr">
        <is>
          <t>Basalte</t>
        </is>
      </c>
      <c r="D628" t="inlineStr">
        <is>
          <t>Tonne</t>
        </is>
      </c>
      <c r="E628" t="inlineStr">
        <is>
          <t>NC</t>
        </is>
      </c>
      <c r="F628" s="3" t="n">
        <v>752749640</v>
      </c>
      <c r="G628" t="inlineStr">
        <is>
          <t>Gambie</t>
        </is>
      </c>
      <c r="H628" s="24" t="n">
        <v>623.76</v>
      </c>
      <c r="I628" s="25" t="n">
        <v>752749640</v>
      </c>
      <c r="J628" s="25" t="n">
        <v>1206793.7</v>
      </c>
    </row>
    <row r="629">
      <c r="A629" t="n">
        <v>2022</v>
      </c>
      <c r="B629" t="inlineStr">
        <is>
          <t>SGO</t>
        </is>
      </c>
      <c r="C629" t="inlineStr">
        <is>
          <t>Argent</t>
        </is>
      </c>
      <c r="D629" t="inlineStr">
        <is>
          <t>Tonne</t>
        </is>
      </c>
      <c r="E629" s="8" t="n">
        <v>0.8490938099999999</v>
      </c>
      <c r="F629" s="3" t="n">
        <v>374908490</v>
      </c>
      <c r="G629" t="inlineStr">
        <is>
          <t>Suisse</t>
        </is>
      </c>
      <c r="H629" s="24" t="n">
        <v>623.76</v>
      </c>
      <c r="I629" s="25" t="n">
        <v>374908490</v>
      </c>
      <c r="J629" s="25" t="n">
        <v>601046.0600000001</v>
      </c>
    </row>
    <row r="630">
      <c r="A630" t="n">
        <v>2022</v>
      </c>
      <c r="B630" t="inlineStr">
        <is>
          <t>PMC</t>
        </is>
      </c>
      <c r="C630" t="inlineStr">
        <is>
          <t>Argent</t>
        </is>
      </c>
      <c r="D630" t="inlineStr">
        <is>
          <t>Tonne</t>
        </is>
      </c>
      <c r="E630" s="8" t="n">
        <v>0.35442412</v>
      </c>
      <c r="F630" s="3" t="n">
        <v>143623609</v>
      </c>
      <c r="G630" t="inlineStr">
        <is>
          <t>Australie</t>
        </is>
      </c>
      <c r="H630" s="24" t="n">
        <v>623.76</v>
      </c>
      <c r="I630" s="25" t="n">
        <v>143623609</v>
      </c>
      <c r="J630" s="25" t="n">
        <v>230254.6</v>
      </c>
    </row>
    <row r="631">
      <c r="A631" t="n">
        <v>2022</v>
      </c>
      <c r="B631" t="inlineStr">
        <is>
          <t>SOCOCIM</t>
        </is>
      </c>
      <c r="C631" t="inlineStr">
        <is>
          <t>Clinker</t>
        </is>
      </c>
      <c r="D631" t="inlineStr">
        <is>
          <t>Tonne</t>
        </is>
      </c>
      <c r="E631" s="3" t="n">
        <v>13646</v>
      </c>
      <c r="F631" s="3" t="n">
        <v>504794510</v>
      </c>
      <c r="G631" t="inlineStr">
        <is>
          <t>Mali</t>
        </is>
      </c>
      <c r="H631" s="24" t="n">
        <v>623.76</v>
      </c>
      <c r="I631" s="25" t="n">
        <v>504794510</v>
      </c>
      <c r="J631" s="25" t="n">
        <v>809276.8199999999</v>
      </c>
    </row>
    <row r="632">
      <c r="A632" t="n">
        <v>2022</v>
      </c>
      <c r="B632" t="inlineStr">
        <is>
          <t>ICS</t>
        </is>
      </c>
      <c r="C632" t="inlineStr">
        <is>
          <t>Gypse</t>
        </is>
      </c>
      <c r="D632" t="inlineStr">
        <is>
          <t>Tonne</t>
        </is>
      </c>
      <c r="E632" s="3" t="n">
        <v>1020</v>
      </c>
      <c r="F632" s="3" t="n">
        <v>6117000</v>
      </c>
      <c r="G632" t="inlineStr">
        <is>
          <t>Mali</t>
        </is>
      </c>
      <c r="H632" s="24" t="n">
        <v>623.76</v>
      </c>
      <c r="I632" s="25" t="n">
        <v>6117000</v>
      </c>
      <c r="J632" s="25" t="n">
        <v>9806.66</v>
      </c>
    </row>
    <row r="633">
      <c r="A633" t="n">
        <v>2022</v>
      </c>
      <c r="B633" t="inlineStr">
        <is>
          <t>ICS</t>
        </is>
      </c>
      <c r="C633" t="inlineStr">
        <is>
          <t>Gypse</t>
        </is>
      </c>
      <c r="D633" t="inlineStr">
        <is>
          <t>Tonne</t>
        </is>
      </c>
      <c r="E633" s="3" t="n">
        <v>778950</v>
      </c>
      <c r="F633" s="3" t="n">
        <v>4673700</v>
      </c>
      <c r="G633" t="inlineStr">
        <is>
          <t>Guinée-Bissau</t>
        </is>
      </c>
      <c r="H633" s="24" t="n">
        <v>623.76</v>
      </c>
      <c r="I633" s="25" t="n">
        <v>4673700</v>
      </c>
      <c r="J633" s="25" t="n">
        <v>7492.79</v>
      </c>
    </row>
    <row r="634">
      <c r="A634" t="n">
        <v>2022</v>
      </c>
      <c r="B634" t="inlineStr">
        <is>
          <t>SOCOCIM</t>
        </is>
      </c>
      <c r="C634" t="inlineStr">
        <is>
          <t>Autres</t>
        </is>
      </c>
      <c r="D634" t="inlineStr">
        <is>
          <t>NC</t>
        </is>
      </c>
      <c r="E634" t="inlineStr">
        <is>
          <t>NC</t>
        </is>
      </c>
      <c r="F634" s="3" t="n">
        <v>20438660</v>
      </c>
      <c r="G634" t="inlineStr">
        <is>
          <t>Gambie</t>
        </is>
      </c>
      <c r="H634" s="24" t="n">
        <v>623.76</v>
      </c>
      <c r="I634" s="25" t="n">
        <v>20438660</v>
      </c>
      <c r="J634" s="25" t="n">
        <v>32766.87</v>
      </c>
    </row>
    <row r="635">
      <c r="A635" t="n">
        <v>2022</v>
      </c>
      <c r="B635" t="inlineStr">
        <is>
          <t>ICS</t>
        </is>
      </c>
      <c r="C635" t="inlineStr">
        <is>
          <t>Acide Sulfurique</t>
        </is>
      </c>
      <c r="D635" t="inlineStr">
        <is>
          <t>Tonne</t>
        </is>
      </c>
      <c r="E635" s="3" t="n">
        <v>1</v>
      </c>
      <c r="F635" s="3" t="n">
        <v>205000</v>
      </c>
      <c r="G635" t="inlineStr">
        <is>
          <t>Guinée-Bissau</t>
        </is>
      </c>
      <c r="H635" s="24" t="n">
        <v>623.76</v>
      </c>
      <c r="I635" s="25" t="n">
        <v>205000</v>
      </c>
      <c r="J635" s="25" t="n">
        <v>328.65</v>
      </c>
    </row>
    <row r="636">
      <c r="A636" t="n">
        <v>2023</v>
      </c>
      <c r="B636" t="inlineStr">
        <is>
          <t>SGO</t>
        </is>
      </c>
      <c r="C636" t="inlineStr">
        <is>
          <t>Or</t>
        </is>
      </c>
      <c r="D636" t="inlineStr">
        <is>
          <t>Tonne</t>
        </is>
      </c>
      <c r="E636" s="8" t="n">
        <v>8.97948044</v>
      </c>
      <c r="F636" s="3" t="n">
        <v>344273384269</v>
      </c>
      <c r="G636" t="inlineStr">
        <is>
          <t>Suisse</t>
        </is>
      </c>
      <c r="H636" s="24" t="n">
        <v>606.5599999999999</v>
      </c>
      <c r="I636" s="25" t="n">
        <v>344273384269</v>
      </c>
      <c r="J636" s="25" t="n">
        <v>567583395.33</v>
      </c>
    </row>
    <row r="637">
      <c r="A637" t="n">
        <v>2023</v>
      </c>
      <c r="B637" t="inlineStr">
        <is>
          <t>PMC</t>
        </is>
      </c>
      <c r="C637" t="inlineStr">
        <is>
          <t>Or</t>
        </is>
      </c>
      <c r="D637" t="inlineStr">
        <is>
          <t>Tonne</t>
        </is>
      </c>
      <c r="E637" s="8" t="n">
        <v>3.73086204</v>
      </c>
      <c r="F637" s="3" t="n">
        <v>138107655558</v>
      </c>
      <c r="G637" t="inlineStr">
        <is>
          <t>Australie</t>
        </is>
      </c>
      <c r="H637" s="24" t="n">
        <v>606.5599999999999</v>
      </c>
      <c r="I637" s="25" t="n">
        <v>138107655558</v>
      </c>
      <c r="J637" s="25" t="n">
        <v>227690015.1</v>
      </c>
    </row>
    <row r="638">
      <c r="A638" t="n">
        <v>2023</v>
      </c>
      <c r="B638" t="inlineStr">
        <is>
          <t>SGO</t>
        </is>
      </c>
      <c r="C638" t="inlineStr">
        <is>
          <t>Or</t>
        </is>
      </c>
      <c r="D638" t="inlineStr">
        <is>
          <t>Tonne</t>
        </is>
      </c>
      <c r="E638" s="8" t="n">
        <v>0.24882781</v>
      </c>
      <c r="F638" s="3" t="n">
        <v>9494006760</v>
      </c>
      <c r="G638" t="inlineStr">
        <is>
          <t>Sénégal</t>
        </is>
      </c>
      <c r="H638" s="24" t="n">
        <v>606.5599999999999</v>
      </c>
      <c r="I638" s="25" t="n">
        <v>9494006760</v>
      </c>
      <c r="J638" s="25" t="n">
        <v>15652213.73</v>
      </c>
    </row>
    <row r="639">
      <c r="A639" t="n">
        <v>2023</v>
      </c>
      <c r="B639" t="inlineStr">
        <is>
          <t>ICS</t>
        </is>
      </c>
      <c r="C639" t="inlineStr">
        <is>
          <t>Acide Phosphorique</t>
        </is>
      </c>
      <c r="D639" t="inlineStr">
        <is>
          <t>Tonne</t>
        </is>
      </c>
      <c r="E639" s="3" t="n">
        <v>484798</v>
      </c>
      <c r="F639" s="3" t="n">
        <v>286195769501</v>
      </c>
      <c r="G639" t="inlineStr">
        <is>
          <t>Inde</t>
        </is>
      </c>
      <c r="H639" s="24" t="n">
        <v>606.5599999999999</v>
      </c>
      <c r="I639" s="25" t="n">
        <v>286195769501</v>
      </c>
      <c r="J639" s="25"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4" t="n">
        <v>606.5599999999999</v>
      </c>
      <c r="I640" s="25" t="n">
        <v>8684769776</v>
      </c>
      <c r="J640" s="25" t="n">
        <v>14318072.04</v>
      </c>
    </row>
    <row r="641">
      <c r="A641" t="n">
        <v>2023</v>
      </c>
      <c r="B641" t="inlineStr">
        <is>
          <t>ICS</t>
        </is>
      </c>
      <c r="C641" t="inlineStr">
        <is>
          <t>Acide Phosphorique</t>
        </is>
      </c>
      <c r="D641" t="inlineStr">
        <is>
          <t>Tonne</t>
        </is>
      </c>
      <c r="E641" s="3" t="n">
        <v>9504</v>
      </c>
      <c r="F641" s="3" t="n">
        <v>5852241986</v>
      </c>
      <c r="G641" t="inlineStr">
        <is>
          <t>Suisse</t>
        </is>
      </c>
      <c r="H641" s="24" t="n">
        <v>606.5599999999999</v>
      </c>
      <c r="I641" s="25" t="n">
        <v>5852241986</v>
      </c>
      <c r="J641" s="25" t="n">
        <v>9648249.119999999</v>
      </c>
    </row>
    <row r="642">
      <c r="A642" t="n">
        <v>2023</v>
      </c>
      <c r="B642" t="inlineStr">
        <is>
          <t>CDS</t>
        </is>
      </c>
      <c r="C642" t="inlineStr">
        <is>
          <t>Ciment</t>
        </is>
      </c>
      <c r="D642" t="inlineStr">
        <is>
          <t>Tonne</t>
        </is>
      </c>
      <c r="E642" s="3" t="n">
        <v>867211</v>
      </c>
      <c r="F642" s="3" t="n">
        <v>42392387900</v>
      </c>
      <c r="G642" t="inlineStr">
        <is>
          <t>Mali</t>
        </is>
      </c>
      <c r="H642" s="24" t="n">
        <v>606.5599999999999</v>
      </c>
      <c r="I642" s="25" t="n">
        <v>42392387900</v>
      </c>
      <c r="J642" s="25" t="n">
        <v>69889850.8</v>
      </c>
    </row>
    <row r="643">
      <c r="A643" t="n">
        <v>2023</v>
      </c>
      <c r="B643" t="inlineStr">
        <is>
          <t>CDS</t>
        </is>
      </c>
      <c r="C643" t="inlineStr">
        <is>
          <t>Ciment</t>
        </is>
      </c>
      <c r="D643" t="inlineStr">
        <is>
          <t>Tonne</t>
        </is>
      </c>
      <c r="E643" s="3" t="n">
        <v>619499</v>
      </c>
      <c r="F643" s="3" t="n">
        <v>30125944745</v>
      </c>
      <c r="G643" t="inlineStr">
        <is>
          <t>Gambie</t>
        </is>
      </c>
      <c r="H643" s="24" t="n">
        <v>606.5599999999999</v>
      </c>
      <c r="I643" s="25" t="n">
        <v>30125944745</v>
      </c>
      <c r="J643" s="25" t="n">
        <v>49666883.32</v>
      </c>
    </row>
    <row r="644">
      <c r="A644" t="n">
        <v>2023</v>
      </c>
      <c r="B644" t="inlineStr">
        <is>
          <t>DANGOTE</t>
        </is>
      </c>
      <c r="C644" t="inlineStr">
        <is>
          <t>Ciment</t>
        </is>
      </c>
      <c r="D644" t="inlineStr">
        <is>
          <t>Tonne</t>
        </is>
      </c>
      <c r="E644" s="3" t="n">
        <v>240860</v>
      </c>
      <c r="F644" s="3" t="n">
        <v>11879649100</v>
      </c>
      <c r="G644" t="inlineStr">
        <is>
          <t>Mali</t>
        </is>
      </c>
      <c r="H644" s="24" t="n">
        <v>606.5599999999999</v>
      </c>
      <c r="I644" s="25" t="n">
        <v>11879649100</v>
      </c>
      <c r="J644" s="25" t="n">
        <v>19585282.74</v>
      </c>
    </row>
    <row r="645">
      <c r="A645" t="n">
        <v>2023</v>
      </c>
      <c r="B645" t="inlineStr">
        <is>
          <t>SOCOCIM</t>
        </is>
      </c>
      <c r="C645" t="inlineStr">
        <is>
          <t>Ciment</t>
        </is>
      </c>
      <c r="D645" t="inlineStr">
        <is>
          <t>Tonne</t>
        </is>
      </c>
      <c r="E645" s="3" t="n">
        <v>131698</v>
      </c>
      <c r="F645" s="3" t="n">
        <v>6669016479</v>
      </c>
      <c r="G645" t="inlineStr">
        <is>
          <t>Mali</t>
        </is>
      </c>
      <c r="H645" s="24" t="n">
        <v>606.5599999999999</v>
      </c>
      <c r="I645" s="25" t="n">
        <v>6669016479</v>
      </c>
      <c r="J645" s="25" t="n">
        <v>10994817.46</v>
      </c>
    </row>
    <row r="646">
      <c r="A646" t="n">
        <v>2023</v>
      </c>
      <c r="B646" t="inlineStr">
        <is>
          <t>DANGOTE</t>
        </is>
      </c>
      <c r="C646" t="inlineStr">
        <is>
          <t>Ciment</t>
        </is>
      </c>
      <c r="D646" t="inlineStr">
        <is>
          <t>Tonne</t>
        </is>
      </c>
      <c r="E646" s="3" t="n">
        <v>41410</v>
      </c>
      <c r="F646" s="3" t="n">
        <v>1982066100</v>
      </c>
      <c r="G646" t="inlineStr">
        <is>
          <t>Gambie</t>
        </is>
      </c>
      <c r="H646" s="24" t="n">
        <v>606.5599999999999</v>
      </c>
      <c r="I646" s="25" t="n">
        <v>1982066100</v>
      </c>
      <c r="J646" s="25" t="n">
        <v>3267716.47</v>
      </c>
    </row>
    <row r="647">
      <c r="A647" t="n">
        <v>2023</v>
      </c>
      <c r="B647" t="inlineStr">
        <is>
          <t>SOCOCIM</t>
        </is>
      </c>
      <c r="C647" t="inlineStr">
        <is>
          <t>Ciment</t>
        </is>
      </c>
      <c r="D647" t="inlineStr">
        <is>
          <t>Tonne</t>
        </is>
      </c>
      <c r="E647" s="3" t="n">
        <v>36362</v>
      </c>
      <c r="F647" s="3" t="n">
        <v>1769500108</v>
      </c>
      <c r="G647" t="inlineStr">
        <is>
          <t>Gambie</t>
        </is>
      </c>
      <c r="H647" s="24" t="n">
        <v>606.5599999999999</v>
      </c>
      <c r="I647" s="25" t="n">
        <v>1769500108</v>
      </c>
      <c r="J647" s="25" t="n">
        <v>2917271.35</v>
      </c>
    </row>
    <row r="648">
      <c r="A648" t="n">
        <v>2023</v>
      </c>
      <c r="B648" t="inlineStr">
        <is>
          <t>CDS</t>
        </is>
      </c>
      <c r="C648" t="inlineStr">
        <is>
          <t>Ciment</t>
        </is>
      </c>
      <c r="D648" t="inlineStr">
        <is>
          <t>Tonne</t>
        </is>
      </c>
      <c r="E648" s="3" t="n">
        <v>23769</v>
      </c>
      <c r="F648" s="3" t="n">
        <v>1138912000</v>
      </c>
      <c r="G648" t="inlineStr">
        <is>
          <t>Mauritanie</t>
        </is>
      </c>
      <c r="H648" s="24" t="n">
        <v>606.5599999999999</v>
      </c>
      <c r="I648" s="25" t="n">
        <v>1138912000</v>
      </c>
      <c r="J648" s="25" t="n">
        <v>1877657.61</v>
      </c>
    </row>
    <row r="649">
      <c r="A649" t="n">
        <v>2023</v>
      </c>
      <c r="B649" t="inlineStr">
        <is>
          <t>DANGOTE</t>
        </is>
      </c>
      <c r="C649" t="inlineStr">
        <is>
          <t>Ciment</t>
        </is>
      </c>
      <c r="D649" t="inlineStr">
        <is>
          <t>Tonne</t>
        </is>
      </c>
      <c r="E649" s="3" t="n">
        <v>7597</v>
      </c>
      <c r="F649" s="3" t="n">
        <v>361075100</v>
      </c>
      <c r="G649" t="inlineStr">
        <is>
          <t>Guinée-Bissau</t>
        </is>
      </c>
      <c r="H649" s="24" t="n">
        <v>606.5599999999999</v>
      </c>
      <c r="I649" s="25" t="n">
        <v>361075100</v>
      </c>
      <c r="J649" s="25" t="n">
        <v>595283.4</v>
      </c>
    </row>
    <row r="650">
      <c r="A650" t="n">
        <v>2023</v>
      </c>
      <c r="B650" t="inlineStr">
        <is>
          <t>SOCOCIM</t>
        </is>
      </c>
      <c r="C650" t="inlineStr">
        <is>
          <t>Ciment</t>
        </is>
      </c>
      <c r="D650" t="inlineStr">
        <is>
          <t>Tonne</t>
        </is>
      </c>
      <c r="E650" s="3" t="n">
        <v>2818</v>
      </c>
      <c r="F650" s="3" t="n">
        <v>164045385</v>
      </c>
      <c r="G650" t="inlineStr">
        <is>
          <t>Mauritanie</t>
        </is>
      </c>
      <c r="H650" s="24" t="n">
        <v>606.5599999999999</v>
      </c>
      <c r="I650" s="25" t="n">
        <v>164045385</v>
      </c>
      <c r="J650" s="25" t="n">
        <v>270452.03</v>
      </c>
    </row>
    <row r="651">
      <c r="A651" t="n">
        <v>2023</v>
      </c>
      <c r="B651" t="inlineStr">
        <is>
          <t>CDS</t>
        </is>
      </c>
      <c r="C651" t="inlineStr">
        <is>
          <t>Ciment</t>
        </is>
      </c>
      <c r="D651" t="inlineStr">
        <is>
          <t>Tonne</t>
        </is>
      </c>
      <c r="E651" s="3" t="n">
        <v>1883</v>
      </c>
      <c r="F651" s="3" t="n">
        <v>91769600</v>
      </c>
      <c r="G651" t="inlineStr">
        <is>
          <t>Guinée-Bissau</t>
        </is>
      </c>
      <c r="H651" s="24" t="n">
        <v>606.5599999999999</v>
      </c>
      <c r="I651" s="25" t="n">
        <v>91769600</v>
      </c>
      <c r="J651" s="25" t="n">
        <v>151295.17</v>
      </c>
    </row>
    <row r="652">
      <c r="A652" t="n">
        <v>2023</v>
      </c>
      <c r="B652" t="inlineStr">
        <is>
          <t>SOCOCIM</t>
        </is>
      </c>
      <c r="C652" t="inlineStr">
        <is>
          <t>Ciment</t>
        </is>
      </c>
      <c r="D652" t="inlineStr">
        <is>
          <t>Tonne</t>
        </is>
      </c>
      <c r="E652" s="3" t="n">
        <v>1232</v>
      </c>
      <c r="F652" s="3" t="n">
        <v>66124850</v>
      </c>
      <c r="G652" t="inlineStr">
        <is>
          <t>Guinée</t>
        </is>
      </c>
      <c r="H652" s="24" t="n">
        <v>606.5599999999999</v>
      </c>
      <c r="I652" s="25" t="n">
        <v>66124850</v>
      </c>
      <c r="J652" s="25" t="n">
        <v>109016.17</v>
      </c>
    </row>
    <row r="653">
      <c r="A653" t="n">
        <v>2023</v>
      </c>
      <c r="B653" t="inlineStr">
        <is>
          <t>SOCOCIM</t>
        </is>
      </c>
      <c r="C653" t="inlineStr">
        <is>
          <t>Ciment</t>
        </is>
      </c>
      <c r="D653" t="inlineStr">
        <is>
          <t>Tonne</t>
        </is>
      </c>
      <c r="E653" s="3" t="n">
        <v>615</v>
      </c>
      <c r="F653" s="3" t="n">
        <v>36205000</v>
      </c>
      <c r="G653" t="inlineStr">
        <is>
          <t>Guinée-Bissau</t>
        </is>
      </c>
      <c r="H653" s="24" t="n">
        <v>606.5599999999999</v>
      </c>
      <c r="I653" s="25" t="n">
        <v>36205000</v>
      </c>
      <c r="J653" s="25" t="n">
        <v>59689.07</v>
      </c>
    </row>
    <row r="654">
      <c r="A654" t="n">
        <v>2023</v>
      </c>
      <c r="B654" t="inlineStr">
        <is>
          <t>GCO</t>
        </is>
      </c>
      <c r="C654" t="inlineStr">
        <is>
          <t>Ilménite</t>
        </is>
      </c>
      <c r="D654" t="inlineStr">
        <is>
          <t>Tonne</t>
        </is>
      </c>
      <c r="E654" s="3" t="n">
        <v>292907</v>
      </c>
      <c r="F654" s="3" t="n">
        <v>53758549874</v>
      </c>
      <c r="G654" t="inlineStr">
        <is>
          <t>France</t>
        </is>
      </c>
      <c r="H654" s="24" t="n">
        <v>606.5599999999999</v>
      </c>
      <c r="I654" s="25" t="n">
        <v>53758549874</v>
      </c>
      <c r="J654" s="25" t="n">
        <v>88628577.34</v>
      </c>
    </row>
    <row r="655">
      <c r="A655" t="n">
        <v>2023</v>
      </c>
      <c r="B655" t="inlineStr">
        <is>
          <t>SOMIVA</t>
        </is>
      </c>
      <c r="C655" t="inlineStr">
        <is>
          <t>Phosphate</t>
        </is>
      </c>
      <c r="D655" t="inlineStr">
        <is>
          <t>Tonne</t>
        </is>
      </c>
      <c r="E655" s="3" t="n">
        <v>147924</v>
      </c>
      <c r="F655" s="3" t="n">
        <v>14379992965</v>
      </c>
      <c r="G655" t="inlineStr">
        <is>
          <t>Suisse</t>
        </is>
      </c>
      <c r="H655" s="24" t="n">
        <v>606.5599999999999</v>
      </c>
      <c r="I655" s="25" t="n">
        <v>14379992965</v>
      </c>
      <c r="J655" s="25" t="n">
        <v>23707453.45</v>
      </c>
    </row>
    <row r="656">
      <c r="A656" t="n">
        <v>2023</v>
      </c>
      <c r="B656" t="inlineStr">
        <is>
          <t>SOMIVA</t>
        </is>
      </c>
      <c r="C656" t="inlineStr">
        <is>
          <t>Phosphate</t>
        </is>
      </c>
      <c r="D656" t="inlineStr">
        <is>
          <t>Tonne</t>
        </is>
      </c>
      <c r="E656" s="3" t="n">
        <v>137653</v>
      </c>
      <c r="F656" s="3" t="n">
        <v>13479732099</v>
      </c>
      <c r="G656" t="inlineStr">
        <is>
          <t>Suisse</t>
        </is>
      </c>
      <c r="H656" s="24" t="n">
        <v>606.5599999999999</v>
      </c>
      <c r="I656" s="25" t="n">
        <v>13479732099</v>
      </c>
      <c r="J656" s="25" t="n">
        <v>22223246.01</v>
      </c>
    </row>
    <row r="657">
      <c r="A657" t="n">
        <v>2023</v>
      </c>
      <c r="B657" t="inlineStr">
        <is>
          <t>SEPHOS</t>
        </is>
      </c>
      <c r="C657" t="inlineStr">
        <is>
          <t>Phosphate</t>
        </is>
      </c>
      <c r="D657" t="inlineStr">
        <is>
          <t>Tonne</t>
        </is>
      </c>
      <c r="E657" s="3" t="n">
        <v>107973</v>
      </c>
      <c r="F657" s="3" t="n">
        <v>8991701556</v>
      </c>
      <c r="G657" t="inlineStr">
        <is>
          <t>Inde</t>
        </is>
      </c>
      <c r="H657" s="24" t="n">
        <v>606.5599999999999</v>
      </c>
      <c r="I657" s="25" t="n">
        <v>8991701556</v>
      </c>
      <c r="J657" s="25" t="n">
        <v>14824092.52</v>
      </c>
    </row>
    <row r="658">
      <c r="A658" t="n">
        <v>2023</v>
      </c>
      <c r="B658" t="inlineStr">
        <is>
          <t>BMCC</t>
        </is>
      </c>
      <c r="C658" t="inlineStr">
        <is>
          <t>Phosphate</t>
        </is>
      </c>
      <c r="D658" t="inlineStr">
        <is>
          <t>Tonne</t>
        </is>
      </c>
      <c r="E658" s="3" t="n">
        <v>120731</v>
      </c>
      <c r="F658" s="3" t="n">
        <v>7003407888</v>
      </c>
      <c r="G658" t="inlineStr">
        <is>
          <t>Inde</t>
        </is>
      </c>
      <c r="H658" s="24" t="n">
        <v>606.5599999999999</v>
      </c>
      <c r="I658" s="25" t="n">
        <v>7003407888</v>
      </c>
      <c r="J658" s="25" t="n">
        <v>11546109.02</v>
      </c>
    </row>
    <row r="659">
      <c r="A659" t="n">
        <v>2023</v>
      </c>
      <c r="B659" t="inlineStr">
        <is>
          <t>SOMIVA</t>
        </is>
      </c>
      <c r="C659" t="inlineStr">
        <is>
          <t>Phosphate</t>
        </is>
      </c>
      <c r="D659" t="inlineStr">
        <is>
          <t>Tonne</t>
        </is>
      </c>
      <c r="E659" s="3" t="n">
        <v>50000</v>
      </c>
      <c r="F659" s="3" t="n">
        <v>4820622150</v>
      </c>
      <c r="G659" t="inlineStr">
        <is>
          <t>Sénégal</t>
        </is>
      </c>
      <c r="H659" s="24" t="n">
        <v>606.5599999999999</v>
      </c>
      <c r="I659" s="25" t="n">
        <v>4820622150</v>
      </c>
      <c r="J659" s="25" t="n">
        <v>7947477.83</v>
      </c>
    </row>
    <row r="660">
      <c r="A660" t="n">
        <v>2023</v>
      </c>
      <c r="B660" t="inlineStr">
        <is>
          <t>SOMIVA</t>
        </is>
      </c>
      <c r="C660" t="inlineStr">
        <is>
          <t>Phosphate</t>
        </is>
      </c>
      <c r="D660" t="inlineStr">
        <is>
          <t>Tonne</t>
        </is>
      </c>
      <c r="E660" s="3" t="n">
        <v>19359</v>
      </c>
      <c r="F660" s="3" t="n">
        <v>2288489144</v>
      </c>
      <c r="G660" t="inlineStr">
        <is>
          <t>Lituanie</t>
        </is>
      </c>
      <c r="H660" s="24" t="n">
        <v>606.5599999999999</v>
      </c>
      <c r="I660" s="25" t="n">
        <v>2288489144</v>
      </c>
      <c r="J660" s="25" t="n">
        <v>3772898.22</v>
      </c>
    </row>
    <row r="661">
      <c r="A661" t="n">
        <v>2023</v>
      </c>
      <c r="B661" t="inlineStr">
        <is>
          <t>SOMIVA</t>
        </is>
      </c>
      <c r="C661" t="inlineStr">
        <is>
          <t>Phosphate</t>
        </is>
      </c>
      <c r="D661" t="inlineStr">
        <is>
          <t>Tonne</t>
        </is>
      </c>
      <c r="E661" s="3" t="n">
        <v>15000</v>
      </c>
      <c r="F661" s="3" t="n">
        <v>900789900</v>
      </c>
      <c r="G661" t="inlineStr">
        <is>
          <t>Mali</t>
        </is>
      </c>
      <c r="H661" s="24" t="n">
        <v>606.5599999999999</v>
      </c>
      <c r="I661" s="25" t="n">
        <v>900789900</v>
      </c>
      <c r="J661" s="25" t="n">
        <v>1485079.63</v>
      </c>
    </row>
    <row r="662">
      <c r="A662" t="n">
        <v>2023</v>
      </c>
      <c r="B662" t="inlineStr">
        <is>
          <t>SEPHOS</t>
        </is>
      </c>
      <c r="C662" t="inlineStr">
        <is>
          <t>Phosphate</t>
        </is>
      </c>
      <c r="D662" t="inlineStr">
        <is>
          <t>Tonne</t>
        </is>
      </c>
      <c r="E662" s="3" t="n">
        <v>4829</v>
      </c>
      <c r="F662" s="3" t="n">
        <v>250924635</v>
      </c>
      <c r="G662" t="inlineStr">
        <is>
          <t>Sénégal</t>
        </is>
      </c>
      <c r="H662" s="24" t="n">
        <v>606.5599999999999</v>
      </c>
      <c r="I662" s="25" t="n">
        <v>250924635</v>
      </c>
      <c r="J662" s="25" t="n">
        <v>413684.77</v>
      </c>
    </row>
    <row r="663">
      <c r="A663" t="n">
        <v>2023</v>
      </c>
      <c r="B663" t="inlineStr">
        <is>
          <t>SEPHOS</t>
        </is>
      </c>
      <c r="C663" t="inlineStr">
        <is>
          <t>Phosphate</t>
        </is>
      </c>
      <c r="D663" t="inlineStr">
        <is>
          <t>Tonne</t>
        </is>
      </c>
      <c r="E663" s="3" t="n">
        <v>1600</v>
      </c>
      <c r="F663" s="3" t="n">
        <v>224599677</v>
      </c>
      <c r="G663" t="inlineStr">
        <is>
          <t>Ghana</t>
        </is>
      </c>
      <c r="H663" s="24" t="n">
        <v>606.5599999999999</v>
      </c>
      <c r="I663" s="25" t="n">
        <v>224599677</v>
      </c>
      <c r="J663" s="25" t="n">
        <v>370284.35</v>
      </c>
    </row>
    <row r="664">
      <c r="A664" t="n">
        <v>2023</v>
      </c>
      <c r="B664" t="inlineStr">
        <is>
          <t>SEPHOS</t>
        </is>
      </c>
      <c r="C664" t="inlineStr">
        <is>
          <t>Phosphate</t>
        </is>
      </c>
      <c r="D664" t="inlineStr">
        <is>
          <t>Tonne</t>
        </is>
      </c>
      <c r="E664" s="3" t="n">
        <v>500</v>
      </c>
      <c r="F664" s="3" t="n">
        <v>82322604</v>
      </c>
      <c r="G664" t="inlineStr">
        <is>
          <t>El Salvador</t>
        </is>
      </c>
      <c r="H664" s="24" t="n">
        <v>606.5599999999999</v>
      </c>
      <c r="I664" s="25" t="n">
        <v>82322604</v>
      </c>
      <c r="J664" s="25" t="n">
        <v>135720.46</v>
      </c>
    </row>
    <row r="665">
      <c r="A665" t="n">
        <v>2023</v>
      </c>
      <c r="B665" t="inlineStr">
        <is>
          <t>GCO</t>
        </is>
      </c>
      <c r="C665" t="inlineStr">
        <is>
          <t>Zircon</t>
        </is>
      </c>
      <c r="D665" t="inlineStr">
        <is>
          <t>Tonne</t>
        </is>
      </c>
      <c r="E665" s="3" t="n">
        <v>28177</v>
      </c>
      <c r="F665" s="3" t="n">
        <v>32884062478</v>
      </c>
      <c r="G665" t="inlineStr">
        <is>
          <t>France</t>
        </is>
      </c>
      <c r="H665" s="24" t="n">
        <v>606.5599999999999</v>
      </c>
      <c r="I665" s="25" t="n">
        <v>32884062478</v>
      </c>
      <c r="J665" s="25" t="n">
        <v>54214030.73</v>
      </c>
    </row>
    <row r="666">
      <c r="A666" t="n">
        <v>2023</v>
      </c>
      <c r="B666" t="inlineStr">
        <is>
          <t>GCO</t>
        </is>
      </c>
      <c r="C666" t="inlineStr">
        <is>
          <t>Zircon</t>
        </is>
      </c>
      <c r="D666" t="inlineStr">
        <is>
          <t>Tonne</t>
        </is>
      </c>
      <c r="E666" s="3" t="n">
        <v>19379</v>
      </c>
      <c r="F666" s="3" t="n">
        <v>20872789482</v>
      </c>
      <c r="G666" t="inlineStr">
        <is>
          <t>France</t>
        </is>
      </c>
      <c r="H666" s="24" t="n">
        <v>606.5599999999999</v>
      </c>
      <c r="I666" s="25" t="n">
        <v>20872789482</v>
      </c>
      <c r="J666" s="25" t="n">
        <v>34411747.37</v>
      </c>
    </row>
    <row r="667">
      <c r="A667" t="n">
        <v>2023</v>
      </c>
      <c r="B667" t="inlineStr">
        <is>
          <t>GCO</t>
        </is>
      </c>
      <c r="C667" t="inlineStr">
        <is>
          <t>Ilménite</t>
        </is>
      </c>
      <c r="D667" t="inlineStr">
        <is>
          <t>Tonne</t>
        </is>
      </c>
      <c r="E667" s="3" t="n">
        <v>111716</v>
      </c>
      <c r="F667" s="3" t="n">
        <v>19733612738</v>
      </c>
      <c r="G667" t="inlineStr">
        <is>
          <t>France</t>
        </is>
      </c>
      <c r="H667" s="24" t="n">
        <v>606.5599999999999</v>
      </c>
      <c r="I667" s="25" t="n">
        <v>19733612738</v>
      </c>
      <c r="J667" s="25" t="n">
        <v>32533653.29</v>
      </c>
    </row>
    <row r="668">
      <c r="A668" t="n">
        <v>2023</v>
      </c>
      <c r="B668" t="inlineStr">
        <is>
          <t>ICS</t>
        </is>
      </c>
      <c r="C668" t="inlineStr">
        <is>
          <t>Engrais</t>
        </is>
      </c>
      <c r="D668" t="inlineStr">
        <is>
          <t>Tonne</t>
        </is>
      </c>
      <c r="E668" s="3" t="n">
        <v>30297</v>
      </c>
      <c r="F668" s="3" t="n">
        <v>13498798140</v>
      </c>
      <c r="G668" t="inlineStr">
        <is>
          <t>Mali</t>
        </is>
      </c>
      <c r="H668" s="24" t="n">
        <v>606.5599999999999</v>
      </c>
      <c r="I668" s="25" t="n">
        <v>13498798140</v>
      </c>
      <c r="J668" s="25" t="n">
        <v>22254679.08</v>
      </c>
    </row>
    <row r="669">
      <c r="A669" t="n">
        <v>2023</v>
      </c>
      <c r="B669" t="inlineStr">
        <is>
          <t>ICS</t>
        </is>
      </c>
      <c r="C669" t="inlineStr">
        <is>
          <t>Engrais</t>
        </is>
      </c>
      <c r="D669" t="inlineStr">
        <is>
          <t>Tonne</t>
        </is>
      </c>
      <c r="E669" s="3" t="n">
        <v>17143</v>
      </c>
      <c r="F669" s="3" t="n">
        <v>6081250780</v>
      </c>
      <c r="G669" t="inlineStr">
        <is>
          <t>Gambie</t>
        </is>
      </c>
      <c r="H669" s="24" t="n">
        <v>606.5599999999999</v>
      </c>
      <c r="I669" s="25" t="n">
        <v>6081250780</v>
      </c>
      <c r="J669" s="25" t="n">
        <v>10025802.53</v>
      </c>
    </row>
    <row r="670">
      <c r="A670" t="n">
        <v>2023</v>
      </c>
      <c r="B670" t="inlineStr">
        <is>
          <t>SSPT</t>
        </is>
      </c>
      <c r="C670" t="inlineStr">
        <is>
          <t>Attapulgite</t>
        </is>
      </c>
      <c r="D670" t="inlineStr">
        <is>
          <t>Tonne</t>
        </is>
      </c>
      <c r="E670" s="3" t="n">
        <v>63715</v>
      </c>
      <c r="F670" s="3" t="n">
        <v>1713440839</v>
      </c>
      <c r="G670" t="inlineStr">
        <is>
          <t>France</t>
        </is>
      </c>
      <c r="H670" s="24" t="n">
        <v>606.5599999999999</v>
      </c>
      <c r="I670" s="25" t="n">
        <v>1713440839</v>
      </c>
      <c r="J670" s="25" t="n">
        <v>2824849.71</v>
      </c>
    </row>
    <row r="671">
      <c r="A671" t="n">
        <v>2023</v>
      </c>
      <c r="B671" t="inlineStr">
        <is>
          <t>SSPT</t>
        </is>
      </c>
      <c r="C671" t="inlineStr">
        <is>
          <t>Attapulgite</t>
        </is>
      </c>
      <c r="D671" t="inlineStr">
        <is>
          <t>Tonne</t>
        </is>
      </c>
      <c r="E671" s="3" t="n">
        <v>70975</v>
      </c>
      <c r="F671" s="3" t="n">
        <v>1667182560</v>
      </c>
      <c r="G671" t="inlineStr">
        <is>
          <t>Royaume-Uni</t>
        </is>
      </c>
      <c r="H671" s="24" t="n">
        <v>606.5599999999999</v>
      </c>
      <c r="I671" s="25" t="n">
        <v>1667182560</v>
      </c>
      <c r="J671" s="25" t="n">
        <v>2748586.39</v>
      </c>
    </row>
    <row r="672">
      <c r="A672" t="n">
        <v>2023</v>
      </c>
      <c r="B672" t="inlineStr">
        <is>
          <t>SSPT</t>
        </is>
      </c>
      <c r="C672" t="inlineStr">
        <is>
          <t>Attapulgite</t>
        </is>
      </c>
      <c r="D672" t="inlineStr">
        <is>
          <t>Tonne</t>
        </is>
      </c>
      <c r="E672" s="3" t="n">
        <v>41485</v>
      </c>
      <c r="F672" s="3" t="n">
        <v>1096623757</v>
      </c>
      <c r="G672" t="inlineStr">
        <is>
          <t>Pays-Bas</t>
        </is>
      </c>
      <c r="H672" s="24" t="n">
        <v>606.5599999999999</v>
      </c>
      <c r="I672" s="25" t="n">
        <v>1096623757</v>
      </c>
      <c r="J672" s="25" t="n">
        <v>1807939.46</v>
      </c>
    </row>
    <row r="673">
      <c r="A673" t="n">
        <v>2023</v>
      </c>
      <c r="B673" t="inlineStr">
        <is>
          <t>SSPT</t>
        </is>
      </c>
      <c r="C673" t="inlineStr">
        <is>
          <t>Attapulgite</t>
        </is>
      </c>
      <c r="D673" t="inlineStr">
        <is>
          <t>Tonne</t>
        </is>
      </c>
      <c r="E673" s="3" t="n">
        <v>4585</v>
      </c>
      <c r="F673" s="3" t="n">
        <v>249606882</v>
      </c>
      <c r="G673" t="inlineStr">
        <is>
          <t>Sénégal</t>
        </is>
      </c>
      <c r="H673" s="24" t="n">
        <v>606.5599999999999</v>
      </c>
      <c r="I673" s="25" t="n">
        <v>249606882</v>
      </c>
      <c r="J673" s="25" t="n">
        <v>411512.27</v>
      </c>
    </row>
    <row r="674">
      <c r="A674" t="n">
        <v>2023</v>
      </c>
      <c r="B674" t="inlineStr">
        <is>
          <t>GCO</t>
        </is>
      </c>
      <c r="C674" t="inlineStr">
        <is>
          <t>Leucoxène</t>
        </is>
      </c>
      <c r="D674" t="inlineStr">
        <is>
          <t>Tonne</t>
        </is>
      </c>
      <c r="E674" s="3" t="n">
        <v>4820</v>
      </c>
      <c r="F674" s="3" t="n">
        <v>3842041029</v>
      </c>
      <c r="G674" t="inlineStr">
        <is>
          <t>France</t>
        </is>
      </c>
      <c r="H674" s="24" t="n">
        <v>606.5599999999999</v>
      </c>
      <c r="I674" s="25" t="n">
        <v>3842041029</v>
      </c>
      <c r="J674" s="25" t="n">
        <v>6334148.36</v>
      </c>
    </row>
    <row r="675">
      <c r="A675" t="n">
        <v>2023</v>
      </c>
      <c r="B675" t="inlineStr">
        <is>
          <t>GCO</t>
        </is>
      </c>
      <c r="C675" t="inlineStr">
        <is>
          <t>Rutile</t>
        </is>
      </c>
      <c r="D675" t="inlineStr">
        <is>
          <t>Tonne</t>
        </is>
      </c>
      <c r="E675" s="3" t="n">
        <v>3062</v>
      </c>
      <c r="F675" s="3" t="n">
        <v>3610313079</v>
      </c>
      <c r="G675" t="inlineStr">
        <is>
          <t>France</t>
        </is>
      </c>
      <c r="H675" s="24" t="n">
        <v>606.5599999999999</v>
      </c>
      <c r="I675" s="25" t="n">
        <v>3610313079</v>
      </c>
      <c r="J675" s="25" t="n">
        <v>5952112.04</v>
      </c>
    </row>
    <row r="676">
      <c r="A676" t="n">
        <v>2023</v>
      </c>
      <c r="B676" t="inlineStr">
        <is>
          <t>GCO</t>
        </is>
      </c>
      <c r="C676" t="inlineStr">
        <is>
          <t>Zircon</t>
        </is>
      </c>
      <c r="D676" t="inlineStr">
        <is>
          <t>Tonne</t>
        </is>
      </c>
      <c r="E676" s="3" t="n">
        <v>24987</v>
      </c>
      <c r="F676" s="3" t="n">
        <v>3353671528</v>
      </c>
      <c r="G676" t="inlineStr">
        <is>
          <t>France</t>
        </is>
      </c>
      <c r="H676" s="24" t="n">
        <v>606.5599999999999</v>
      </c>
      <c r="I676" s="25" t="n">
        <v>3353671528</v>
      </c>
      <c r="J676" s="25" t="n">
        <v>5529002.12</v>
      </c>
    </row>
    <row r="677">
      <c r="A677" t="n">
        <v>2023</v>
      </c>
      <c r="B677" t="inlineStr">
        <is>
          <t>COGECA</t>
        </is>
      </c>
      <c r="C677" t="inlineStr">
        <is>
          <t>Basalte</t>
        </is>
      </c>
      <c r="D677" t="inlineStr">
        <is>
          <t>Tonne</t>
        </is>
      </c>
      <c r="E677" s="3" t="n">
        <v>22058</v>
      </c>
      <c r="F677" s="3" t="n">
        <v>46887495</v>
      </c>
      <c r="G677" t="inlineStr">
        <is>
          <t>NC</t>
        </is>
      </c>
      <c r="H677" s="24" t="n">
        <v>606.5599999999999</v>
      </c>
      <c r="I677" s="25" t="n">
        <v>46887495</v>
      </c>
      <c r="J677" s="25" t="n">
        <v>77300.67</v>
      </c>
    </row>
    <row r="678">
      <c r="A678" t="n">
        <v>2023</v>
      </c>
      <c r="B678" t="inlineStr">
        <is>
          <t>TALIX</t>
        </is>
      </c>
      <c r="C678" t="inlineStr">
        <is>
          <t>Basalte</t>
        </is>
      </c>
      <c r="D678" t="inlineStr">
        <is>
          <t>Tonne</t>
        </is>
      </c>
      <c r="E678" t="inlineStr">
        <is>
          <t>NC</t>
        </is>
      </c>
      <c r="F678" s="3" t="n">
        <v>2526487480</v>
      </c>
      <c r="G678" t="inlineStr">
        <is>
          <t>Sénégal</t>
        </is>
      </c>
      <c r="H678" s="24" t="n">
        <v>606.5599999999999</v>
      </c>
      <c r="I678" s="25" t="n">
        <v>2526487480</v>
      </c>
      <c r="J678" s="25" t="n">
        <v>4165272.16</v>
      </c>
    </row>
    <row r="679">
      <c r="A679" t="n">
        <v>2023</v>
      </c>
      <c r="B679" t="inlineStr">
        <is>
          <t>GECAMINES</t>
        </is>
      </c>
      <c r="C679" t="inlineStr">
        <is>
          <t>Basalte</t>
        </is>
      </c>
      <c r="D679" t="inlineStr">
        <is>
          <t>Tonne</t>
        </is>
      </c>
      <c r="E679" s="3" t="n">
        <v>65839</v>
      </c>
      <c r="F679" s="3" t="n">
        <v>566744852</v>
      </c>
      <c r="G679" t="inlineStr">
        <is>
          <t>Gambie</t>
        </is>
      </c>
      <c r="H679" s="24" t="n">
        <v>606.5599999999999</v>
      </c>
      <c r="I679" s="25" t="n">
        <v>566744852</v>
      </c>
      <c r="J679" s="25" t="n">
        <v>934359.09</v>
      </c>
    </row>
    <row r="680">
      <c r="A680" t="n">
        <v>2023</v>
      </c>
      <c r="B680" t="inlineStr">
        <is>
          <t>TALIX</t>
        </is>
      </c>
      <c r="C680" t="inlineStr">
        <is>
          <t>Basalte</t>
        </is>
      </c>
      <c r="D680" t="inlineStr">
        <is>
          <t>Tonne</t>
        </is>
      </c>
      <c r="E680" t="inlineStr">
        <is>
          <t>NC</t>
        </is>
      </c>
      <c r="F680" s="3" t="n">
        <v>97587866</v>
      </c>
      <c r="G680" t="inlineStr">
        <is>
          <t>Gambie</t>
        </is>
      </c>
      <c r="H680" s="24" t="n">
        <v>606.5599999999999</v>
      </c>
      <c r="I680" s="25" t="n">
        <v>97587866</v>
      </c>
      <c r="J680" s="25" t="n">
        <v>160887.41</v>
      </c>
    </row>
    <row r="681">
      <c r="A681" t="n">
        <v>2023</v>
      </c>
      <c r="B681" t="inlineStr">
        <is>
          <t>GCO</t>
        </is>
      </c>
      <c r="C681" t="inlineStr">
        <is>
          <t>Ilménite</t>
        </is>
      </c>
      <c r="D681" t="inlineStr">
        <is>
          <t>Tonne</t>
        </is>
      </c>
      <c r="E681" s="3" t="n">
        <v>17001</v>
      </c>
      <c r="F681" s="3" t="n">
        <v>2471147154</v>
      </c>
      <c r="G681" t="inlineStr">
        <is>
          <t>France</t>
        </is>
      </c>
      <c r="H681" s="24" t="n">
        <v>606.5599999999999</v>
      </c>
      <c r="I681" s="25" t="n">
        <v>2471147154</v>
      </c>
      <c r="J681" s="25" t="n">
        <v>4074035.8</v>
      </c>
    </row>
    <row r="682">
      <c r="A682" t="n">
        <v>2023</v>
      </c>
      <c r="B682" t="inlineStr">
        <is>
          <t>SGO</t>
        </is>
      </c>
      <c r="C682" t="inlineStr">
        <is>
          <t>Argent</t>
        </is>
      </c>
      <c r="D682" t="inlineStr">
        <is>
          <t>Tonne</t>
        </is>
      </c>
      <c r="E682" s="8" t="n">
        <v>0.67874007</v>
      </c>
      <c r="F682" s="3" t="n">
        <v>307938113</v>
      </c>
      <c r="G682" t="inlineStr">
        <is>
          <t>Suisse</t>
        </is>
      </c>
      <c r="H682" s="24" t="n">
        <v>606.5599999999999</v>
      </c>
      <c r="I682" s="25" t="n">
        <v>307938113</v>
      </c>
      <c r="J682" s="25" t="n">
        <v>507679.56</v>
      </c>
    </row>
    <row r="683">
      <c r="A683" t="n">
        <v>2023</v>
      </c>
      <c r="B683" t="inlineStr">
        <is>
          <t>PMC</t>
        </is>
      </c>
      <c r="C683" t="inlineStr">
        <is>
          <t>Argent</t>
        </is>
      </c>
      <c r="D683" t="inlineStr">
        <is>
          <t>Tonne</t>
        </is>
      </c>
      <c r="E683" s="8" t="n">
        <v>0.27595005</v>
      </c>
      <c r="F683" s="3" t="n">
        <v>122375993</v>
      </c>
      <c r="G683" t="inlineStr">
        <is>
          <t>Australie</t>
        </is>
      </c>
      <c r="H683" s="24" t="n">
        <v>606.5599999999999</v>
      </c>
      <c r="I683" s="25" t="n">
        <v>122375993</v>
      </c>
      <c r="J683" s="25" t="n">
        <v>201754.14</v>
      </c>
    </row>
    <row r="684">
      <c r="A684" t="n">
        <v>2023</v>
      </c>
      <c r="B684" t="inlineStr">
        <is>
          <t>ICS</t>
        </is>
      </c>
      <c r="C684" t="inlineStr">
        <is>
          <t>Engrais</t>
        </is>
      </c>
      <c r="D684" t="inlineStr">
        <is>
          <t>Tonne</t>
        </is>
      </c>
      <c r="E684" s="3" t="n">
        <v>4084</v>
      </c>
      <c r="F684" s="3" t="n">
        <v>358740500</v>
      </c>
      <c r="G684" t="inlineStr">
        <is>
          <t>Mali</t>
        </is>
      </c>
      <c r="H684" s="24" t="n">
        <v>606.5599999999999</v>
      </c>
      <c r="I684" s="25" t="n">
        <v>358740500</v>
      </c>
      <c r="J684" s="25" t="n">
        <v>591434.48</v>
      </c>
    </row>
    <row r="685">
      <c r="A685" t="n">
        <v>2023</v>
      </c>
      <c r="B685" t="inlineStr">
        <is>
          <t>SOCOCIM</t>
        </is>
      </c>
      <c r="C685" t="inlineStr">
        <is>
          <t>Clinker</t>
        </is>
      </c>
      <c r="D685" t="inlineStr">
        <is>
          <t>Tonne</t>
        </is>
      </c>
      <c r="E685" s="3" t="n">
        <v>3599</v>
      </c>
      <c r="F685" s="3" t="n">
        <v>134973750</v>
      </c>
      <c r="G685" t="inlineStr">
        <is>
          <t>Mali</t>
        </is>
      </c>
      <c r="H685" s="24" t="n">
        <v>606.5599999999999</v>
      </c>
      <c r="I685" s="25" t="n">
        <v>134973750</v>
      </c>
      <c r="J685" s="25" t="n">
        <v>222523.33</v>
      </c>
    </row>
    <row r="686">
      <c r="A686" t="n">
        <v>2023</v>
      </c>
      <c r="B686" t="inlineStr">
        <is>
          <t>ICS</t>
        </is>
      </c>
      <c r="C686" t="inlineStr">
        <is>
          <t>Gypse</t>
        </is>
      </c>
      <c r="D686" t="inlineStr">
        <is>
          <t>Tonne</t>
        </is>
      </c>
      <c r="E686" s="3" t="n">
        <v>1412</v>
      </c>
      <c r="F686" s="3" t="n">
        <v>8472900</v>
      </c>
      <c r="G686" t="inlineStr">
        <is>
          <t>Mali</t>
        </is>
      </c>
      <c r="H686" s="24" t="n">
        <v>606.5599999999999</v>
      </c>
      <c r="I686" s="25" t="n">
        <v>8472900</v>
      </c>
      <c r="J686" s="25" t="n">
        <v>13968.77</v>
      </c>
    </row>
    <row r="687">
      <c r="A687" t="n">
        <v>2023</v>
      </c>
      <c r="B687" t="inlineStr">
        <is>
          <t>ICS</t>
        </is>
      </c>
      <c r="C687" t="inlineStr">
        <is>
          <t>Gypse</t>
        </is>
      </c>
      <c r="D687" t="inlineStr">
        <is>
          <t>Tonne</t>
        </is>
      </c>
      <c r="E687" s="3" t="n">
        <v>1352</v>
      </c>
      <c r="F687" s="3" t="n">
        <v>8114700</v>
      </c>
      <c r="G687" t="inlineStr">
        <is>
          <t>Guinée-Bissau</t>
        </is>
      </c>
      <c r="H687" s="24" t="n">
        <v>606.5599999999999</v>
      </c>
      <c r="I687" s="25" t="n">
        <v>8114700</v>
      </c>
      <c r="J687" s="25" t="n">
        <v>13378.23</v>
      </c>
    </row>
    <row r="688">
      <c r="A688" t="n">
        <v>2023</v>
      </c>
      <c r="B688" t="inlineStr">
        <is>
          <t>ICS</t>
        </is>
      </c>
      <c r="C688" t="inlineStr">
        <is>
          <t>Gypse</t>
        </is>
      </c>
      <c r="D688" t="inlineStr">
        <is>
          <t>Tonne</t>
        </is>
      </c>
      <c r="E688" s="3" t="n">
        <v>100</v>
      </c>
      <c r="F688" s="3" t="n">
        <v>600000</v>
      </c>
      <c r="G688" t="inlineStr">
        <is>
          <t>Burkina Faso</t>
        </is>
      </c>
      <c r="H688" s="24" t="n">
        <v>606.5599999999999</v>
      </c>
      <c r="I688" s="25" t="n">
        <v>600000</v>
      </c>
      <c r="J688" s="25" t="n">
        <v>989.1799999999999</v>
      </c>
    </row>
    <row r="689">
      <c r="A689" t="n">
        <v>2023</v>
      </c>
      <c r="B689" t="inlineStr">
        <is>
          <t>ICS</t>
        </is>
      </c>
      <c r="C689" t="inlineStr">
        <is>
          <t>Phosphate</t>
        </is>
      </c>
      <c r="D689" t="inlineStr">
        <is>
          <t>Tonne</t>
        </is>
      </c>
      <c r="E689" s="3" t="n">
        <v>99</v>
      </c>
      <c r="F689" s="3" t="n">
        <v>12309259</v>
      </c>
      <c r="G689" t="inlineStr">
        <is>
          <t>Inde</t>
        </is>
      </c>
      <c r="H689" s="24" t="n">
        <v>606.5599999999999</v>
      </c>
      <c r="I689" s="25" t="n">
        <v>12309259</v>
      </c>
      <c r="J689" s="25" t="n">
        <v>20293.56</v>
      </c>
    </row>
    <row r="690">
      <c r="A690" t="n">
        <v>2024</v>
      </c>
      <c r="B690" t="inlineStr">
        <is>
          <t>PMC</t>
        </is>
      </c>
      <c r="C690" t="inlineStr">
        <is>
          <t>Or</t>
        </is>
      </c>
      <c r="D690" t="inlineStr">
        <is>
          <t>Tonne</t>
        </is>
      </c>
      <c r="E690" s="8" t="n">
        <v>3.78289816</v>
      </c>
      <c r="F690" s="3" t="n">
        <v>176892827875</v>
      </c>
      <c r="G690" t="inlineStr">
        <is>
          <t>Australie</t>
        </is>
      </c>
      <c r="H690" s="24" t="n">
        <v>606.35</v>
      </c>
      <c r="I690" s="25" t="n">
        <v>176892827875</v>
      </c>
      <c r="J690" s="25" t="n">
        <v>291733863.07</v>
      </c>
    </row>
    <row r="691">
      <c r="A691" t="n">
        <v>2024</v>
      </c>
      <c r="B691" t="inlineStr">
        <is>
          <t>SGO</t>
        </is>
      </c>
      <c r="C691" t="inlineStr">
        <is>
          <t>Or</t>
        </is>
      </c>
      <c r="D691" t="inlineStr">
        <is>
          <t>Tonne</t>
        </is>
      </c>
      <c r="E691" s="8" t="n">
        <v>3.62100456</v>
      </c>
      <c r="F691" s="3" t="n">
        <v>171988995312</v>
      </c>
      <c r="G691" t="inlineStr">
        <is>
          <t>Émirats Arabes Unis</t>
        </is>
      </c>
      <c r="H691" s="24" t="n">
        <v>606.35</v>
      </c>
      <c r="I691" s="25" t="n">
        <v>171988995312</v>
      </c>
      <c r="J691" s="25" t="n">
        <v>283646401.11</v>
      </c>
    </row>
    <row r="692">
      <c r="A692" t="n">
        <v>2024</v>
      </c>
      <c r="B692" t="inlineStr">
        <is>
          <t>SGO</t>
        </is>
      </c>
      <c r="C692" t="inlineStr">
        <is>
          <t>Or</t>
        </is>
      </c>
      <c r="D692" t="inlineStr">
        <is>
          <t>Tonne</t>
        </is>
      </c>
      <c r="E692" s="8" t="n">
        <v>3.26589617</v>
      </c>
      <c r="F692" s="3" t="n">
        <v>153070817850</v>
      </c>
      <c r="G692" t="inlineStr">
        <is>
          <t>Suisse</t>
        </is>
      </c>
      <c r="H692" s="24" t="n">
        <v>606.35</v>
      </c>
      <c r="I692" s="25" t="n">
        <v>153070817850</v>
      </c>
      <c r="J692" s="25" t="n">
        <v>252446306.34</v>
      </c>
    </row>
    <row r="693">
      <c r="A693" t="n">
        <v>2024</v>
      </c>
      <c r="B693" t="inlineStr">
        <is>
          <t>ICS</t>
        </is>
      </c>
      <c r="C693" t="inlineStr">
        <is>
          <t>Acide Phosphorique</t>
        </is>
      </c>
      <c r="D693" t="inlineStr">
        <is>
          <t>Tonne</t>
        </is>
      </c>
      <c r="E693" s="3" t="n">
        <v>470216</v>
      </c>
      <c r="F693" s="3" t="n">
        <v>279802568290</v>
      </c>
      <c r="G693" t="inlineStr">
        <is>
          <t>Inde</t>
        </is>
      </c>
      <c r="H693" s="24" t="n">
        <v>606.35</v>
      </c>
      <c r="I693" s="25" t="n">
        <v>279802568290</v>
      </c>
      <c r="J693" s="25"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4" t="n">
        <v>606.35</v>
      </c>
      <c r="I694" s="25" t="n">
        <v>7716598633</v>
      </c>
      <c r="J694" s="25" t="n">
        <v>12726310.93</v>
      </c>
    </row>
    <row r="695">
      <c r="A695" t="n">
        <v>2024</v>
      </c>
      <c r="B695" t="inlineStr">
        <is>
          <t>CDS</t>
        </is>
      </c>
      <c r="C695" t="inlineStr">
        <is>
          <t>Ciment</t>
        </is>
      </c>
      <c r="D695" t="inlineStr">
        <is>
          <t>Tonne</t>
        </is>
      </c>
      <c r="E695" s="3" t="n">
        <v>1196672</v>
      </c>
      <c r="F695" s="3" t="n">
        <v>56914606200</v>
      </c>
      <c r="G695" t="inlineStr">
        <is>
          <t>Zone UEMOA</t>
        </is>
      </c>
      <c r="H695" s="24" t="n">
        <v>606.35</v>
      </c>
      <c r="I695" s="25" t="n">
        <v>56914606200</v>
      </c>
      <c r="J695" s="25" t="n">
        <v>93864280.04000001</v>
      </c>
    </row>
    <row r="696">
      <c r="A696" t="n">
        <v>2024</v>
      </c>
      <c r="B696" t="inlineStr">
        <is>
          <t>CDS</t>
        </is>
      </c>
      <c r="C696" t="inlineStr">
        <is>
          <t>Ciment</t>
        </is>
      </c>
      <c r="D696" t="inlineStr">
        <is>
          <t>Tonne</t>
        </is>
      </c>
      <c r="E696" s="3" t="n">
        <v>320386</v>
      </c>
      <c r="F696" s="3" t="n">
        <v>15314992585</v>
      </c>
      <c r="G696" t="inlineStr">
        <is>
          <t>Zone hors UEMOA</t>
        </is>
      </c>
      <c r="H696" s="24" t="n">
        <v>606.35</v>
      </c>
      <c r="I696" s="25" t="n">
        <v>15314992585</v>
      </c>
      <c r="J696" s="25" t="n">
        <v>25257677.22</v>
      </c>
    </row>
    <row r="697">
      <c r="A697" t="n">
        <v>2024</v>
      </c>
      <c r="B697" t="inlineStr">
        <is>
          <t>DANGOTE</t>
        </is>
      </c>
      <c r="C697" t="inlineStr">
        <is>
          <t>Ciment</t>
        </is>
      </c>
      <c r="D697" t="inlineStr">
        <is>
          <t>Tonne</t>
        </is>
      </c>
      <c r="E697" s="3" t="n">
        <v>99563</v>
      </c>
      <c r="F697" s="3" t="n">
        <v>10819242900</v>
      </c>
      <c r="G697" t="inlineStr">
        <is>
          <t>Mali</t>
        </is>
      </c>
      <c r="H697" s="24" t="n">
        <v>606.35</v>
      </c>
      <c r="I697" s="25" t="n">
        <v>10819242900</v>
      </c>
      <c r="J697" s="25" t="n">
        <v>17843230.64</v>
      </c>
    </row>
    <row r="698">
      <c r="A698" t="n">
        <v>2024</v>
      </c>
      <c r="B698" t="inlineStr">
        <is>
          <t>SOCOCIM</t>
        </is>
      </c>
      <c r="C698" t="inlineStr">
        <is>
          <t>Ciment</t>
        </is>
      </c>
      <c r="D698" t="inlineStr">
        <is>
          <t>Tonne</t>
        </is>
      </c>
      <c r="E698" s="3" t="n">
        <v>102356</v>
      </c>
      <c r="F698" s="3" t="n">
        <v>5152601247</v>
      </c>
      <c r="G698" t="inlineStr">
        <is>
          <t>Mali</t>
        </is>
      </c>
      <c r="H698" s="24" t="n">
        <v>606.35</v>
      </c>
      <c r="I698" s="25" t="n">
        <v>5152601247</v>
      </c>
      <c r="J698" s="25" t="n">
        <v>8497734.390000001</v>
      </c>
    </row>
    <row r="699">
      <c r="A699" t="n">
        <v>2024</v>
      </c>
      <c r="B699" t="inlineStr">
        <is>
          <t>SOCOCIM</t>
        </is>
      </c>
      <c r="C699" t="inlineStr">
        <is>
          <t>Ciment</t>
        </is>
      </c>
      <c r="D699" t="inlineStr">
        <is>
          <t>Tonne</t>
        </is>
      </c>
      <c r="E699" s="3" t="n">
        <v>21001</v>
      </c>
      <c r="F699" s="3" t="n">
        <v>1023768387</v>
      </c>
      <c r="G699" t="inlineStr">
        <is>
          <t>Gambie</t>
        </is>
      </c>
      <c r="H699" s="24" t="n">
        <v>606.35</v>
      </c>
      <c r="I699" s="25" t="n">
        <v>1023768387</v>
      </c>
      <c r="J699" s="25" t="n">
        <v>1688411.62</v>
      </c>
    </row>
    <row r="700">
      <c r="A700" t="n">
        <v>2024</v>
      </c>
      <c r="B700" t="inlineStr">
        <is>
          <t>DANGOTE</t>
        </is>
      </c>
      <c r="C700" t="inlineStr">
        <is>
          <t>Ciment</t>
        </is>
      </c>
      <c r="D700" t="inlineStr">
        <is>
          <t>Tonne</t>
        </is>
      </c>
      <c r="E700" s="3" t="n">
        <v>16340</v>
      </c>
      <c r="F700" s="3" t="n">
        <v>498575000</v>
      </c>
      <c r="G700" t="inlineStr">
        <is>
          <t>Gambie</t>
        </is>
      </c>
      <c r="H700" s="24" t="n">
        <v>606.35</v>
      </c>
      <c r="I700" s="25" t="n">
        <v>498575000</v>
      </c>
      <c r="J700" s="25" t="n">
        <v>822256.12</v>
      </c>
    </row>
    <row r="701">
      <c r="A701" t="n">
        <v>2024</v>
      </c>
      <c r="B701" t="inlineStr">
        <is>
          <t>SOCOCIM</t>
        </is>
      </c>
      <c r="C701" t="inlineStr">
        <is>
          <t>Ciment</t>
        </is>
      </c>
      <c r="D701" t="inlineStr">
        <is>
          <t>Tonne</t>
        </is>
      </c>
      <c r="E701" s="3" t="n">
        <v>7013</v>
      </c>
      <c r="F701" s="3" t="n">
        <v>410459933</v>
      </c>
      <c r="G701" t="inlineStr">
        <is>
          <t>Mauritanie</t>
        </is>
      </c>
      <c r="H701" s="24" t="n">
        <v>606.35</v>
      </c>
      <c r="I701" s="25" t="n">
        <v>410459933</v>
      </c>
      <c r="J701" s="25" t="n">
        <v>676935.65</v>
      </c>
    </row>
    <row r="702">
      <c r="A702" t="n">
        <v>2024</v>
      </c>
      <c r="B702" t="inlineStr">
        <is>
          <t>DANGOTE</t>
        </is>
      </c>
      <c r="C702" t="inlineStr">
        <is>
          <t>Ciment</t>
        </is>
      </c>
      <c r="D702" t="inlineStr">
        <is>
          <t>Tonne</t>
        </is>
      </c>
      <c r="E702" s="3" t="n">
        <v>25717</v>
      </c>
      <c r="F702" s="3" t="n">
        <v>227326200</v>
      </c>
      <c r="G702" t="inlineStr">
        <is>
          <t>Guinée-Bissau</t>
        </is>
      </c>
      <c r="H702" s="24" t="n">
        <v>606.35</v>
      </c>
      <c r="I702" s="25" t="n">
        <v>227326200</v>
      </c>
      <c r="J702" s="25" t="n">
        <v>374909.21</v>
      </c>
    </row>
    <row r="703">
      <c r="A703" t="n">
        <v>2024</v>
      </c>
      <c r="B703" t="inlineStr">
        <is>
          <t>SOCOCIM</t>
        </is>
      </c>
      <c r="C703" t="inlineStr">
        <is>
          <t>Ciment</t>
        </is>
      </c>
      <c r="D703" t="inlineStr">
        <is>
          <t>Tonne</t>
        </is>
      </c>
      <c r="E703" s="3" t="n">
        <v>3989</v>
      </c>
      <c r="F703" s="3" t="n">
        <v>191512400</v>
      </c>
      <c r="G703" t="inlineStr">
        <is>
          <t>Cap-Vert</t>
        </is>
      </c>
      <c r="H703" s="24" t="n">
        <v>606.35</v>
      </c>
      <c r="I703" s="25" t="n">
        <v>191512400</v>
      </c>
      <c r="J703" s="25" t="n">
        <v>315844.64</v>
      </c>
    </row>
    <row r="704">
      <c r="A704" t="n">
        <v>2024</v>
      </c>
      <c r="B704" t="inlineStr">
        <is>
          <t>SOCOCIM</t>
        </is>
      </c>
      <c r="C704" t="inlineStr">
        <is>
          <t>Ciment</t>
        </is>
      </c>
      <c r="D704" t="inlineStr">
        <is>
          <t>Tonne</t>
        </is>
      </c>
      <c r="E704" s="3" t="n">
        <v>320</v>
      </c>
      <c r="F704" s="3" t="n">
        <v>15360000</v>
      </c>
      <c r="G704" t="inlineStr">
        <is>
          <t>Guinée</t>
        </is>
      </c>
      <c r="H704" s="24" t="n">
        <v>606.35</v>
      </c>
      <c r="I704" s="25" t="n">
        <v>15360000</v>
      </c>
      <c r="J704" s="25" t="n">
        <v>25331.9</v>
      </c>
    </row>
    <row r="705">
      <c r="A705" t="n">
        <v>2024</v>
      </c>
      <c r="B705" t="inlineStr">
        <is>
          <t>SOMIVA</t>
        </is>
      </c>
      <c r="C705" t="inlineStr">
        <is>
          <t>Phosphate</t>
        </is>
      </c>
      <c r="D705" t="inlineStr">
        <is>
          <t>Tonne</t>
        </is>
      </c>
      <c r="E705" s="3" t="n">
        <v>121573</v>
      </c>
      <c r="F705" s="3" t="n">
        <v>10898420355</v>
      </c>
      <c r="G705" t="inlineStr">
        <is>
          <t>Suisse</t>
        </is>
      </c>
      <c r="H705" s="24" t="n">
        <v>606.35</v>
      </c>
      <c r="I705" s="25" t="n">
        <v>10898420355</v>
      </c>
      <c r="J705" s="25" t="n">
        <v>17973811.09</v>
      </c>
    </row>
    <row r="706">
      <c r="A706" t="n">
        <v>2024</v>
      </c>
      <c r="B706" t="inlineStr">
        <is>
          <t>SEPHOS</t>
        </is>
      </c>
      <c r="C706" t="inlineStr">
        <is>
          <t>Phosphate</t>
        </is>
      </c>
      <c r="D706" t="inlineStr">
        <is>
          <t>Tonne</t>
        </is>
      </c>
      <c r="E706" s="3" t="n">
        <v>94451</v>
      </c>
      <c r="F706" s="3" t="n">
        <v>7691623558</v>
      </c>
      <c r="G706" t="inlineStr">
        <is>
          <t>Inde</t>
        </is>
      </c>
      <c r="H706" s="24" t="n">
        <v>606.35</v>
      </c>
      <c r="I706" s="25" t="n">
        <v>7691623558</v>
      </c>
      <c r="J706" s="25" t="n">
        <v>12685121.73</v>
      </c>
    </row>
    <row r="707">
      <c r="A707" t="n">
        <v>2024</v>
      </c>
      <c r="B707" t="inlineStr">
        <is>
          <t>SOMIVA</t>
        </is>
      </c>
      <c r="C707" t="inlineStr">
        <is>
          <t>Phosphate</t>
        </is>
      </c>
      <c r="D707" t="inlineStr">
        <is>
          <t>Tonne</t>
        </is>
      </c>
      <c r="E707" s="3" t="n">
        <v>72510</v>
      </c>
      <c r="F707" s="3" t="n">
        <v>6046547100</v>
      </c>
      <c r="G707" t="inlineStr">
        <is>
          <t>Suisse</t>
        </is>
      </c>
      <c r="H707" s="24" t="n">
        <v>606.35</v>
      </c>
      <c r="I707" s="25" t="n">
        <v>6046547100</v>
      </c>
      <c r="J707" s="25" t="n">
        <v>9972041.07</v>
      </c>
    </row>
    <row r="708">
      <c r="A708" t="n">
        <v>2024</v>
      </c>
      <c r="B708" t="inlineStr">
        <is>
          <t>SOMIVA</t>
        </is>
      </c>
      <c r="C708" t="inlineStr">
        <is>
          <t>Phosphate</t>
        </is>
      </c>
      <c r="D708" t="inlineStr">
        <is>
          <t>Tonne</t>
        </is>
      </c>
      <c r="E708" s="3" t="n">
        <v>30152</v>
      </c>
      <c r="F708" s="3" t="n">
        <v>2643705806</v>
      </c>
      <c r="G708" t="inlineStr">
        <is>
          <t>Pays-Bas</t>
        </is>
      </c>
      <c r="H708" s="24" t="n">
        <v>606.35</v>
      </c>
      <c r="I708" s="25" t="n">
        <v>2643705806</v>
      </c>
      <c r="J708" s="25" t="n">
        <v>4360032.66</v>
      </c>
    </row>
    <row r="709">
      <c r="A709" t="n">
        <v>2024</v>
      </c>
      <c r="B709" t="inlineStr">
        <is>
          <t>SEPHOS</t>
        </is>
      </c>
      <c r="C709" t="inlineStr">
        <is>
          <t>Phosphate</t>
        </is>
      </c>
      <c r="D709" t="inlineStr">
        <is>
          <t>Tonne</t>
        </is>
      </c>
      <c r="E709" s="3" t="n">
        <v>29612</v>
      </c>
      <c r="F709" s="3" t="n">
        <v>1885932032</v>
      </c>
      <c r="G709" t="inlineStr">
        <is>
          <t>Indonésie</t>
        </is>
      </c>
      <c r="H709" s="24" t="n">
        <v>606.35</v>
      </c>
      <c r="I709" s="25" t="n">
        <v>1885932032</v>
      </c>
      <c r="J709" s="25" t="n">
        <v>3110302.68</v>
      </c>
    </row>
    <row r="710">
      <c r="A710" t="n">
        <v>2024</v>
      </c>
      <c r="B710" t="inlineStr">
        <is>
          <t>SEPHOS</t>
        </is>
      </c>
      <c r="C710" t="inlineStr">
        <is>
          <t>Phosphate</t>
        </is>
      </c>
      <c r="D710" t="inlineStr">
        <is>
          <t>Tonne</t>
        </is>
      </c>
      <c r="E710" s="3" t="n">
        <v>25084</v>
      </c>
      <c r="F710" s="3" t="n">
        <v>1493949967</v>
      </c>
      <c r="G710" t="inlineStr">
        <is>
          <t>Brésil</t>
        </is>
      </c>
      <c r="H710" s="24" t="n">
        <v>606.35</v>
      </c>
      <c r="I710" s="25" t="n">
        <v>1493949967</v>
      </c>
      <c r="J710" s="25" t="n">
        <v>2463840.96</v>
      </c>
    </row>
    <row r="711">
      <c r="A711" t="n">
        <v>2024</v>
      </c>
      <c r="B711" t="inlineStr">
        <is>
          <t>SEPHOS</t>
        </is>
      </c>
      <c r="C711" t="inlineStr">
        <is>
          <t>Phosphate</t>
        </is>
      </c>
      <c r="D711" t="inlineStr">
        <is>
          <t>Tonne</t>
        </is>
      </c>
      <c r="E711" s="3" t="n">
        <v>21169</v>
      </c>
      <c r="F711" s="3" t="n">
        <v>1227500356</v>
      </c>
      <c r="G711" t="inlineStr">
        <is>
          <t>Espagne</t>
        </is>
      </c>
      <c r="H711" s="24" t="n">
        <v>606.35</v>
      </c>
      <c r="I711" s="25" t="n">
        <v>1227500356</v>
      </c>
      <c r="J711" s="25" t="n">
        <v>2024408.93</v>
      </c>
    </row>
    <row r="712">
      <c r="A712" t="n">
        <v>2024</v>
      </c>
      <c r="B712" t="inlineStr">
        <is>
          <t>SEPHOS</t>
        </is>
      </c>
      <c r="C712" t="inlineStr">
        <is>
          <t>Phosphate</t>
        </is>
      </c>
      <c r="D712" t="inlineStr">
        <is>
          <t>Tonne</t>
        </is>
      </c>
      <c r="E712" s="3" t="n">
        <v>2925</v>
      </c>
      <c r="F712" s="3" t="n">
        <v>358792082</v>
      </c>
      <c r="G712" t="inlineStr">
        <is>
          <t>Ghana</t>
        </is>
      </c>
      <c r="H712" s="24" t="n">
        <v>606.35</v>
      </c>
      <c r="I712" s="25" t="n">
        <v>358792082</v>
      </c>
      <c r="J712" s="25" t="n">
        <v>591724.39</v>
      </c>
    </row>
    <row r="713">
      <c r="A713" t="n">
        <v>2024</v>
      </c>
      <c r="B713" t="inlineStr">
        <is>
          <t>SOMIVA</t>
        </is>
      </c>
      <c r="C713" t="inlineStr">
        <is>
          <t>Phosphate</t>
        </is>
      </c>
      <c r="D713" t="inlineStr">
        <is>
          <t>Tonne</t>
        </is>
      </c>
      <c r="E713" s="3" t="n">
        <v>6183</v>
      </c>
      <c r="F713" s="3" t="n">
        <v>327709600</v>
      </c>
      <c r="G713" t="inlineStr">
        <is>
          <t>Mali</t>
        </is>
      </c>
      <c r="H713" s="24" t="n">
        <v>606.35</v>
      </c>
      <c r="I713" s="25" t="n">
        <v>327709600</v>
      </c>
      <c r="J713" s="25" t="n">
        <v>540462.77</v>
      </c>
    </row>
    <row r="714">
      <c r="A714" t="n">
        <v>2024</v>
      </c>
      <c r="B714" t="inlineStr">
        <is>
          <t>SEPHOS</t>
        </is>
      </c>
      <c r="C714" t="inlineStr">
        <is>
          <t>Phosphate</t>
        </is>
      </c>
      <c r="D714" t="inlineStr">
        <is>
          <t>Tonne</t>
        </is>
      </c>
      <c r="E714" s="3" t="n">
        <v>3888</v>
      </c>
      <c r="F714" s="3" t="n">
        <v>150018417</v>
      </c>
      <c r="G714" t="inlineStr">
        <is>
          <t>Italie</t>
        </is>
      </c>
      <c r="H714" s="24" t="n">
        <v>606.35</v>
      </c>
      <c r="I714" s="25" t="n">
        <v>150018417</v>
      </c>
      <c r="J714" s="25" t="n">
        <v>247412.25</v>
      </c>
    </row>
    <row r="715">
      <c r="A715" t="n">
        <v>2024</v>
      </c>
      <c r="B715" t="inlineStr">
        <is>
          <t>ICS</t>
        </is>
      </c>
      <c r="C715" t="inlineStr">
        <is>
          <t>Engrais</t>
        </is>
      </c>
      <c r="D715" t="inlineStr">
        <is>
          <t>Tonne</t>
        </is>
      </c>
      <c r="E715" s="3" t="n">
        <v>32978</v>
      </c>
      <c r="F715" s="3" t="n">
        <v>14570824067</v>
      </c>
      <c r="G715" t="inlineStr">
        <is>
          <t>États-Unis</t>
        </is>
      </c>
      <c r="H715" s="24" t="n">
        <v>606.35</v>
      </c>
      <c r="I715" s="25" t="n">
        <v>14570824067</v>
      </c>
      <c r="J715" s="25" t="n">
        <v>24030385.2</v>
      </c>
    </row>
    <row r="716">
      <c r="A716" t="n">
        <v>2024</v>
      </c>
      <c r="B716" t="inlineStr">
        <is>
          <t>ICS</t>
        </is>
      </c>
      <c r="C716" t="inlineStr">
        <is>
          <t>Engrais</t>
        </is>
      </c>
      <c r="D716" t="inlineStr">
        <is>
          <t>Tonne</t>
        </is>
      </c>
      <c r="E716" s="3" t="n">
        <v>27124</v>
      </c>
      <c r="F716" s="3" t="n">
        <v>9936719933</v>
      </c>
      <c r="G716" t="inlineStr">
        <is>
          <t>Suisse</t>
        </is>
      </c>
      <c r="H716" s="24" t="n">
        <v>606.35</v>
      </c>
      <c r="I716" s="25" t="n">
        <v>9936719933</v>
      </c>
      <c r="J716" s="25" t="n">
        <v>16387762.73</v>
      </c>
    </row>
    <row r="717">
      <c r="A717" t="n">
        <v>2024</v>
      </c>
      <c r="B717" t="inlineStr">
        <is>
          <t>ICS</t>
        </is>
      </c>
      <c r="C717" t="inlineStr">
        <is>
          <t>Engrais</t>
        </is>
      </c>
      <c r="D717" t="inlineStr">
        <is>
          <t>Tonne</t>
        </is>
      </c>
      <c r="E717" s="3" t="n">
        <v>13504</v>
      </c>
      <c r="F717" s="3" t="n">
        <v>5078254628</v>
      </c>
      <c r="G717" t="inlineStr">
        <is>
          <t>Émirats Arabes Unis</t>
        </is>
      </c>
      <c r="H717" s="24" t="n">
        <v>606.35</v>
      </c>
      <c r="I717" s="25" t="n">
        <v>5078254628</v>
      </c>
      <c r="J717" s="25" t="n">
        <v>8375121.02</v>
      </c>
    </row>
    <row r="718">
      <c r="A718" t="n">
        <v>2024</v>
      </c>
      <c r="B718" t="inlineStr">
        <is>
          <t>GCO</t>
        </is>
      </c>
      <c r="C718" t="inlineStr">
        <is>
          <t>Ilménite</t>
        </is>
      </c>
      <c r="D718" t="inlineStr">
        <is>
          <t>Tonne</t>
        </is>
      </c>
      <c r="E718" s="3" t="n">
        <v>387783</v>
      </c>
      <c r="F718" s="3" t="n">
        <v>57119016447</v>
      </c>
      <c r="G718" t="inlineStr">
        <is>
          <t>France</t>
        </is>
      </c>
      <c r="H718" s="24" t="n">
        <v>606.35</v>
      </c>
      <c r="I718" s="25" t="n">
        <v>57119016447</v>
      </c>
      <c r="J718" s="25" t="n">
        <v>94201395.97</v>
      </c>
    </row>
    <row r="719">
      <c r="A719" t="n">
        <v>2024</v>
      </c>
      <c r="B719" t="inlineStr">
        <is>
          <t>BMCC</t>
        </is>
      </c>
      <c r="C719" t="inlineStr">
        <is>
          <t>Phosphate</t>
        </is>
      </c>
      <c r="D719" t="inlineStr">
        <is>
          <t>Tonne</t>
        </is>
      </c>
      <c r="E719" s="3" t="n">
        <v>147335</v>
      </c>
      <c r="F719" s="3" t="n">
        <v>10100020161</v>
      </c>
      <c r="G719" t="inlineStr">
        <is>
          <t>NC</t>
        </is>
      </c>
      <c r="H719" s="24" t="n">
        <v>606.35</v>
      </c>
      <c r="I719" s="25" t="n">
        <v>10100020161</v>
      </c>
      <c r="J719" s="25" t="n">
        <v>16657079.51</v>
      </c>
    </row>
    <row r="720">
      <c r="A720" t="n">
        <v>2024</v>
      </c>
      <c r="B720" t="inlineStr">
        <is>
          <t>ICS</t>
        </is>
      </c>
      <c r="C720" t="inlineStr">
        <is>
          <t>Engrais</t>
        </is>
      </c>
      <c r="D720" t="inlineStr">
        <is>
          <t>Tonne</t>
        </is>
      </c>
      <c r="E720" s="3" t="n">
        <v>14658</v>
      </c>
      <c r="F720" s="3" t="n">
        <v>4644684890</v>
      </c>
      <c r="G720" t="inlineStr">
        <is>
          <t>Mali</t>
        </is>
      </c>
      <c r="H720" s="24" t="n">
        <v>606.35</v>
      </c>
      <c r="I720" s="25" t="n">
        <v>4644684890</v>
      </c>
      <c r="J720" s="25" t="n">
        <v>7660072.38</v>
      </c>
    </row>
    <row r="721">
      <c r="A721" t="n">
        <v>2024</v>
      </c>
      <c r="B721" t="inlineStr">
        <is>
          <t>ICS</t>
        </is>
      </c>
      <c r="C721" t="inlineStr">
        <is>
          <t>Engrais</t>
        </is>
      </c>
      <c r="D721" t="inlineStr">
        <is>
          <t>Tonne</t>
        </is>
      </c>
      <c r="E721" s="3" t="n">
        <v>5005</v>
      </c>
      <c r="F721" s="3" t="n">
        <v>1611501778</v>
      </c>
      <c r="G721" t="inlineStr">
        <is>
          <t>Gambie</t>
        </is>
      </c>
      <c r="H721" s="24" t="n">
        <v>606.35</v>
      </c>
      <c r="I721" s="25" t="n">
        <v>1611501778</v>
      </c>
      <c r="J721" s="25" t="n">
        <v>2657708.88</v>
      </c>
    </row>
    <row r="722">
      <c r="A722" t="n">
        <v>2024</v>
      </c>
      <c r="B722" t="inlineStr">
        <is>
          <t>SSPT</t>
        </is>
      </c>
      <c r="C722" t="inlineStr">
        <is>
          <t>Attapulgite</t>
        </is>
      </c>
      <c r="D722" t="inlineStr">
        <is>
          <t>Tonne</t>
        </is>
      </c>
      <c r="E722" s="3" t="n">
        <v>59499</v>
      </c>
      <c r="F722" s="3" t="n">
        <v>1642761360</v>
      </c>
      <c r="G722" t="inlineStr">
        <is>
          <t>France</t>
        </is>
      </c>
      <c r="H722" s="24" t="n">
        <v>606.35</v>
      </c>
      <c r="I722" s="25" t="n">
        <v>1642761360</v>
      </c>
      <c r="J722" s="25" t="n">
        <v>2709262.57</v>
      </c>
    </row>
    <row r="723">
      <c r="A723" t="n">
        <v>2024</v>
      </c>
      <c r="B723" t="inlineStr">
        <is>
          <t>SSPT</t>
        </is>
      </c>
      <c r="C723" t="inlineStr">
        <is>
          <t>Attapulgite</t>
        </is>
      </c>
      <c r="D723" t="inlineStr">
        <is>
          <t>Tonne</t>
        </is>
      </c>
      <c r="E723" s="3" t="n">
        <v>66541</v>
      </c>
      <c r="F723" s="3" t="n">
        <v>1622901908</v>
      </c>
      <c r="G723" t="inlineStr">
        <is>
          <t>Royaume-Uni</t>
        </is>
      </c>
      <c r="H723" s="24" t="n">
        <v>606.35</v>
      </c>
      <c r="I723" s="25" t="n">
        <v>1622901908</v>
      </c>
      <c r="J723" s="25" t="n">
        <v>2676510.11</v>
      </c>
    </row>
    <row r="724">
      <c r="A724" t="n">
        <v>2024</v>
      </c>
      <c r="B724" t="inlineStr">
        <is>
          <t>SSPT</t>
        </is>
      </c>
      <c r="C724" t="inlineStr">
        <is>
          <t>Attapulgite</t>
        </is>
      </c>
      <c r="D724" t="inlineStr">
        <is>
          <t>Tonne</t>
        </is>
      </c>
      <c r="E724" s="3" t="n">
        <v>30502</v>
      </c>
      <c r="F724" s="3" t="n">
        <v>918624505</v>
      </c>
      <c r="G724" t="inlineStr">
        <is>
          <t>Pays-Bas</t>
        </is>
      </c>
      <c r="H724" s="24" t="n">
        <v>606.35</v>
      </c>
      <c r="I724" s="25" t="n">
        <v>918624505</v>
      </c>
      <c r="J724" s="25" t="n">
        <v>1515007.02</v>
      </c>
    </row>
    <row r="725">
      <c r="A725" t="n">
        <v>2024</v>
      </c>
      <c r="B725" t="inlineStr">
        <is>
          <t>GECAMINES</t>
        </is>
      </c>
      <c r="C725" t="inlineStr">
        <is>
          <t>Basalte</t>
        </is>
      </c>
      <c r="D725" t="inlineStr">
        <is>
          <t>Tonne</t>
        </is>
      </c>
      <c r="E725" s="3" t="n">
        <v>340661</v>
      </c>
      <c r="F725" s="3" t="n">
        <v>3071169676</v>
      </c>
      <c r="G725" t="inlineStr">
        <is>
          <t>Gambie</t>
        </is>
      </c>
      <c r="H725" s="24" t="n">
        <v>606.35</v>
      </c>
      <c r="I725" s="25" t="n">
        <v>3071169676</v>
      </c>
      <c r="J725" s="25" t="n">
        <v>5065011.42</v>
      </c>
    </row>
    <row r="726">
      <c r="A726" t="n">
        <v>2024</v>
      </c>
      <c r="B726" t="inlineStr">
        <is>
          <t>TALIX</t>
        </is>
      </c>
      <c r="C726" t="inlineStr">
        <is>
          <t>Basalte</t>
        </is>
      </c>
      <c r="D726" t="inlineStr">
        <is>
          <t>Tonne</t>
        </is>
      </c>
      <c r="E726" t="inlineStr">
        <is>
          <t>NC</t>
        </is>
      </c>
      <c r="F726" s="3" t="n">
        <v>358807621</v>
      </c>
      <c r="G726" t="inlineStr">
        <is>
          <t>Gambie</t>
        </is>
      </c>
      <c r="H726" s="24" t="n">
        <v>606.35</v>
      </c>
      <c r="I726" s="25" t="n">
        <v>358807621</v>
      </c>
      <c r="J726" s="25" t="n">
        <v>591750.01</v>
      </c>
    </row>
    <row r="727">
      <c r="A727" t="n">
        <v>2024</v>
      </c>
      <c r="B727" t="inlineStr">
        <is>
          <t>COGECA</t>
        </is>
      </c>
      <c r="C727" t="inlineStr">
        <is>
          <t>Basalte</t>
        </is>
      </c>
      <c r="D727" t="inlineStr">
        <is>
          <t>Tonne</t>
        </is>
      </c>
      <c r="E727" s="3" t="n">
        <v>25201</v>
      </c>
      <c r="F727" s="3" t="n">
        <v>63184603</v>
      </c>
      <c r="G727" t="inlineStr">
        <is>
          <t>Gambie</t>
        </is>
      </c>
      <c r="H727" s="24" t="n">
        <v>606.35</v>
      </c>
      <c r="I727" s="25" t="n">
        <v>63184603</v>
      </c>
      <c r="J727" s="25" t="n">
        <v>104204.84</v>
      </c>
    </row>
    <row r="728">
      <c r="A728" t="n">
        <v>2024</v>
      </c>
      <c r="B728" t="inlineStr">
        <is>
          <t>GCO</t>
        </is>
      </c>
      <c r="C728" t="inlineStr">
        <is>
          <t>Zircon</t>
        </is>
      </c>
      <c r="D728" t="inlineStr">
        <is>
          <t>Tonne</t>
        </is>
      </c>
      <c r="E728" s="3" t="n">
        <v>31443</v>
      </c>
      <c r="F728" s="3" t="n">
        <v>4311499782</v>
      </c>
      <c r="G728" t="inlineStr">
        <is>
          <t>France</t>
        </is>
      </c>
      <c r="H728" s="24" t="n">
        <v>606.35</v>
      </c>
      <c r="I728" s="25" t="n">
        <v>4311499782</v>
      </c>
      <c r="J728" s="25" t="n">
        <v>7110579.34</v>
      </c>
    </row>
    <row r="729">
      <c r="A729" t="n">
        <v>2024</v>
      </c>
      <c r="B729" t="inlineStr">
        <is>
          <t>GCO</t>
        </is>
      </c>
      <c r="C729" t="inlineStr">
        <is>
          <t>Leucoxène</t>
        </is>
      </c>
      <c r="D729" t="inlineStr">
        <is>
          <t>Tonne</t>
        </is>
      </c>
      <c r="E729" s="3" t="n">
        <v>6092</v>
      </c>
      <c r="F729" s="3" t="n">
        <v>4539903428</v>
      </c>
      <c r="G729" t="inlineStr">
        <is>
          <t>France</t>
        </is>
      </c>
      <c r="H729" s="24" t="n">
        <v>606.35</v>
      </c>
      <c r="I729" s="25" t="n">
        <v>4539903428</v>
      </c>
      <c r="J729" s="25" t="n">
        <v>7487265.49</v>
      </c>
    </row>
    <row r="730">
      <c r="A730" t="n">
        <v>2024</v>
      </c>
      <c r="B730" t="inlineStr">
        <is>
          <t>GCO</t>
        </is>
      </c>
      <c r="C730" t="inlineStr">
        <is>
          <t>Rutile</t>
        </is>
      </c>
      <c r="D730" t="inlineStr">
        <is>
          <t>Tonne</t>
        </is>
      </c>
      <c r="E730" s="3" t="n">
        <v>2640</v>
      </c>
      <c r="F730" s="3" t="n">
        <v>2861618508</v>
      </c>
      <c r="G730" t="inlineStr">
        <is>
          <t>France</t>
        </is>
      </c>
      <c r="H730" s="24" t="n">
        <v>606.35</v>
      </c>
      <c r="I730" s="25" t="n">
        <v>2861618508</v>
      </c>
      <c r="J730" s="25" t="n">
        <v>4719417.02</v>
      </c>
    </row>
    <row r="731">
      <c r="A731" t="n">
        <v>2024</v>
      </c>
      <c r="B731" t="inlineStr">
        <is>
          <t>GCO</t>
        </is>
      </c>
      <c r="C731" t="inlineStr">
        <is>
          <t>Ilménite</t>
        </is>
      </c>
      <c r="D731" t="inlineStr">
        <is>
          <t>Tonne</t>
        </is>
      </c>
      <c r="E731" s="3" t="n">
        <v>20001</v>
      </c>
      <c r="F731" s="3" t="n">
        <v>2761143939</v>
      </c>
      <c r="G731" t="inlineStr">
        <is>
          <t>France</t>
        </is>
      </c>
      <c r="H731" s="24" t="n">
        <v>606.35</v>
      </c>
      <c r="I731" s="25" t="n">
        <v>2761143939</v>
      </c>
      <c r="J731" s="25" t="n">
        <v>4553713.1</v>
      </c>
    </row>
    <row r="732">
      <c r="A732" t="n">
        <v>2024</v>
      </c>
      <c r="B732" t="inlineStr">
        <is>
          <t>GCO</t>
        </is>
      </c>
      <c r="C732" t="inlineStr">
        <is>
          <t>Zircon</t>
        </is>
      </c>
      <c r="D732" t="inlineStr">
        <is>
          <t>Tonne</t>
        </is>
      </c>
      <c r="E732" s="3" t="n">
        <v>39376</v>
      </c>
      <c r="F732" s="3" t="n">
        <v>43681219368</v>
      </c>
      <c r="G732" t="inlineStr">
        <is>
          <t>France</t>
        </is>
      </c>
      <c r="H732" s="24" t="n">
        <v>606.35</v>
      </c>
      <c r="I732" s="25" t="n">
        <v>43681219368</v>
      </c>
      <c r="J732" s="25" t="n">
        <v>72039613.04000001</v>
      </c>
    </row>
    <row r="733">
      <c r="A733" t="n">
        <v>2024</v>
      </c>
      <c r="B733" t="inlineStr">
        <is>
          <t>GCO</t>
        </is>
      </c>
      <c r="C733" t="inlineStr">
        <is>
          <t>Zircon</t>
        </is>
      </c>
      <c r="D733" t="inlineStr">
        <is>
          <t>Tonne</t>
        </is>
      </c>
      <c r="E733" s="3" t="n">
        <v>27523</v>
      </c>
      <c r="F733" s="3" t="n">
        <v>28804344792</v>
      </c>
      <c r="G733" t="inlineStr">
        <is>
          <t>France</t>
        </is>
      </c>
      <c r="H733" s="24" t="n">
        <v>606.35</v>
      </c>
      <c r="I733" s="25" t="n">
        <v>28804344792</v>
      </c>
      <c r="J733" s="25" t="n">
        <v>47504485.51</v>
      </c>
    </row>
    <row r="734">
      <c r="A734" t="n">
        <v>2024</v>
      </c>
      <c r="B734" t="inlineStr">
        <is>
          <t>GCO</t>
        </is>
      </c>
      <c r="C734" t="inlineStr">
        <is>
          <t>Ilménite</t>
        </is>
      </c>
      <c r="D734" t="inlineStr">
        <is>
          <t>Tonne</t>
        </is>
      </c>
      <c r="E734" s="3" t="n">
        <v>153286</v>
      </c>
      <c r="F734" s="3" t="n">
        <v>26445296560</v>
      </c>
      <c r="G734" t="inlineStr">
        <is>
          <t>France</t>
        </is>
      </c>
      <c r="H734" s="24" t="n">
        <v>606.35</v>
      </c>
      <c r="I734" s="25" t="n">
        <v>26445296560</v>
      </c>
      <c r="J734" s="25" t="n">
        <v>43613913.68</v>
      </c>
    </row>
    <row r="735">
      <c r="A735" t="n">
        <v>2024</v>
      </c>
      <c r="B735" t="inlineStr">
        <is>
          <t>ICS</t>
        </is>
      </c>
      <c r="C735" t="inlineStr">
        <is>
          <t>Engrais</t>
        </is>
      </c>
      <c r="D735" t="inlineStr">
        <is>
          <t>Tonne</t>
        </is>
      </c>
      <c r="E735" s="3" t="n">
        <v>1980</v>
      </c>
      <c r="F735" s="3" t="n">
        <v>792000000</v>
      </c>
      <c r="G735" t="inlineStr">
        <is>
          <t>Mali</t>
        </is>
      </c>
      <c r="H735" s="24" t="n">
        <v>606.35</v>
      </c>
      <c r="I735" s="25" t="n">
        <v>792000000</v>
      </c>
      <c r="J735" s="25" t="n">
        <v>1306176.3</v>
      </c>
    </row>
    <row r="736">
      <c r="A736" t="n">
        <v>2024</v>
      </c>
      <c r="B736" t="inlineStr">
        <is>
          <t>PMC</t>
        </is>
      </c>
      <c r="C736" t="inlineStr">
        <is>
          <t>Argent</t>
        </is>
      </c>
      <c r="D736" t="inlineStr">
        <is>
          <t>Tonne</t>
        </is>
      </c>
      <c r="E736" s="8" t="n">
        <v>0.3139896</v>
      </c>
      <c r="F736" s="3" t="n">
        <v>169980320</v>
      </c>
      <c r="G736" t="inlineStr">
        <is>
          <t>Australie</t>
        </is>
      </c>
      <c r="H736" s="24" t="n">
        <v>606.35</v>
      </c>
      <c r="I736" s="25" t="n">
        <v>169980320</v>
      </c>
      <c r="J736" s="25" t="n">
        <v>280333.67</v>
      </c>
    </row>
    <row r="737">
      <c r="A737" t="n">
        <v>2024</v>
      </c>
      <c r="B737" t="inlineStr">
        <is>
          <t>SGO</t>
        </is>
      </c>
      <c r="C737" t="inlineStr">
        <is>
          <t>Argent</t>
        </is>
      </c>
      <c r="D737" t="inlineStr">
        <is>
          <t>Tonne</t>
        </is>
      </c>
      <c r="E737" s="8" t="n">
        <v>0.27694536</v>
      </c>
      <c r="F737" s="3" t="n">
        <v>156146734</v>
      </c>
      <c r="G737" t="inlineStr">
        <is>
          <t>Émirats Arabes Unis</t>
        </is>
      </c>
      <c r="H737" s="24" t="n">
        <v>606.35</v>
      </c>
      <c r="I737" s="25" t="n">
        <v>156146734</v>
      </c>
      <c r="J737" s="25" t="n">
        <v>257519.15</v>
      </c>
    </row>
    <row r="738">
      <c r="A738" t="n">
        <v>2024</v>
      </c>
      <c r="B738" t="inlineStr">
        <is>
          <t>SGO</t>
        </is>
      </c>
      <c r="C738" t="inlineStr">
        <is>
          <t>Argent</t>
        </is>
      </c>
      <c r="D738" t="inlineStr">
        <is>
          <t>Tonne</t>
        </is>
      </c>
      <c r="E738" s="8" t="n">
        <v>0.25445754</v>
      </c>
      <c r="F738" s="3" t="n">
        <v>140740539</v>
      </c>
      <c r="G738" t="inlineStr">
        <is>
          <t>Suisse</t>
        </is>
      </c>
      <c r="H738" s="24" t="n">
        <v>606.35</v>
      </c>
      <c r="I738" s="25" t="n">
        <v>140740539</v>
      </c>
      <c r="J738" s="25" t="n">
        <v>232111.06</v>
      </c>
    </row>
    <row r="739">
      <c r="A739" t="n">
        <v>2024</v>
      </c>
      <c r="B739" t="inlineStr">
        <is>
          <t>ICS</t>
        </is>
      </c>
      <c r="C739" t="inlineStr">
        <is>
          <t>Engrais</t>
        </is>
      </c>
      <c r="D739" t="inlineStr">
        <is>
          <t>Tonne</t>
        </is>
      </c>
      <c r="E739" s="3" t="n">
        <v>1061</v>
      </c>
      <c r="F739" s="3" t="n">
        <v>90185000</v>
      </c>
      <c r="G739" t="inlineStr">
        <is>
          <t>Mali</t>
        </is>
      </c>
      <c r="H739" s="24" t="n">
        <v>606.35</v>
      </c>
      <c r="I739" s="25" t="n">
        <v>90185000</v>
      </c>
      <c r="J739" s="25" t="n">
        <v>148734.23</v>
      </c>
    </row>
    <row r="740">
      <c r="A740" t="n">
        <v>2021</v>
      </c>
      <c r="B740" t="inlineStr">
        <is>
          <t>PMC</t>
        </is>
      </c>
      <c r="C740" t="inlineStr">
        <is>
          <t>Or</t>
        </is>
      </c>
      <c r="D740" t="inlineStr">
        <is>
          <t>Tonne</t>
        </is>
      </c>
      <c r="E740" s="8" t="n">
        <v>3.9934687</v>
      </c>
      <c r="F740" s="3" t="n">
        <v>123373225492</v>
      </c>
      <c r="G740" t="inlineStr">
        <is>
          <t>Australie</t>
        </is>
      </c>
      <c r="H740" s="24" t="n">
        <v>554.53</v>
      </c>
      <c r="I740" s="25" t="n">
        <v>123373225492</v>
      </c>
      <c r="J740" s="25" t="n">
        <v>222482508.6</v>
      </c>
    </row>
    <row r="741">
      <c r="A741" t="n">
        <v>2021</v>
      </c>
      <c r="B741" t="inlineStr">
        <is>
          <t>SGO</t>
        </is>
      </c>
      <c r="C741" t="inlineStr">
        <is>
          <t>Or</t>
        </is>
      </c>
      <c r="D741" t="inlineStr">
        <is>
          <t>Tonne</t>
        </is>
      </c>
      <c r="E741" s="8" t="n">
        <v>11.87975524</v>
      </c>
      <c r="F741" s="3" t="n">
        <v>381693870501</v>
      </c>
      <c r="G741" t="inlineStr">
        <is>
          <t>Suisse</t>
        </is>
      </c>
      <c r="H741" s="24" t="n">
        <v>554.53</v>
      </c>
      <c r="I741" s="25" t="n">
        <v>381693870501</v>
      </c>
      <c r="J741" s="25" t="n">
        <v>688319604.89</v>
      </c>
    </row>
    <row r="742">
      <c r="A742" t="n">
        <v>2021</v>
      </c>
      <c r="B742" t="inlineStr">
        <is>
          <t>PMC</t>
        </is>
      </c>
      <c r="C742" t="inlineStr">
        <is>
          <t>Argent</t>
        </is>
      </c>
      <c r="D742" t="inlineStr">
        <is>
          <t>Tonne</t>
        </is>
      </c>
      <c r="E742" s="8" t="n">
        <v>0.28792488</v>
      </c>
      <c r="F742" s="3" t="n">
        <v>129692515</v>
      </c>
      <c r="G742" t="inlineStr">
        <is>
          <t>Australie</t>
        </is>
      </c>
      <c r="H742" s="24" t="n">
        <v>554.53</v>
      </c>
      <c r="I742" s="25" t="n">
        <v>129692515</v>
      </c>
      <c r="J742" s="25" t="n">
        <v>233878.27</v>
      </c>
    </row>
    <row r="743">
      <c r="A743" t="n">
        <v>2021</v>
      </c>
      <c r="B743" t="inlineStr">
        <is>
          <t>SGO</t>
        </is>
      </c>
      <c r="C743" t="inlineStr">
        <is>
          <t>Argent</t>
        </is>
      </c>
      <c r="D743" t="inlineStr">
        <is>
          <t>Tonne</t>
        </is>
      </c>
      <c r="E743" s="8" t="n">
        <v>1.02672577</v>
      </c>
      <c r="F743" s="3" t="n">
        <v>453060509</v>
      </c>
      <c r="G743" t="inlineStr">
        <is>
          <t>Suisse</t>
        </is>
      </c>
      <c r="H743" s="24" t="n">
        <v>554.53</v>
      </c>
      <c r="I743" s="25" t="n">
        <v>453060509</v>
      </c>
      <c r="J743" s="25" t="n">
        <v>817017.13</v>
      </c>
    </row>
    <row r="744">
      <c r="A744" t="n">
        <v>2021</v>
      </c>
      <c r="B744" t="inlineStr">
        <is>
          <t>CDS</t>
        </is>
      </c>
      <c r="C744" t="inlineStr">
        <is>
          <t>Ciment</t>
        </is>
      </c>
      <c r="D744" t="inlineStr">
        <is>
          <t>Tonne</t>
        </is>
      </c>
      <c r="E744" s="3" t="n">
        <v>287525</v>
      </c>
      <c r="F744" s="3" t="n">
        <v>11945492350</v>
      </c>
      <c r="G744" t="inlineStr">
        <is>
          <t>Zone hors UEMOA</t>
        </is>
      </c>
      <c r="H744" s="24" t="n">
        <v>554.53</v>
      </c>
      <c r="I744" s="25" t="n">
        <v>11945492350</v>
      </c>
      <c r="J744" s="25" t="n">
        <v>21541652.12</v>
      </c>
    </row>
    <row r="745">
      <c r="A745" t="n">
        <v>2021</v>
      </c>
      <c r="B745" t="inlineStr">
        <is>
          <t>CDS</t>
        </is>
      </c>
      <c r="C745" t="inlineStr">
        <is>
          <t>Ciment</t>
        </is>
      </c>
      <c r="D745" t="inlineStr">
        <is>
          <t>Tonne</t>
        </is>
      </c>
      <c r="E745" s="3" t="n">
        <v>764612</v>
      </c>
      <c r="F745" s="3" t="n">
        <v>30414632250</v>
      </c>
      <c r="G745" t="inlineStr">
        <is>
          <t>Zone UEMOA</t>
        </is>
      </c>
      <c r="H745" s="24" t="n">
        <v>554.53</v>
      </c>
      <c r="I745" s="25" t="n">
        <v>30414632250</v>
      </c>
      <c r="J745" s="25" t="n">
        <v>54847586.7</v>
      </c>
    </row>
    <row r="746">
      <c r="A746" t="n">
        <v>2021</v>
      </c>
      <c r="B746" t="inlineStr">
        <is>
          <t>DANGOTE</t>
        </is>
      </c>
      <c r="C746" t="inlineStr">
        <is>
          <t>Ciment</t>
        </is>
      </c>
      <c r="D746" t="inlineStr">
        <is>
          <t>Tonne</t>
        </is>
      </c>
      <c r="E746" s="3" t="n">
        <v>74400</v>
      </c>
      <c r="F746" s="3" t="n">
        <v>2741372940</v>
      </c>
      <c r="G746" t="inlineStr">
        <is>
          <t>Gambie</t>
        </is>
      </c>
      <c r="H746" s="24" t="n">
        <v>554.53</v>
      </c>
      <c r="I746" s="25" t="n">
        <v>2741372940</v>
      </c>
      <c r="J746" s="25" t="n">
        <v>4943597.17</v>
      </c>
    </row>
    <row r="747">
      <c r="A747" t="n">
        <v>2021</v>
      </c>
      <c r="B747" t="inlineStr">
        <is>
          <t>DANGOTE</t>
        </is>
      </c>
      <c r="C747" t="inlineStr">
        <is>
          <t>Ciment</t>
        </is>
      </c>
      <c r="D747" t="inlineStr">
        <is>
          <t>Tonne</t>
        </is>
      </c>
      <c r="E747" s="3" t="n">
        <v>6513</v>
      </c>
      <c r="F747" s="3" t="n">
        <v>235924920</v>
      </c>
      <c r="G747" t="inlineStr">
        <is>
          <t>Guinée-Bissau</t>
        </is>
      </c>
      <c r="H747" s="24" t="n">
        <v>554.53</v>
      </c>
      <c r="I747" s="25" t="n">
        <v>235924920</v>
      </c>
      <c r="J747" s="25" t="n">
        <v>425450.24</v>
      </c>
    </row>
    <row r="748">
      <c r="A748" t="n">
        <v>2021</v>
      </c>
      <c r="B748" t="inlineStr">
        <is>
          <t>DANGOTE</t>
        </is>
      </c>
      <c r="C748" t="inlineStr">
        <is>
          <t>Ciment</t>
        </is>
      </c>
      <c r="D748" t="inlineStr">
        <is>
          <t>Tonne</t>
        </is>
      </c>
      <c r="E748" s="3" t="n">
        <v>282786</v>
      </c>
      <c r="F748" s="3" t="n">
        <v>10759288560</v>
      </c>
      <c r="G748" t="inlineStr">
        <is>
          <t>Mali</t>
        </is>
      </c>
      <c r="H748" s="24" t="n">
        <v>554.53</v>
      </c>
      <c r="I748" s="25" t="n">
        <v>10759288560</v>
      </c>
      <c r="J748" s="25" t="n">
        <v>19402536.49</v>
      </c>
    </row>
    <row r="749">
      <c r="A749" t="n">
        <v>2021</v>
      </c>
      <c r="B749" t="inlineStr">
        <is>
          <t>SOCOCIM</t>
        </is>
      </c>
      <c r="C749" t="inlineStr">
        <is>
          <t>Ciment</t>
        </is>
      </c>
      <c r="D749" t="inlineStr">
        <is>
          <t>Tonne</t>
        </is>
      </c>
      <c r="E749" s="3" t="n">
        <v>82744</v>
      </c>
      <c r="F749" s="3" t="n">
        <v>3315486212</v>
      </c>
      <c r="G749" t="inlineStr">
        <is>
          <t>Gambie</t>
        </is>
      </c>
      <c r="H749" s="24" t="n">
        <v>554.53</v>
      </c>
      <c r="I749" s="25" t="n">
        <v>3315486212</v>
      </c>
      <c r="J749" s="25" t="n">
        <v>5978912.25</v>
      </c>
    </row>
    <row r="750">
      <c r="A750" t="n">
        <v>2021</v>
      </c>
      <c r="B750" t="inlineStr">
        <is>
          <t>SOCOCIM</t>
        </is>
      </c>
      <c r="C750" t="inlineStr">
        <is>
          <t>Ciment</t>
        </is>
      </c>
      <c r="D750" t="inlineStr">
        <is>
          <t>Tonne</t>
        </is>
      </c>
      <c r="E750" s="3" t="n">
        <v>83</v>
      </c>
      <c r="F750" s="3" t="n">
        <v>3320000</v>
      </c>
      <c r="G750" t="inlineStr">
        <is>
          <t>Guinée</t>
        </is>
      </c>
      <c r="H750" s="24" t="n">
        <v>554.53</v>
      </c>
      <c r="I750" s="25" t="n">
        <v>3320000</v>
      </c>
      <c r="J750" s="25" t="n">
        <v>5987.05</v>
      </c>
    </row>
    <row r="751">
      <c r="A751" t="n">
        <v>2021</v>
      </c>
      <c r="B751" t="inlineStr">
        <is>
          <t>SOCOCIM</t>
        </is>
      </c>
      <c r="C751" t="inlineStr">
        <is>
          <t>Ciment</t>
        </is>
      </c>
      <c r="D751" t="inlineStr">
        <is>
          <t>Tonne</t>
        </is>
      </c>
      <c r="E751" s="3" t="n">
        <v>1395</v>
      </c>
      <c r="F751" s="3" t="n">
        <v>74945010</v>
      </c>
      <c r="G751" t="inlineStr">
        <is>
          <t>Guinée-Bissau</t>
        </is>
      </c>
      <c r="H751" s="24" t="n">
        <v>554.53</v>
      </c>
      <c r="I751" s="25" t="n">
        <v>74945010</v>
      </c>
      <c r="J751" s="25" t="n">
        <v>135150.51</v>
      </c>
    </row>
    <row r="752">
      <c r="A752" t="n">
        <v>2021</v>
      </c>
      <c r="B752" t="inlineStr">
        <is>
          <t>SOCOCIM</t>
        </is>
      </c>
      <c r="C752" t="inlineStr">
        <is>
          <t>Ciment</t>
        </is>
      </c>
      <c r="D752" t="inlineStr">
        <is>
          <t>Tonne</t>
        </is>
      </c>
      <c r="E752" s="3" t="n">
        <v>287290</v>
      </c>
      <c r="F752" s="3" t="n">
        <v>11860403976</v>
      </c>
      <c r="G752" t="inlineStr">
        <is>
          <t>Mali</t>
        </is>
      </c>
      <c r="H752" s="24" t="n">
        <v>554.53</v>
      </c>
      <c r="I752" s="25" t="n">
        <v>11860403976</v>
      </c>
      <c r="J752" s="25" t="n">
        <v>21388209.79</v>
      </c>
    </row>
    <row r="753">
      <c r="A753" t="n">
        <v>2021</v>
      </c>
      <c r="B753" t="inlineStr">
        <is>
          <t>SOCOCIM</t>
        </is>
      </c>
      <c r="C753" t="inlineStr">
        <is>
          <t>Ciment</t>
        </is>
      </c>
      <c r="D753" t="inlineStr">
        <is>
          <t>Tonne</t>
        </is>
      </c>
      <c r="E753" s="3" t="n">
        <v>6359</v>
      </c>
      <c r="F753" s="3" t="n">
        <v>249126052</v>
      </c>
      <c r="G753" t="inlineStr">
        <is>
          <t>Mauritanie</t>
        </is>
      </c>
      <c r="H753" s="24" t="n">
        <v>554.53</v>
      </c>
      <c r="I753" s="25" t="n">
        <v>249126052</v>
      </c>
      <c r="J753" s="25" t="n">
        <v>449256.22</v>
      </c>
    </row>
    <row r="754">
      <c r="A754" t="n">
        <v>2021</v>
      </c>
      <c r="B754" t="inlineStr">
        <is>
          <t>SEPHOS</t>
        </is>
      </c>
      <c r="C754" t="inlineStr">
        <is>
          <t>Phosphate</t>
        </is>
      </c>
      <c r="D754" t="inlineStr">
        <is>
          <t>Tonne</t>
        </is>
      </c>
      <c r="E754" s="3" t="n">
        <v>1750</v>
      </c>
      <c r="F754" s="3" t="n">
        <v>163194866</v>
      </c>
      <c r="G754" t="inlineStr">
        <is>
          <t>El Salvador</t>
        </is>
      </c>
      <c r="H754" s="24" t="n">
        <v>554.53</v>
      </c>
      <c r="I754" s="25" t="n">
        <v>163194866</v>
      </c>
      <c r="J754" s="25" t="n">
        <v>294294.03</v>
      </c>
    </row>
    <row r="755">
      <c r="A755" t="n">
        <v>2021</v>
      </c>
      <c r="B755" t="inlineStr">
        <is>
          <t>SEPHOS</t>
        </is>
      </c>
      <c r="C755" t="inlineStr">
        <is>
          <t>Phosphate</t>
        </is>
      </c>
      <c r="D755" t="inlineStr">
        <is>
          <t>Tonne</t>
        </is>
      </c>
      <c r="E755" s="3" t="n">
        <v>32999</v>
      </c>
      <c r="F755" s="3" t="n">
        <v>1001766115</v>
      </c>
      <c r="G755" t="inlineStr">
        <is>
          <t>Inde</t>
        </is>
      </c>
      <c r="H755" s="24" t="n">
        <v>554.53</v>
      </c>
      <c r="I755" s="25" t="n">
        <v>1001766115</v>
      </c>
      <c r="J755" s="25" t="n">
        <v>1806513.83</v>
      </c>
    </row>
    <row r="756">
      <c r="A756" t="n">
        <v>2021</v>
      </c>
      <c r="B756" t="inlineStr">
        <is>
          <t>SEPHOS</t>
        </is>
      </c>
      <c r="C756" t="inlineStr">
        <is>
          <t>Phosphate</t>
        </is>
      </c>
      <c r="D756" t="inlineStr">
        <is>
          <t>Tonne</t>
        </is>
      </c>
      <c r="E756" s="3" t="n">
        <v>1809</v>
      </c>
      <c r="F756" s="3" t="n">
        <v>101859978</v>
      </c>
      <c r="G756" t="inlineStr">
        <is>
          <t>Malaisie</t>
        </is>
      </c>
      <c r="H756" s="24" t="n">
        <v>554.53</v>
      </c>
      <c r="I756" s="25" t="n">
        <v>101859978</v>
      </c>
      <c r="J756" s="25" t="n">
        <v>183687.05</v>
      </c>
    </row>
    <row r="757">
      <c r="A757" t="n">
        <v>2021</v>
      </c>
      <c r="B757" t="inlineStr">
        <is>
          <t>BMCC</t>
        </is>
      </c>
      <c r="C757" t="inlineStr">
        <is>
          <t>Phosphate</t>
        </is>
      </c>
      <c r="D757" t="inlineStr">
        <is>
          <t>Tonne</t>
        </is>
      </c>
      <c r="E757" s="3" t="n">
        <v>52576</v>
      </c>
      <c r="F757" s="3" t="n">
        <v>1597344925</v>
      </c>
      <c r="G757" t="inlineStr">
        <is>
          <t>Inde</t>
        </is>
      </c>
      <c r="H757" s="24" t="n">
        <v>554.53</v>
      </c>
      <c r="I757" s="25" t="n">
        <v>1597344925</v>
      </c>
      <c r="J757" s="25" t="n">
        <v>2880538.34</v>
      </c>
    </row>
    <row r="758">
      <c r="A758" t="n">
        <v>2021</v>
      </c>
      <c r="B758" t="inlineStr">
        <is>
          <t>BMCC</t>
        </is>
      </c>
      <c r="C758" t="inlineStr">
        <is>
          <t>Phosphate</t>
        </is>
      </c>
      <c r="D758" t="inlineStr">
        <is>
          <t>Tonne</t>
        </is>
      </c>
      <c r="E758" s="3" t="n">
        <v>178205</v>
      </c>
      <c r="F758" s="3" t="n">
        <v>7334738566</v>
      </c>
      <c r="G758" t="inlineStr">
        <is>
          <t>Liban</t>
        </is>
      </c>
      <c r="H758" s="24" t="n">
        <v>554.53</v>
      </c>
      <c r="I758" s="25" t="n">
        <v>7334738566</v>
      </c>
      <c r="J758" s="25" t="n">
        <v>13226946.36</v>
      </c>
    </row>
    <row r="759">
      <c r="A759" t="n">
        <v>2021</v>
      </c>
      <c r="B759" t="inlineStr">
        <is>
          <t>SOMIVA</t>
        </is>
      </c>
      <c r="C759" t="inlineStr">
        <is>
          <t>Phosphate</t>
        </is>
      </c>
      <c r="D759" t="inlineStr">
        <is>
          <t>Tonne</t>
        </is>
      </c>
      <c r="E759" s="3" t="n">
        <v>5000</v>
      </c>
      <c r="F759" s="3" t="n">
        <v>210000000</v>
      </c>
      <c r="G759" t="inlineStr">
        <is>
          <t>Mali</t>
        </is>
      </c>
      <c r="H759" s="24" t="n">
        <v>554.53</v>
      </c>
      <c r="I759" s="25" t="n">
        <v>210000000</v>
      </c>
      <c r="J759" s="25" t="n">
        <v>378699.08</v>
      </c>
    </row>
    <row r="760">
      <c r="A760" t="n">
        <v>2021</v>
      </c>
      <c r="B760" t="inlineStr">
        <is>
          <t>SOMIVA</t>
        </is>
      </c>
      <c r="C760" t="inlineStr">
        <is>
          <t>Phosphate</t>
        </is>
      </c>
      <c r="D760" t="inlineStr">
        <is>
          <t>Tonne</t>
        </is>
      </c>
      <c r="E760" s="3" t="n">
        <v>239029</v>
      </c>
      <c r="F760" s="3" t="n">
        <v>10462469110</v>
      </c>
      <c r="G760" t="inlineStr">
        <is>
          <t>Suisse</t>
        </is>
      </c>
      <c r="H760" s="24" t="n">
        <v>554.53</v>
      </c>
      <c r="I760" s="25" t="n">
        <v>10462469110</v>
      </c>
      <c r="J760" s="25" t="n">
        <v>18867273.38</v>
      </c>
    </row>
    <row r="761">
      <c r="A761" t="n">
        <v>2021</v>
      </c>
      <c r="B761" t="inlineStr">
        <is>
          <t>SEPHOS</t>
        </is>
      </c>
      <c r="C761" t="inlineStr">
        <is>
          <t>Phosphate</t>
        </is>
      </c>
      <c r="D761" t="inlineStr">
        <is>
          <t>Tonne</t>
        </is>
      </c>
      <c r="E761" s="3" t="n">
        <v>3750</v>
      </c>
      <c r="F761" s="3" t="n">
        <v>416856193</v>
      </c>
      <c r="G761" t="inlineStr">
        <is>
          <t>El Salvador</t>
        </is>
      </c>
      <c r="H761" s="24" t="n">
        <v>554.53</v>
      </c>
      <c r="I761" s="25" t="n">
        <v>416856193</v>
      </c>
      <c r="J761" s="25" t="n">
        <v>751728.84</v>
      </c>
    </row>
    <row r="762">
      <c r="A762" t="n">
        <v>2021</v>
      </c>
      <c r="B762" t="inlineStr">
        <is>
          <t>SEPHOS</t>
        </is>
      </c>
      <c r="C762" t="inlineStr">
        <is>
          <t>Phosphate</t>
        </is>
      </c>
      <c r="D762" t="inlineStr">
        <is>
          <t>Tonne</t>
        </is>
      </c>
      <c r="E762" s="3" t="n">
        <v>24929</v>
      </c>
      <c r="F762" s="3" t="n">
        <v>842275201</v>
      </c>
      <c r="G762" t="inlineStr">
        <is>
          <t>Espagne</t>
        </is>
      </c>
      <c r="H762" s="24" t="n">
        <v>554.53</v>
      </c>
      <c r="I762" s="25" t="n">
        <v>842275201</v>
      </c>
      <c r="J762" s="25" t="n">
        <v>1518899.25</v>
      </c>
    </row>
    <row r="763">
      <c r="A763" t="n">
        <v>2021</v>
      </c>
      <c r="B763" t="inlineStr">
        <is>
          <t>SEPHOS</t>
        </is>
      </c>
      <c r="C763" t="inlineStr">
        <is>
          <t>Phosphate</t>
        </is>
      </c>
      <c r="D763" t="inlineStr">
        <is>
          <t>Tonne</t>
        </is>
      </c>
      <c r="E763" s="3" t="n">
        <v>32999</v>
      </c>
      <c r="F763" s="3" t="n">
        <v>1639481515</v>
      </c>
      <c r="G763" t="inlineStr">
        <is>
          <t>Inde</t>
        </is>
      </c>
      <c r="H763" s="24" t="n">
        <v>554.53</v>
      </c>
      <c r="I763" s="25" t="n">
        <v>1639481515</v>
      </c>
      <c r="J763" s="25" t="n">
        <v>2956524.47</v>
      </c>
    </row>
    <row r="764">
      <c r="A764" t="n">
        <v>2021</v>
      </c>
      <c r="B764" t="inlineStr">
        <is>
          <t>SEPHOS</t>
        </is>
      </c>
      <c r="C764" t="inlineStr">
        <is>
          <t>Phosphate</t>
        </is>
      </c>
      <c r="D764" t="inlineStr">
        <is>
          <t>Tonne</t>
        </is>
      </c>
      <c r="E764" s="3" t="n">
        <v>50</v>
      </c>
      <c r="F764" s="3" t="n">
        <v>5990462</v>
      </c>
      <c r="G764" t="inlineStr">
        <is>
          <t>Sierra Leone</t>
        </is>
      </c>
      <c r="H764" s="24" t="n">
        <v>554.53</v>
      </c>
      <c r="I764" s="25" t="n">
        <v>5990462</v>
      </c>
      <c r="J764" s="25" t="n">
        <v>10802.77</v>
      </c>
    </row>
    <row r="765">
      <c r="A765" t="n">
        <v>2021</v>
      </c>
      <c r="B765" t="inlineStr">
        <is>
          <t>SSPT</t>
        </is>
      </c>
      <c r="C765" t="inlineStr">
        <is>
          <t>Attapulgite</t>
        </is>
      </c>
      <c r="D765" t="inlineStr">
        <is>
          <t>Tonne</t>
        </is>
      </c>
      <c r="E765" s="3" t="n">
        <v>55777</v>
      </c>
      <c r="F765" s="3" t="n">
        <v>2293900410</v>
      </c>
      <c r="G765" t="inlineStr">
        <is>
          <t>Royaume-Uni</t>
        </is>
      </c>
      <c r="H765" s="24" t="n">
        <v>554.53</v>
      </c>
      <c r="I765" s="25" t="n">
        <v>2293900410</v>
      </c>
      <c r="J765" s="25" t="n">
        <v>4136657.01</v>
      </c>
    </row>
    <row r="766">
      <c r="A766" t="n">
        <v>2021</v>
      </c>
      <c r="B766" t="inlineStr">
        <is>
          <t>SSPT</t>
        </is>
      </c>
      <c r="C766" t="inlineStr">
        <is>
          <t>Attapulgite</t>
        </is>
      </c>
      <c r="D766" t="inlineStr">
        <is>
          <t>Tonne</t>
        </is>
      </c>
      <c r="E766" s="3" t="n">
        <v>56840</v>
      </c>
      <c r="F766" s="3" t="n">
        <v>2129663085</v>
      </c>
      <c r="G766" t="inlineStr">
        <is>
          <t>France</t>
        </is>
      </c>
      <c r="H766" s="24" t="n">
        <v>554.53</v>
      </c>
      <c r="I766" s="25" t="n">
        <v>2129663085</v>
      </c>
      <c r="J766" s="25" t="n">
        <v>3840483.08</v>
      </c>
    </row>
    <row r="767">
      <c r="A767" t="n">
        <v>2021</v>
      </c>
      <c r="B767" t="inlineStr">
        <is>
          <t>SSPT</t>
        </is>
      </c>
      <c r="C767" t="inlineStr">
        <is>
          <t>Attapulgite</t>
        </is>
      </c>
      <c r="D767" t="inlineStr">
        <is>
          <t>Tonne</t>
        </is>
      </c>
      <c r="E767" s="3" t="n">
        <v>41217</v>
      </c>
      <c r="F767" s="3" t="n">
        <v>1466544796</v>
      </c>
      <c r="G767" t="inlineStr">
        <is>
          <t>Pays-Bas</t>
        </is>
      </c>
      <c r="H767" s="24" t="n">
        <v>554.53</v>
      </c>
      <c r="I767" s="25" t="n">
        <v>1466544796</v>
      </c>
      <c r="J767" s="25" t="n">
        <v>2644662.68</v>
      </c>
    </row>
    <row r="768">
      <c r="A768" t="n">
        <v>2021</v>
      </c>
      <c r="B768" t="inlineStr">
        <is>
          <t>SSPT</t>
        </is>
      </c>
      <c r="C768" t="inlineStr">
        <is>
          <t>Attapulgite</t>
        </is>
      </c>
      <c r="D768" t="inlineStr">
        <is>
          <t>Tonne</t>
        </is>
      </c>
      <c r="E768" s="3" t="n">
        <v>4964</v>
      </c>
      <c r="F768" s="3" t="n">
        <v>235415450</v>
      </c>
      <c r="G768" t="inlineStr">
        <is>
          <t>Royaume-Uni</t>
        </is>
      </c>
      <c r="H768" s="24" t="n">
        <v>554.53</v>
      </c>
      <c r="I768" s="25" t="n">
        <v>235415450</v>
      </c>
      <c r="J768" s="25" t="n">
        <v>424531.5</v>
      </c>
    </row>
    <row r="769">
      <c r="A769" t="n">
        <v>2021</v>
      </c>
      <c r="B769" t="inlineStr">
        <is>
          <t>SSPT</t>
        </is>
      </c>
      <c r="C769" t="inlineStr">
        <is>
          <t>Attapulgite</t>
        </is>
      </c>
      <c r="D769" t="inlineStr">
        <is>
          <t>Tonne</t>
        </is>
      </c>
      <c r="E769" s="3" t="n">
        <v>5619</v>
      </c>
      <c r="F769" s="3" t="n">
        <v>379652804</v>
      </c>
      <c r="G769" t="inlineStr">
        <is>
          <t>France</t>
        </is>
      </c>
      <c r="H769" s="24" t="n">
        <v>554.53</v>
      </c>
      <c r="I769" s="25" t="n">
        <v>379652804</v>
      </c>
      <c r="J769" s="25" t="n">
        <v>684638.89</v>
      </c>
    </row>
    <row r="770">
      <c r="A770" t="n">
        <v>2021</v>
      </c>
      <c r="B770" t="inlineStr">
        <is>
          <t>SSPT</t>
        </is>
      </c>
      <c r="C770" t="inlineStr">
        <is>
          <t>Attapulgite</t>
        </is>
      </c>
      <c r="D770" t="inlineStr">
        <is>
          <t>Tonne</t>
        </is>
      </c>
      <c r="E770" s="3" t="n">
        <v>2223</v>
      </c>
      <c r="F770" s="3" t="n">
        <v>155257971</v>
      </c>
      <c r="G770" t="inlineStr">
        <is>
          <t>Pays-Bas</t>
        </is>
      </c>
      <c r="H770" s="24" t="n">
        <v>554.53</v>
      </c>
      <c r="I770" s="25" t="n">
        <v>155257971</v>
      </c>
      <c r="J770" s="25" t="n">
        <v>279981.19</v>
      </c>
    </row>
    <row r="771">
      <c r="A771" t="n">
        <v>2021</v>
      </c>
      <c r="B771" t="inlineStr">
        <is>
          <t>SOCOCIM</t>
        </is>
      </c>
      <c r="C771" t="inlineStr">
        <is>
          <t>Clinker</t>
        </is>
      </c>
      <c r="D771" t="inlineStr">
        <is>
          <t>Tonne</t>
        </is>
      </c>
      <c r="E771" s="3" t="n">
        <v>341083</v>
      </c>
      <c r="F771" s="3" t="n">
        <v>8940942095</v>
      </c>
      <c r="G771" t="inlineStr">
        <is>
          <t>Mali</t>
        </is>
      </c>
      <c r="H771" s="24" t="n">
        <v>554.53</v>
      </c>
      <c r="I771" s="25" t="n">
        <v>8940942095</v>
      </c>
      <c r="J771" s="25" t="n">
        <v>16123459.68</v>
      </c>
    </row>
    <row r="772">
      <c r="A772" t="n">
        <v>2021</v>
      </c>
      <c r="B772" t="inlineStr">
        <is>
          <t>GECAMINES</t>
        </is>
      </c>
      <c r="C772" t="inlineStr">
        <is>
          <t>Basalte</t>
        </is>
      </c>
      <c r="D772" t="inlineStr">
        <is>
          <t>Tonne</t>
        </is>
      </c>
      <c r="E772" t="inlineStr">
        <is>
          <t>NC</t>
        </is>
      </c>
      <c r="F772" s="3" t="n">
        <v>752749640</v>
      </c>
      <c r="G772" t="inlineStr">
        <is>
          <t>Gambie</t>
        </is>
      </c>
      <c r="H772" s="24" t="n">
        <v>554.53</v>
      </c>
      <c r="I772" s="25" t="n">
        <v>752749640</v>
      </c>
      <c r="J772" s="25" t="n">
        <v>1357455.21</v>
      </c>
    </row>
    <row r="773">
      <c r="A773" t="n">
        <v>2021</v>
      </c>
      <c r="B773" t="inlineStr">
        <is>
          <t>TALIX</t>
        </is>
      </c>
      <c r="C773" t="inlineStr">
        <is>
          <t>Basalte</t>
        </is>
      </c>
      <c r="D773" t="inlineStr">
        <is>
          <t>Tonne</t>
        </is>
      </c>
      <c r="E773" s="3" t="n">
        <v>8030</v>
      </c>
      <c r="F773" s="3" t="n">
        <v>73700000</v>
      </c>
      <c r="G773" t="inlineStr">
        <is>
          <t>Gambie</t>
        </is>
      </c>
      <c r="H773" s="24" t="n">
        <v>554.53</v>
      </c>
      <c r="I773" s="25" t="n">
        <v>73700000</v>
      </c>
      <c r="J773" s="25" t="n">
        <v>132905.34</v>
      </c>
    </row>
    <row r="774">
      <c r="A774" t="n">
        <v>2021</v>
      </c>
      <c r="B774" t="inlineStr">
        <is>
          <t>GCO</t>
        </is>
      </c>
      <c r="C774" t="inlineStr">
        <is>
          <t>Ilménite</t>
        </is>
      </c>
      <c r="D774" t="inlineStr">
        <is>
          <t>Tonne</t>
        </is>
      </c>
      <c r="E774" s="3" t="n">
        <v>61505</v>
      </c>
      <c r="F774" s="3" t="n">
        <v>14280263539</v>
      </c>
      <c r="G774" t="inlineStr">
        <is>
          <t>Chine</t>
        </is>
      </c>
      <c r="H774" s="24" t="n">
        <v>554.53</v>
      </c>
      <c r="I774" s="25" t="n">
        <v>14280263539</v>
      </c>
      <c r="J774" s="25" t="n">
        <v>25752012.59</v>
      </c>
    </row>
    <row r="775">
      <c r="A775" t="n">
        <v>2021</v>
      </c>
      <c r="B775" t="inlineStr">
        <is>
          <t>GCO</t>
        </is>
      </c>
      <c r="C775" t="inlineStr">
        <is>
          <t>Ilménite</t>
        </is>
      </c>
      <c r="D775" t="inlineStr">
        <is>
          <t>Tonne</t>
        </is>
      </c>
      <c r="E775" s="3" t="n">
        <v>324075</v>
      </c>
      <c r="F775" s="3" t="n">
        <v>39921467482</v>
      </c>
      <c r="G775" t="inlineStr">
        <is>
          <t>Norvège</t>
        </is>
      </c>
      <c r="H775" s="24" t="n">
        <v>554.53</v>
      </c>
      <c r="I775" s="25" t="n">
        <v>39921467482</v>
      </c>
      <c r="J775" s="25" t="n">
        <v>71991537.84999999</v>
      </c>
    </row>
    <row r="776">
      <c r="A776" t="n">
        <v>2021</v>
      </c>
      <c r="B776" t="inlineStr">
        <is>
          <t>GCO</t>
        </is>
      </c>
      <c r="C776" t="inlineStr">
        <is>
          <t>Ilménite</t>
        </is>
      </c>
      <c r="D776" t="inlineStr">
        <is>
          <t>Tonne</t>
        </is>
      </c>
      <c r="E776" s="3" t="n">
        <v>40</v>
      </c>
      <c r="F776" s="3" t="n">
        <v>15210448</v>
      </c>
      <c r="G776" t="inlineStr">
        <is>
          <t>Corée du Sud</t>
        </is>
      </c>
      <c r="H776" s="24" t="n">
        <v>554.53</v>
      </c>
      <c r="I776" s="25" t="n">
        <v>15210448</v>
      </c>
      <c r="J776" s="25" t="n">
        <v>27429.44</v>
      </c>
    </row>
    <row r="777">
      <c r="A777" t="n">
        <v>2021</v>
      </c>
      <c r="B777" t="inlineStr">
        <is>
          <t>GCO</t>
        </is>
      </c>
      <c r="C777" t="inlineStr">
        <is>
          <t>Ilménite</t>
        </is>
      </c>
      <c r="D777" t="inlineStr">
        <is>
          <t>Tonne</t>
        </is>
      </c>
      <c r="E777" s="3" t="n">
        <v>19600</v>
      </c>
      <c r="F777" s="3" t="n">
        <v>3690588362</v>
      </c>
      <c r="G777" t="inlineStr">
        <is>
          <t>Chine</t>
        </is>
      </c>
      <c r="H777" s="24" t="n">
        <v>554.53</v>
      </c>
      <c r="I777" s="25" t="n">
        <v>3690588362</v>
      </c>
      <c r="J777" s="25" t="n">
        <v>6655344.82</v>
      </c>
    </row>
    <row r="778">
      <c r="A778" t="n">
        <v>2021</v>
      </c>
      <c r="B778" t="inlineStr">
        <is>
          <t>GCO</t>
        </is>
      </c>
      <c r="C778" t="inlineStr">
        <is>
          <t>Ilménite</t>
        </is>
      </c>
      <c r="D778" t="inlineStr">
        <is>
          <t>Tonne</t>
        </is>
      </c>
      <c r="E778" t="inlineStr">
        <is>
          <t>NC</t>
        </is>
      </c>
      <c r="F778" s="3" t="n">
        <v>11114681</v>
      </c>
      <c r="G778" t="inlineStr">
        <is>
          <t>Chine</t>
        </is>
      </c>
      <c r="H778" s="24" t="n">
        <v>554.53</v>
      </c>
      <c r="I778" s="25" t="n">
        <v>11114681</v>
      </c>
      <c r="J778" s="25" t="n">
        <v>20043.43</v>
      </c>
    </row>
    <row r="779">
      <c r="A779" t="n">
        <v>2021</v>
      </c>
      <c r="B779" t="inlineStr">
        <is>
          <t>GCO</t>
        </is>
      </c>
      <c r="C779" t="inlineStr">
        <is>
          <t>Ilménite</t>
        </is>
      </c>
      <c r="D779" t="inlineStr">
        <is>
          <t>Tonne</t>
        </is>
      </c>
      <c r="E779" t="inlineStr">
        <is>
          <t>NC</t>
        </is>
      </c>
      <c r="F779" s="3" t="n">
        <v>1429388</v>
      </c>
      <c r="G779" t="inlineStr">
        <is>
          <t>Japon</t>
        </is>
      </c>
      <c r="H779" s="24" t="n">
        <v>554.53</v>
      </c>
      <c r="I779" s="25" t="n">
        <v>1429388</v>
      </c>
      <c r="J779" s="25" t="n">
        <v>2577.66</v>
      </c>
    </row>
    <row r="780">
      <c r="A780" t="n">
        <v>2021</v>
      </c>
      <c r="B780" t="inlineStr">
        <is>
          <t>GCO</t>
        </is>
      </c>
      <c r="C780" t="inlineStr">
        <is>
          <t>Ilménite</t>
        </is>
      </c>
      <c r="D780" t="inlineStr">
        <is>
          <t>Tonne</t>
        </is>
      </c>
      <c r="E780" s="3" t="n">
        <v>17009</v>
      </c>
      <c r="F780" s="3" t="n">
        <v>2156851555</v>
      </c>
      <c r="G780" t="inlineStr">
        <is>
          <t>Mexique</t>
        </is>
      </c>
      <c r="H780" s="24" t="n">
        <v>554.53</v>
      </c>
      <c r="I780" s="25" t="n">
        <v>2156851555</v>
      </c>
      <c r="J780" s="25" t="n">
        <v>3889512.84</v>
      </c>
    </row>
    <row r="781">
      <c r="A781" t="n">
        <v>2021</v>
      </c>
      <c r="B781" t="inlineStr">
        <is>
          <t>GCO</t>
        </is>
      </c>
      <c r="C781" t="inlineStr">
        <is>
          <t>Ilménite</t>
        </is>
      </c>
      <c r="D781" t="inlineStr">
        <is>
          <t>Tonne</t>
        </is>
      </c>
      <c r="E781" s="3" t="n">
        <v>20</v>
      </c>
      <c r="F781" s="3" t="n">
        <v>8844666</v>
      </c>
      <c r="G781" t="inlineStr">
        <is>
          <t>Corée du Sud</t>
        </is>
      </c>
      <c r="H781" s="24" t="n">
        <v>554.53</v>
      </c>
      <c r="I781" s="25" t="n">
        <v>8844666</v>
      </c>
      <c r="J781" s="25" t="n">
        <v>15949.84</v>
      </c>
    </row>
    <row r="782">
      <c r="A782" t="n">
        <v>2021</v>
      </c>
      <c r="B782" t="inlineStr">
        <is>
          <t>GCO</t>
        </is>
      </c>
      <c r="C782" t="inlineStr">
        <is>
          <t>Ilménite</t>
        </is>
      </c>
      <c r="D782" t="inlineStr">
        <is>
          <t>Tonne</t>
        </is>
      </c>
      <c r="E782" s="3" t="n">
        <v>134156</v>
      </c>
      <c r="F782" s="3" t="n">
        <v>18572613619</v>
      </c>
      <c r="G782" t="inlineStr">
        <is>
          <t>États-Unis</t>
        </is>
      </c>
      <c r="H782" s="24" t="n">
        <v>554.53</v>
      </c>
      <c r="I782" s="25" t="n">
        <v>18572613619</v>
      </c>
      <c r="J782" s="25" t="n">
        <v>33492531.73</v>
      </c>
    </row>
    <row r="783">
      <c r="A783" t="n">
        <v>2021</v>
      </c>
      <c r="B783" t="inlineStr">
        <is>
          <t>GCO</t>
        </is>
      </c>
      <c r="C783" t="inlineStr">
        <is>
          <t>Leucoxène</t>
        </is>
      </c>
      <c r="D783" t="inlineStr">
        <is>
          <t>Tonne</t>
        </is>
      </c>
      <c r="E783" s="3" t="n">
        <v>1680</v>
      </c>
      <c r="F783" s="3" t="n">
        <v>824410018</v>
      </c>
      <c r="G783" t="inlineStr">
        <is>
          <t>Chine</t>
        </is>
      </c>
      <c r="H783" s="24" t="n">
        <v>554.53</v>
      </c>
      <c r="I783" s="25" t="n">
        <v>824410018</v>
      </c>
      <c r="J783" s="25" t="n">
        <v>1486682.45</v>
      </c>
    </row>
    <row r="784">
      <c r="A784" t="n">
        <v>2021</v>
      </c>
      <c r="B784" t="inlineStr">
        <is>
          <t>GCO</t>
        </is>
      </c>
      <c r="C784" t="inlineStr">
        <is>
          <t>Leucoxène</t>
        </is>
      </c>
      <c r="D784" t="inlineStr">
        <is>
          <t>Tonne</t>
        </is>
      </c>
      <c r="E784" s="3" t="n">
        <v>1740</v>
      </c>
      <c r="F784" s="3" t="n">
        <v>867223278</v>
      </c>
      <c r="G784" t="inlineStr">
        <is>
          <t>Émirats Arabes Unis</t>
        </is>
      </c>
      <c r="H784" s="24" t="n">
        <v>554.53</v>
      </c>
      <c r="I784" s="25" t="n">
        <v>867223278</v>
      </c>
      <c r="J784" s="25" t="n">
        <v>1563888.84</v>
      </c>
    </row>
    <row r="785">
      <c r="A785" t="n">
        <v>2021</v>
      </c>
      <c r="B785" t="inlineStr">
        <is>
          <t>GCO</t>
        </is>
      </c>
      <c r="C785" t="inlineStr">
        <is>
          <t>Leucoxène</t>
        </is>
      </c>
      <c r="D785" t="inlineStr">
        <is>
          <t>Tonne</t>
        </is>
      </c>
      <c r="E785" s="3" t="n">
        <v>580</v>
      </c>
      <c r="F785" s="3" t="n">
        <v>304557730</v>
      </c>
      <c r="G785" t="inlineStr">
        <is>
          <t>Royaume-Uni</t>
        </is>
      </c>
      <c r="H785" s="24" t="n">
        <v>554.53</v>
      </c>
      <c r="I785" s="25" t="n">
        <v>304557730</v>
      </c>
      <c r="J785" s="25" t="n">
        <v>549217.77</v>
      </c>
    </row>
    <row r="786">
      <c r="A786" t="n">
        <v>2021</v>
      </c>
      <c r="B786" t="inlineStr">
        <is>
          <t>GCO</t>
        </is>
      </c>
      <c r="C786" t="inlineStr">
        <is>
          <t>Leucoxène</t>
        </is>
      </c>
      <c r="D786" t="inlineStr">
        <is>
          <t>Tonne</t>
        </is>
      </c>
      <c r="E786" s="3" t="n">
        <v>20</v>
      </c>
      <c r="F786" s="3" t="n">
        <v>11875694</v>
      </c>
      <c r="G786" t="inlineStr">
        <is>
          <t>Allemagne</t>
        </is>
      </c>
      <c r="H786" s="24" t="n">
        <v>554.53</v>
      </c>
      <c r="I786" s="25" t="n">
        <v>11875694</v>
      </c>
      <c r="J786" s="25" t="n">
        <v>21415.78</v>
      </c>
    </row>
    <row r="787">
      <c r="A787" t="n">
        <v>2021</v>
      </c>
      <c r="B787" t="inlineStr">
        <is>
          <t>GCO</t>
        </is>
      </c>
      <c r="C787" t="inlineStr">
        <is>
          <t>Leucoxène</t>
        </is>
      </c>
      <c r="D787" t="inlineStr">
        <is>
          <t>Tonne</t>
        </is>
      </c>
      <c r="E787" s="3" t="n">
        <v>260</v>
      </c>
      <c r="F787" s="3" t="n">
        <v>139195752</v>
      </c>
      <c r="G787" t="inlineStr">
        <is>
          <t>Japon</t>
        </is>
      </c>
      <c r="H787" s="24" t="n">
        <v>554.53</v>
      </c>
      <c r="I787" s="25" t="n">
        <v>139195752</v>
      </c>
      <c r="J787" s="25" t="n">
        <v>251015.73</v>
      </c>
    </row>
    <row r="788">
      <c r="A788" t="n">
        <v>2021</v>
      </c>
      <c r="B788" t="inlineStr">
        <is>
          <t>GCO</t>
        </is>
      </c>
      <c r="C788" t="inlineStr">
        <is>
          <t>Leucoxène</t>
        </is>
      </c>
      <c r="D788" t="inlineStr">
        <is>
          <t>Tonne</t>
        </is>
      </c>
      <c r="E788" s="3" t="n">
        <v>840</v>
      </c>
      <c r="F788" s="3" t="n">
        <v>491357265</v>
      </c>
      <c r="G788" t="inlineStr">
        <is>
          <t>Pays-Bas</t>
        </is>
      </c>
      <c r="H788" s="24" t="n">
        <v>554.53</v>
      </c>
      <c r="I788" s="25" t="n">
        <v>491357265</v>
      </c>
      <c r="J788" s="25" t="n">
        <v>886078.78</v>
      </c>
    </row>
    <row r="789">
      <c r="A789" t="n">
        <v>2021</v>
      </c>
      <c r="B789" t="inlineStr">
        <is>
          <t>GCO</t>
        </is>
      </c>
      <c r="C789" t="inlineStr">
        <is>
          <t>Leucoxène</t>
        </is>
      </c>
      <c r="D789" t="inlineStr">
        <is>
          <t>Tonne</t>
        </is>
      </c>
      <c r="E789" s="3" t="n">
        <v>40</v>
      </c>
      <c r="F789" s="3" t="n">
        <v>27335640</v>
      </c>
      <c r="G789" t="inlineStr">
        <is>
          <t>Roumanie</t>
        </is>
      </c>
      <c r="H789" s="24" t="n">
        <v>554.53</v>
      </c>
      <c r="I789" s="25" t="n">
        <v>27335640</v>
      </c>
      <c r="J789" s="25" t="n">
        <v>49295.15</v>
      </c>
    </row>
    <row r="790">
      <c r="A790" t="n">
        <v>2021</v>
      </c>
      <c r="B790" t="inlineStr">
        <is>
          <t>GCO</t>
        </is>
      </c>
      <c r="C790" t="inlineStr">
        <is>
          <t>Leucoxène</t>
        </is>
      </c>
      <c r="D790" t="inlineStr">
        <is>
          <t>Tonne</t>
        </is>
      </c>
      <c r="E790" s="3" t="n">
        <v>460</v>
      </c>
      <c r="F790" s="3" t="n">
        <v>246666868</v>
      </c>
      <c r="G790" t="inlineStr">
        <is>
          <t>Afrique du Sud</t>
        </is>
      </c>
      <c r="H790" s="24" t="n">
        <v>554.53</v>
      </c>
      <c r="I790" s="25" t="n">
        <v>246666868</v>
      </c>
      <c r="J790" s="25" t="n">
        <v>444821.5</v>
      </c>
    </row>
    <row r="791">
      <c r="A791" t="n">
        <v>2021</v>
      </c>
      <c r="B791" t="inlineStr">
        <is>
          <t>GCO</t>
        </is>
      </c>
      <c r="C791" t="inlineStr">
        <is>
          <t>Leucoxène</t>
        </is>
      </c>
      <c r="D791" t="inlineStr">
        <is>
          <t>Tonne</t>
        </is>
      </c>
      <c r="E791" s="3" t="n">
        <v>1340</v>
      </c>
      <c r="F791" s="3" t="n">
        <v>683278780</v>
      </c>
      <c r="G791" t="inlineStr">
        <is>
          <t>Corée du Sud</t>
        </is>
      </c>
      <c r="H791" s="24" t="n">
        <v>554.53</v>
      </c>
      <c r="I791" s="25" t="n">
        <v>683278780</v>
      </c>
      <c r="J791" s="25" t="n">
        <v>1232176.4</v>
      </c>
    </row>
    <row r="792">
      <c r="A792" t="n">
        <v>2021</v>
      </c>
      <c r="B792" t="inlineStr">
        <is>
          <t>GCO</t>
        </is>
      </c>
      <c r="C792" t="inlineStr">
        <is>
          <t>Zircon</t>
        </is>
      </c>
      <c r="D792" t="inlineStr">
        <is>
          <t>Tonne</t>
        </is>
      </c>
      <c r="E792" s="3" t="n">
        <v>1691</v>
      </c>
      <c r="F792" s="3" t="n">
        <v>1568034252</v>
      </c>
      <c r="G792" t="inlineStr">
        <is>
          <t>Chine</t>
        </is>
      </c>
      <c r="H792" s="24" t="n">
        <v>554.53</v>
      </c>
      <c r="I792" s="25" t="n">
        <v>1568034252</v>
      </c>
      <c r="J792" s="25" t="n">
        <v>2827681.55</v>
      </c>
    </row>
    <row r="793">
      <c r="A793" t="n">
        <v>2021</v>
      </c>
      <c r="B793" t="inlineStr">
        <is>
          <t>GCO</t>
        </is>
      </c>
      <c r="C793" t="inlineStr">
        <is>
          <t>Zircon</t>
        </is>
      </c>
      <c r="D793" t="inlineStr">
        <is>
          <t>Tonne</t>
        </is>
      </c>
      <c r="E793" s="3" t="n">
        <v>6040</v>
      </c>
      <c r="F793" s="3" t="n">
        <v>5143625643</v>
      </c>
      <c r="G793" t="inlineStr">
        <is>
          <t>Allemagne</t>
        </is>
      </c>
      <c r="H793" s="24" t="n">
        <v>554.53</v>
      </c>
      <c r="I793" s="25" t="n">
        <v>5143625643</v>
      </c>
      <c r="J793" s="25" t="n">
        <v>9275649.01</v>
      </c>
    </row>
    <row r="794">
      <c r="A794" t="n">
        <v>2021</v>
      </c>
      <c r="B794" t="inlineStr">
        <is>
          <t>GCO</t>
        </is>
      </c>
      <c r="C794" t="inlineStr">
        <is>
          <t>Zircon</t>
        </is>
      </c>
      <c r="D794" t="inlineStr">
        <is>
          <t>Tonne</t>
        </is>
      </c>
      <c r="E794" s="3" t="n">
        <v>598</v>
      </c>
      <c r="F794" s="3" t="n">
        <v>577716577</v>
      </c>
      <c r="G794" t="inlineStr">
        <is>
          <t>Inde</t>
        </is>
      </c>
      <c r="H794" s="24" t="n">
        <v>554.53</v>
      </c>
      <c r="I794" s="25" t="n">
        <v>577716577</v>
      </c>
      <c r="J794" s="25" t="n">
        <v>1041813.03</v>
      </c>
    </row>
    <row r="795">
      <c r="A795" t="n">
        <v>2021</v>
      </c>
      <c r="B795" t="inlineStr">
        <is>
          <t>GCO</t>
        </is>
      </c>
      <c r="C795" t="inlineStr">
        <is>
          <t>Zircon</t>
        </is>
      </c>
      <c r="D795" t="inlineStr">
        <is>
          <t>Tonne</t>
        </is>
      </c>
      <c r="E795" t="inlineStr">
        <is>
          <t>NC</t>
        </is>
      </c>
      <c r="F795" s="3" t="n">
        <v>70622155</v>
      </c>
      <c r="G795" t="inlineStr">
        <is>
          <t>Italie</t>
        </is>
      </c>
      <c r="H795" s="24" t="n">
        <v>554.53</v>
      </c>
      <c r="I795" s="25" t="n">
        <v>70622155</v>
      </c>
      <c r="J795" s="25" t="n">
        <v>127354.98</v>
      </c>
    </row>
    <row r="796">
      <c r="A796" t="n">
        <v>2021</v>
      </c>
      <c r="B796" t="inlineStr">
        <is>
          <t>GCO</t>
        </is>
      </c>
      <c r="C796" t="inlineStr">
        <is>
          <t>Zircon</t>
        </is>
      </c>
      <c r="D796" t="inlineStr">
        <is>
          <t>Tonne</t>
        </is>
      </c>
      <c r="E796" s="3" t="n">
        <v>180</v>
      </c>
      <c r="F796" s="3" t="n">
        <v>183074773</v>
      </c>
      <c r="G796" t="inlineStr">
        <is>
          <t>Japon</t>
        </is>
      </c>
      <c r="H796" s="24" t="n">
        <v>554.53</v>
      </c>
      <c r="I796" s="25" t="n">
        <v>183074773</v>
      </c>
      <c r="J796" s="25" t="n">
        <v>330144.04</v>
      </c>
    </row>
    <row r="797">
      <c r="A797" t="n">
        <v>2021</v>
      </c>
      <c r="B797" t="inlineStr">
        <is>
          <t>GCO</t>
        </is>
      </c>
      <c r="C797" t="inlineStr">
        <is>
          <t>Zircon</t>
        </is>
      </c>
      <c r="D797" t="inlineStr">
        <is>
          <t>Tonne</t>
        </is>
      </c>
      <c r="E797" s="3" t="n">
        <v>529</v>
      </c>
      <c r="F797" s="3" t="n">
        <v>465574992</v>
      </c>
      <c r="G797" t="inlineStr">
        <is>
          <t>Mexique</t>
        </is>
      </c>
      <c r="H797" s="24" t="n">
        <v>554.53</v>
      </c>
      <c r="I797" s="25" t="n">
        <v>465574992</v>
      </c>
      <c r="J797" s="25" t="n">
        <v>839584.86</v>
      </c>
    </row>
    <row r="798">
      <c r="A798" t="n">
        <v>2021</v>
      </c>
      <c r="B798" t="inlineStr">
        <is>
          <t>GCO</t>
        </is>
      </c>
      <c r="C798" t="inlineStr">
        <is>
          <t>Zircon</t>
        </is>
      </c>
      <c r="D798" t="inlineStr">
        <is>
          <t>Tonne</t>
        </is>
      </c>
      <c r="E798" s="3" t="n">
        <v>1894</v>
      </c>
      <c r="F798" s="3" t="n">
        <v>1619586818</v>
      </c>
      <c r="G798" t="inlineStr">
        <is>
          <t>Pays-Bas</t>
        </is>
      </c>
      <c r="H798" s="24" t="n">
        <v>554.53</v>
      </c>
      <c r="I798" s="25" t="n">
        <v>1619586818</v>
      </c>
      <c r="J798" s="25" t="n">
        <v>2920647.79</v>
      </c>
    </row>
    <row r="799">
      <c r="A799" t="n">
        <v>2021</v>
      </c>
      <c r="B799" t="inlineStr">
        <is>
          <t>GCO</t>
        </is>
      </c>
      <c r="C799" t="inlineStr">
        <is>
          <t>Zircon</t>
        </is>
      </c>
      <c r="D799" t="inlineStr">
        <is>
          <t>Tonne</t>
        </is>
      </c>
      <c r="E799" s="3" t="n">
        <v>120</v>
      </c>
      <c r="F799" s="3" t="n">
        <v>120119879</v>
      </c>
      <c r="G799" t="inlineStr">
        <is>
          <t>Norvège</t>
        </is>
      </c>
      <c r="H799" s="24" t="n">
        <v>554.53</v>
      </c>
      <c r="I799" s="25" t="n">
        <v>120119879</v>
      </c>
      <c r="J799" s="25" t="n">
        <v>216615.65</v>
      </c>
    </row>
    <row r="800">
      <c r="A800" t="n">
        <v>2021</v>
      </c>
      <c r="B800" t="inlineStr">
        <is>
          <t>GCO</t>
        </is>
      </c>
      <c r="C800" t="inlineStr">
        <is>
          <t>Zircon</t>
        </is>
      </c>
      <c r="D800" t="inlineStr">
        <is>
          <t>Tonne</t>
        </is>
      </c>
      <c r="E800" s="3" t="n">
        <v>13857</v>
      </c>
      <c r="F800" s="3" t="n">
        <v>10967953845</v>
      </c>
      <c r="G800" t="inlineStr">
        <is>
          <t>Espagne</t>
        </is>
      </c>
      <c r="H800" s="24" t="n">
        <v>554.53</v>
      </c>
      <c r="I800" s="25" t="n">
        <v>10967953845</v>
      </c>
      <c r="J800" s="25" t="n">
        <v>19778828.64</v>
      </c>
    </row>
    <row r="801">
      <c r="A801" t="n">
        <v>2021</v>
      </c>
      <c r="B801" t="inlineStr">
        <is>
          <t>GCO</t>
        </is>
      </c>
      <c r="C801" t="inlineStr">
        <is>
          <t>Zircon</t>
        </is>
      </c>
      <c r="D801" t="inlineStr">
        <is>
          <t>Tonne</t>
        </is>
      </c>
      <c r="E801" t="inlineStr">
        <is>
          <t>NC</t>
        </is>
      </c>
      <c r="F801" s="3" t="n">
        <v>3771951</v>
      </c>
      <c r="G801" t="inlineStr">
        <is>
          <t>Turquie</t>
        </is>
      </c>
      <c r="H801" s="24" t="n">
        <v>554.53</v>
      </c>
      <c r="I801" s="25" t="n">
        <v>3771951</v>
      </c>
      <c r="J801" s="25" t="n">
        <v>6802.07</v>
      </c>
    </row>
    <row r="802">
      <c r="A802" t="n">
        <v>2021</v>
      </c>
      <c r="B802" t="inlineStr">
        <is>
          <t>GCO</t>
        </is>
      </c>
      <c r="C802" t="inlineStr">
        <is>
          <t>Zircon</t>
        </is>
      </c>
      <c r="D802" t="inlineStr">
        <is>
          <t>Tonne</t>
        </is>
      </c>
      <c r="E802" s="3" t="n">
        <v>573</v>
      </c>
      <c r="F802" s="3" t="n">
        <v>465361281</v>
      </c>
      <c r="G802" t="inlineStr">
        <is>
          <t>États-Unis</t>
        </is>
      </c>
      <c r="H802" s="24" t="n">
        <v>554.53</v>
      </c>
      <c r="I802" s="25" t="n">
        <v>465361281</v>
      </c>
      <c r="J802" s="25" t="n">
        <v>839199.47</v>
      </c>
    </row>
    <row r="803">
      <c r="A803" t="n">
        <v>2021</v>
      </c>
      <c r="B803" t="inlineStr">
        <is>
          <t>GCO</t>
        </is>
      </c>
      <c r="C803" t="inlineStr">
        <is>
          <t>Zircon</t>
        </is>
      </c>
      <c r="D803" t="inlineStr">
        <is>
          <t>Tonne</t>
        </is>
      </c>
      <c r="E803" s="3" t="n">
        <v>317</v>
      </c>
      <c r="F803" s="3" t="n">
        <v>106160902</v>
      </c>
      <c r="G803" t="inlineStr">
        <is>
          <t>Australie</t>
        </is>
      </c>
      <c r="H803" s="24" t="n">
        <v>554.53</v>
      </c>
      <c r="I803" s="25" t="n">
        <v>106160902</v>
      </c>
      <c r="J803" s="25" t="n">
        <v>191443.03</v>
      </c>
    </row>
    <row r="804">
      <c r="A804" t="n">
        <v>2021</v>
      </c>
      <c r="B804" t="inlineStr">
        <is>
          <t>GCO</t>
        </is>
      </c>
      <c r="C804" t="inlineStr">
        <is>
          <t>Zircon</t>
        </is>
      </c>
      <c r="D804" t="inlineStr">
        <is>
          <t>Tonne</t>
        </is>
      </c>
      <c r="E804" s="3" t="n">
        <v>26464</v>
      </c>
      <c r="F804" s="3" t="n">
        <v>6590625131</v>
      </c>
      <c r="G804" t="inlineStr">
        <is>
          <t>Chine</t>
        </is>
      </c>
      <c r="H804" s="24" t="n">
        <v>554.53</v>
      </c>
      <c r="I804" s="25" t="n">
        <v>6590625131</v>
      </c>
      <c r="J804" s="25" t="n">
        <v>11885065.07</v>
      </c>
    </row>
    <row r="805">
      <c r="A805" t="n">
        <v>2021</v>
      </c>
      <c r="B805" t="inlineStr">
        <is>
          <t>GCO</t>
        </is>
      </c>
      <c r="C805" t="inlineStr">
        <is>
          <t>Zircon</t>
        </is>
      </c>
      <c r="D805" t="inlineStr">
        <is>
          <t>Tonne</t>
        </is>
      </c>
      <c r="E805" s="3" t="n">
        <v>1993</v>
      </c>
      <c r="F805" s="3" t="n">
        <v>1894965567</v>
      </c>
      <c r="G805" t="inlineStr">
        <is>
          <t>Australie</t>
        </is>
      </c>
      <c r="H805" s="24" t="n">
        <v>554.53</v>
      </c>
      <c r="I805" s="25" t="n">
        <v>1894965567</v>
      </c>
      <c r="J805" s="25" t="n">
        <v>3417246.26</v>
      </c>
    </row>
    <row r="806">
      <c r="A806" t="n">
        <v>2021</v>
      </c>
      <c r="B806" t="inlineStr">
        <is>
          <t>GCO</t>
        </is>
      </c>
      <c r="C806" t="inlineStr">
        <is>
          <t>Zircon</t>
        </is>
      </c>
      <c r="D806" t="inlineStr">
        <is>
          <t>Tonne</t>
        </is>
      </c>
      <c r="E806" s="3" t="n">
        <v>619</v>
      </c>
      <c r="F806" s="3" t="n">
        <v>558707988</v>
      </c>
      <c r="G806" t="inlineStr">
        <is>
          <t>Brésil</t>
        </is>
      </c>
      <c r="H806" s="24" t="n">
        <v>554.53</v>
      </c>
      <c r="I806" s="25" t="n">
        <v>558707988</v>
      </c>
      <c r="J806" s="25" t="n">
        <v>1007534.29</v>
      </c>
    </row>
    <row r="807">
      <c r="A807" t="n">
        <v>2021</v>
      </c>
      <c r="B807" t="inlineStr">
        <is>
          <t>GCO</t>
        </is>
      </c>
      <c r="C807" t="inlineStr">
        <is>
          <t>Zircon</t>
        </is>
      </c>
      <c r="D807" t="inlineStr">
        <is>
          <t>Tonne</t>
        </is>
      </c>
      <c r="E807" s="3" t="n">
        <v>7404</v>
      </c>
      <c r="F807" s="3" t="n">
        <v>6743468852</v>
      </c>
      <c r="G807" t="inlineStr">
        <is>
          <t>Chine</t>
        </is>
      </c>
      <c r="H807" s="24" t="n">
        <v>554.53</v>
      </c>
      <c r="I807" s="25" t="n">
        <v>6743468852</v>
      </c>
      <c r="J807" s="25" t="n">
        <v>12160692.57</v>
      </c>
    </row>
    <row r="808">
      <c r="A808" t="n">
        <v>2021</v>
      </c>
      <c r="B808" t="inlineStr">
        <is>
          <t>GCO</t>
        </is>
      </c>
      <c r="C808" t="inlineStr">
        <is>
          <t>Zircon</t>
        </is>
      </c>
      <c r="D808" t="inlineStr">
        <is>
          <t>Tonne</t>
        </is>
      </c>
      <c r="E808" s="3" t="n">
        <v>300</v>
      </c>
      <c r="F808" s="3" t="n">
        <v>351597185</v>
      </c>
      <c r="G808" t="inlineStr">
        <is>
          <t>Royaume-Uni</t>
        </is>
      </c>
      <c r="H808" s="24" t="n">
        <v>554.53</v>
      </c>
      <c r="I808" s="25" t="n">
        <v>351597185</v>
      </c>
      <c r="J808" s="25" t="n">
        <v>634045.38</v>
      </c>
    </row>
    <row r="809">
      <c r="A809" t="n">
        <v>2021</v>
      </c>
      <c r="B809" t="inlineStr">
        <is>
          <t>GCO</t>
        </is>
      </c>
      <c r="C809" t="inlineStr">
        <is>
          <t>Zircon</t>
        </is>
      </c>
      <c r="D809" t="inlineStr">
        <is>
          <t>Tonne</t>
        </is>
      </c>
      <c r="E809" s="3" t="n">
        <v>1119</v>
      </c>
      <c r="F809" s="3" t="n">
        <v>1109867797</v>
      </c>
      <c r="G809" t="inlineStr">
        <is>
          <t>France</t>
        </is>
      </c>
      <c r="H809" s="24" t="n">
        <v>554.53</v>
      </c>
      <c r="I809" s="25" t="n">
        <v>1109867797</v>
      </c>
      <c r="J809" s="25" t="n">
        <v>2001456.72</v>
      </c>
    </row>
    <row r="810">
      <c r="A810" t="n">
        <v>2021</v>
      </c>
      <c r="B810" t="inlineStr">
        <is>
          <t>GCO</t>
        </is>
      </c>
      <c r="C810" t="inlineStr">
        <is>
          <t>Zircon</t>
        </is>
      </c>
      <c r="D810" t="inlineStr">
        <is>
          <t>Tonne</t>
        </is>
      </c>
      <c r="E810" s="3" t="n">
        <v>441</v>
      </c>
      <c r="F810" s="3" t="n">
        <v>414173449</v>
      </c>
      <c r="G810" t="inlineStr">
        <is>
          <t>Allemagne</t>
        </is>
      </c>
      <c r="H810" s="24" t="n">
        <v>554.53</v>
      </c>
      <c r="I810" s="25" t="n">
        <v>414173449</v>
      </c>
      <c r="J810" s="25" t="n">
        <v>746890.97</v>
      </c>
    </row>
    <row r="811">
      <c r="A811" t="n">
        <v>2021</v>
      </c>
      <c r="B811" t="inlineStr">
        <is>
          <t>GCO</t>
        </is>
      </c>
      <c r="C811" t="inlineStr">
        <is>
          <t>Zircon</t>
        </is>
      </c>
      <c r="D811" t="inlineStr">
        <is>
          <t>Tonne</t>
        </is>
      </c>
      <c r="E811" s="3" t="n">
        <v>441</v>
      </c>
      <c r="F811" s="3" t="n">
        <v>464436589</v>
      </c>
      <c r="G811" t="inlineStr">
        <is>
          <t>Inde</t>
        </is>
      </c>
      <c r="H811" s="24" t="n">
        <v>554.53</v>
      </c>
      <c r="I811" s="25" t="n">
        <v>464436589</v>
      </c>
      <c r="J811" s="25" t="n">
        <v>837531.9399999999</v>
      </c>
    </row>
    <row r="812">
      <c r="A812" t="n">
        <v>2021</v>
      </c>
      <c r="B812" t="inlineStr">
        <is>
          <t>GCO</t>
        </is>
      </c>
      <c r="C812" t="inlineStr">
        <is>
          <t>Zircon</t>
        </is>
      </c>
      <c r="D812" t="inlineStr">
        <is>
          <t>Tonne</t>
        </is>
      </c>
      <c r="E812" s="3" t="n">
        <v>2886</v>
      </c>
      <c r="F812" s="3" t="n">
        <v>2647054796</v>
      </c>
      <c r="G812" t="inlineStr">
        <is>
          <t>Italie</t>
        </is>
      </c>
      <c r="H812" s="24" t="n">
        <v>554.53</v>
      </c>
      <c r="I812" s="25" t="n">
        <v>2647054796</v>
      </c>
      <c r="J812" s="25" t="n">
        <v>4773510.53</v>
      </c>
    </row>
    <row r="813">
      <c r="A813" t="n">
        <v>2021</v>
      </c>
      <c r="B813" t="inlineStr">
        <is>
          <t>GCO</t>
        </is>
      </c>
      <c r="C813" t="inlineStr">
        <is>
          <t>Zircon</t>
        </is>
      </c>
      <c r="D813" t="inlineStr">
        <is>
          <t>Tonne</t>
        </is>
      </c>
      <c r="E813" s="3" t="n">
        <v>2700</v>
      </c>
      <c r="F813" s="3" t="n">
        <v>2575028229</v>
      </c>
      <c r="G813" t="inlineStr">
        <is>
          <t>Japon</t>
        </is>
      </c>
      <c r="H813" s="24" t="n">
        <v>554.53</v>
      </c>
      <c r="I813" s="25" t="n">
        <v>2575028229</v>
      </c>
      <c r="J813" s="25" t="n">
        <v>4643622.94</v>
      </c>
    </row>
    <row r="814">
      <c r="A814" t="n">
        <v>2021</v>
      </c>
      <c r="B814" t="inlineStr">
        <is>
          <t>GCO</t>
        </is>
      </c>
      <c r="C814" t="inlineStr">
        <is>
          <t>Zircon</t>
        </is>
      </c>
      <c r="D814" t="inlineStr">
        <is>
          <t>Tonne</t>
        </is>
      </c>
      <c r="E814" s="3" t="n">
        <v>2247</v>
      </c>
      <c r="F814" s="3" t="n">
        <v>1879078157</v>
      </c>
      <c r="G814" t="inlineStr">
        <is>
          <t>Mexique</t>
        </is>
      </c>
      <c r="H814" s="24" t="n">
        <v>554.53</v>
      </c>
      <c r="I814" s="25" t="n">
        <v>1879078157</v>
      </c>
      <c r="J814" s="25" t="n">
        <v>3388596.03</v>
      </c>
    </row>
    <row r="815">
      <c r="A815" t="n">
        <v>2021</v>
      </c>
      <c r="B815" t="inlineStr">
        <is>
          <t>GCO</t>
        </is>
      </c>
      <c r="C815" t="inlineStr">
        <is>
          <t>Zircon</t>
        </is>
      </c>
      <c r="D815" t="inlineStr">
        <is>
          <t>Tonne</t>
        </is>
      </c>
      <c r="E815" s="3" t="n">
        <v>683</v>
      </c>
      <c r="F815" s="3" t="n">
        <v>661515133</v>
      </c>
      <c r="G815" t="inlineStr">
        <is>
          <t>Pays-Bas</t>
        </is>
      </c>
      <c r="H815" s="24" t="n">
        <v>554.53</v>
      </c>
      <c r="I815" s="25" t="n">
        <v>661515133</v>
      </c>
      <c r="J815" s="25" t="n">
        <v>1192929.39</v>
      </c>
    </row>
    <row r="816">
      <c r="A816" t="n">
        <v>2021</v>
      </c>
      <c r="B816" t="inlineStr">
        <is>
          <t>GCO</t>
        </is>
      </c>
      <c r="C816" t="inlineStr">
        <is>
          <t>Zircon</t>
        </is>
      </c>
      <c r="D816" t="inlineStr">
        <is>
          <t>Tonne</t>
        </is>
      </c>
      <c r="E816" s="3" t="n">
        <v>60</v>
      </c>
      <c r="F816" s="3" t="n">
        <v>80951319</v>
      </c>
      <c r="G816" t="inlineStr">
        <is>
          <t>Afrique du Sud</t>
        </is>
      </c>
      <c r="H816" s="24" t="n">
        <v>554.53</v>
      </c>
      <c r="I816" s="25" t="n">
        <v>80951319</v>
      </c>
      <c r="J816" s="25" t="n">
        <v>145981.86</v>
      </c>
    </row>
    <row r="817">
      <c r="A817" t="n">
        <v>2021</v>
      </c>
      <c r="B817" t="inlineStr">
        <is>
          <t>GCO</t>
        </is>
      </c>
      <c r="C817" t="inlineStr">
        <is>
          <t>Zircon</t>
        </is>
      </c>
      <c r="D817" t="inlineStr">
        <is>
          <t>Tonne</t>
        </is>
      </c>
      <c r="E817" s="3" t="n">
        <v>7007</v>
      </c>
      <c r="F817" s="3" t="n">
        <v>5672811820</v>
      </c>
      <c r="G817" t="inlineStr">
        <is>
          <t>Espagne</t>
        </is>
      </c>
      <c r="H817" s="24" t="n">
        <v>554.53</v>
      </c>
      <c r="I817" s="25" t="n">
        <v>5672811820</v>
      </c>
      <c r="J817" s="25" t="n">
        <v>10229945.76</v>
      </c>
    </row>
    <row r="818">
      <c r="A818" t="n">
        <v>2021</v>
      </c>
      <c r="B818" t="inlineStr">
        <is>
          <t>GCO</t>
        </is>
      </c>
      <c r="C818" t="inlineStr">
        <is>
          <t>Zircon</t>
        </is>
      </c>
      <c r="D818" t="inlineStr">
        <is>
          <t>Tonne</t>
        </is>
      </c>
      <c r="E818" s="3" t="n">
        <v>2159</v>
      </c>
      <c r="F818" s="3" t="n">
        <v>1760981781</v>
      </c>
      <c r="G818" t="inlineStr">
        <is>
          <t>Turquie</t>
        </is>
      </c>
      <c r="H818" s="24" t="n">
        <v>554.53</v>
      </c>
      <c r="I818" s="25" t="n">
        <v>1760981781</v>
      </c>
      <c r="J818" s="25" t="n">
        <v>3175629.42</v>
      </c>
    </row>
    <row r="819">
      <c r="A819" t="n">
        <v>2021</v>
      </c>
      <c r="B819" t="inlineStr">
        <is>
          <t>GCO</t>
        </is>
      </c>
      <c r="C819" t="inlineStr">
        <is>
          <t>Zircon</t>
        </is>
      </c>
      <c r="D819" t="inlineStr">
        <is>
          <t>Tonne</t>
        </is>
      </c>
      <c r="E819" s="3" t="n">
        <v>7878</v>
      </c>
      <c r="F819" s="3" t="n">
        <v>7053284342</v>
      </c>
      <c r="G819" t="inlineStr">
        <is>
          <t>États-Unis</t>
        </is>
      </c>
      <c r="H819" s="24" t="n">
        <v>554.53</v>
      </c>
      <c r="I819" s="25" t="n">
        <v>7053284342</v>
      </c>
      <c r="J819" s="25" t="n">
        <v>12719391.81</v>
      </c>
    </row>
    <row r="820">
      <c r="A820" t="n">
        <v>2021</v>
      </c>
      <c r="B820" t="inlineStr">
        <is>
          <t>GCO</t>
        </is>
      </c>
      <c r="C820" t="inlineStr">
        <is>
          <t>Rutile</t>
        </is>
      </c>
      <c r="D820" t="inlineStr">
        <is>
          <t>Tonne</t>
        </is>
      </c>
      <c r="E820" s="3" t="n">
        <v>340</v>
      </c>
      <c r="F820" s="3" t="n">
        <v>305068612</v>
      </c>
      <c r="G820" t="inlineStr">
        <is>
          <t>Chine</t>
        </is>
      </c>
      <c r="H820" s="24" t="n">
        <v>554.53</v>
      </c>
      <c r="I820" s="25" t="n">
        <v>305068612</v>
      </c>
      <c r="J820" s="25" t="n">
        <v>550139.0600000001</v>
      </c>
    </row>
    <row r="821">
      <c r="A821" t="n">
        <v>2021</v>
      </c>
      <c r="B821" t="inlineStr">
        <is>
          <t>GCO</t>
        </is>
      </c>
      <c r="C821" t="inlineStr">
        <is>
          <t>Rutile</t>
        </is>
      </c>
      <c r="D821" t="inlineStr">
        <is>
          <t>Tonne</t>
        </is>
      </c>
      <c r="E821" s="3" t="n">
        <v>180</v>
      </c>
      <c r="F821" s="3" t="n">
        <v>148071383</v>
      </c>
      <c r="G821" t="inlineStr">
        <is>
          <t>Émirats Arabes Unis</t>
        </is>
      </c>
      <c r="H821" s="24" t="n">
        <v>554.53</v>
      </c>
      <c r="I821" s="25" t="n">
        <v>148071383</v>
      </c>
      <c r="J821" s="25" t="n">
        <v>267021.41</v>
      </c>
    </row>
    <row r="822">
      <c r="A822" t="n">
        <v>2021</v>
      </c>
      <c r="B822" t="inlineStr">
        <is>
          <t>GCO</t>
        </is>
      </c>
      <c r="C822" t="inlineStr">
        <is>
          <t>Rutile</t>
        </is>
      </c>
      <c r="D822" t="inlineStr">
        <is>
          <t>Tonne</t>
        </is>
      </c>
      <c r="E822" s="3" t="n">
        <v>400</v>
      </c>
      <c r="F822" s="3" t="n">
        <v>328109075</v>
      </c>
      <c r="G822" t="inlineStr">
        <is>
          <t>Royaume-Uni</t>
        </is>
      </c>
      <c r="H822" s="24" t="n">
        <v>554.53</v>
      </c>
      <c r="I822" s="25" t="n">
        <v>328109075</v>
      </c>
      <c r="J822" s="25" t="n">
        <v>591688.59</v>
      </c>
    </row>
    <row r="823">
      <c r="A823" t="n">
        <v>2021</v>
      </c>
      <c r="B823" t="inlineStr">
        <is>
          <t>GCO</t>
        </is>
      </c>
      <c r="C823" t="inlineStr">
        <is>
          <t>Rutile</t>
        </is>
      </c>
      <c r="D823" t="inlineStr">
        <is>
          <t>Tonne</t>
        </is>
      </c>
      <c r="E823" s="3" t="n">
        <v>22</v>
      </c>
      <c r="F823" s="3" t="n">
        <v>17871618</v>
      </c>
      <c r="G823" t="inlineStr">
        <is>
          <t>Allemagne</t>
        </is>
      </c>
      <c r="H823" s="24" t="n">
        <v>554.53</v>
      </c>
      <c r="I823" s="25" t="n">
        <v>17871618</v>
      </c>
      <c r="J823" s="25" t="n">
        <v>32228.41</v>
      </c>
    </row>
    <row r="824">
      <c r="A824" t="n">
        <v>2021</v>
      </c>
      <c r="B824" t="inlineStr">
        <is>
          <t>GCO</t>
        </is>
      </c>
      <c r="C824" t="inlineStr">
        <is>
          <t>Rutile</t>
        </is>
      </c>
      <c r="D824" t="inlineStr">
        <is>
          <t>Tonne</t>
        </is>
      </c>
      <c r="E824" s="3" t="n">
        <v>760</v>
      </c>
      <c r="F824" s="3" t="n">
        <v>602427692</v>
      </c>
      <c r="G824" t="inlineStr">
        <is>
          <t>Japon</t>
        </is>
      </c>
      <c r="H824" s="24" t="n">
        <v>554.53</v>
      </c>
      <c r="I824" s="25" t="n">
        <v>602427692</v>
      </c>
      <c r="J824" s="25" t="n">
        <v>1086375.29</v>
      </c>
    </row>
    <row r="825">
      <c r="A825" t="n">
        <v>2021</v>
      </c>
      <c r="B825" t="inlineStr">
        <is>
          <t>GCO</t>
        </is>
      </c>
      <c r="C825" t="inlineStr">
        <is>
          <t>Rutile</t>
        </is>
      </c>
      <c r="D825" t="inlineStr">
        <is>
          <t>Tonne</t>
        </is>
      </c>
      <c r="E825" s="3" t="n">
        <v>40</v>
      </c>
      <c r="F825" s="3" t="n">
        <v>36020011</v>
      </c>
      <c r="G825" t="inlineStr">
        <is>
          <t>Pays-Bas</t>
        </is>
      </c>
      <c r="H825" s="24" t="n">
        <v>554.53</v>
      </c>
      <c r="I825" s="25" t="n">
        <v>36020011</v>
      </c>
      <c r="J825" s="25" t="n">
        <v>64955.93</v>
      </c>
    </row>
    <row r="826">
      <c r="A826" t="n">
        <v>2021</v>
      </c>
      <c r="B826" t="inlineStr">
        <is>
          <t>GCO</t>
        </is>
      </c>
      <c r="C826" t="inlineStr">
        <is>
          <t>Rutile</t>
        </is>
      </c>
      <c r="D826" t="inlineStr">
        <is>
          <t>Tonne</t>
        </is>
      </c>
      <c r="E826" s="3" t="n">
        <v>2420</v>
      </c>
      <c r="F826" s="3" t="n">
        <v>1963190098</v>
      </c>
      <c r="G826" t="inlineStr">
        <is>
          <t>Corée du Sud</t>
        </is>
      </c>
      <c r="H826" s="24" t="n">
        <v>554.53</v>
      </c>
      <c r="I826" s="25" t="n">
        <v>1963190098</v>
      </c>
      <c r="J826" s="25" t="n">
        <v>3540277.53</v>
      </c>
    </row>
    <row r="827">
      <c r="A827" t="n">
        <v>2021</v>
      </c>
      <c r="B827" t="inlineStr">
        <is>
          <t>GCO</t>
        </is>
      </c>
      <c r="C827" t="inlineStr">
        <is>
          <t>Rutile</t>
        </is>
      </c>
      <c r="D827" t="inlineStr">
        <is>
          <t>Tonne</t>
        </is>
      </c>
      <c r="E827" s="3" t="n">
        <v>220</v>
      </c>
      <c r="F827" s="3" t="n">
        <v>155358532</v>
      </c>
      <c r="G827" t="inlineStr">
        <is>
          <t>Espagne</t>
        </is>
      </c>
      <c r="H827" s="24" t="n">
        <v>554.53</v>
      </c>
      <c r="I827" s="25" t="n">
        <v>155358532</v>
      </c>
      <c r="J827" s="25" t="n">
        <v>280162.54</v>
      </c>
    </row>
    <row r="828">
      <c r="A828" t="n">
        <v>2021</v>
      </c>
      <c r="B828" t="inlineStr">
        <is>
          <t>GCO</t>
        </is>
      </c>
      <c r="C828" t="inlineStr">
        <is>
          <t>Rutile</t>
        </is>
      </c>
      <c r="D828" t="inlineStr">
        <is>
          <t>Tonne</t>
        </is>
      </c>
      <c r="E828" s="3" t="n">
        <v>80</v>
      </c>
      <c r="F828" s="3" t="n">
        <v>73560968</v>
      </c>
      <c r="G828" t="inlineStr">
        <is>
          <t>Taiwan</t>
        </is>
      </c>
      <c r="H828" s="24" t="n">
        <v>554.53</v>
      </c>
      <c r="I828" s="25" t="n">
        <v>73560968</v>
      </c>
      <c r="J828" s="25" t="n">
        <v>132654.62</v>
      </c>
    </row>
    <row r="829">
      <c r="A829" t="n">
        <v>2021</v>
      </c>
      <c r="B829" t="inlineStr">
        <is>
          <t>SOCOCIM</t>
        </is>
      </c>
      <c r="C829" t="inlineStr">
        <is>
          <t>Autres</t>
        </is>
      </c>
      <c r="D829" t="inlineStr">
        <is>
          <t>NC</t>
        </is>
      </c>
      <c r="E829" s="3" t="n">
        <v>0</v>
      </c>
      <c r="F829" s="3" t="n">
        <v>4591699</v>
      </c>
      <c r="G829" t="inlineStr">
        <is>
          <t>France</t>
        </is>
      </c>
      <c r="H829" s="24" t="n">
        <v>554.53</v>
      </c>
      <c r="I829" s="25" t="n">
        <v>4591699</v>
      </c>
      <c r="J829" s="25" t="n">
        <v>8280.34</v>
      </c>
    </row>
    <row r="830">
      <c r="A830" t="n">
        <v>2021</v>
      </c>
      <c r="B830" t="inlineStr">
        <is>
          <t>SOCOCIM</t>
        </is>
      </c>
      <c r="C830" t="inlineStr">
        <is>
          <t>Autres</t>
        </is>
      </c>
      <c r="D830" t="inlineStr">
        <is>
          <t>NC</t>
        </is>
      </c>
      <c r="E830" s="3" t="n">
        <v>0</v>
      </c>
      <c r="F830" s="3" t="n">
        <v>110880000</v>
      </c>
      <c r="G830" t="inlineStr">
        <is>
          <t>Mali</t>
        </is>
      </c>
      <c r="H830" s="24" t="n">
        <v>554.53</v>
      </c>
      <c r="I830" s="25" t="n">
        <v>110880000</v>
      </c>
      <c r="J830" s="25"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
  <sheetViews>
    <sheetView workbookViewId="0">
      <selection activeCell="G2" sqref="G2"/>
    </sheetView>
  </sheetViews>
  <sheetFormatPr baseColWidth="10" defaultRowHeight="14.5"/>
  <sheetData>
    <row r="1">
      <c r="A1" t="inlineStr">
        <is>
          <t>Société</t>
        </is>
      </c>
      <c r="B1" t="inlineStr">
        <is>
          <t>Année</t>
        </is>
      </c>
      <c r="C1" t="inlineStr">
        <is>
          <t>Hommes</t>
        </is>
      </c>
      <c r="D1" t="inlineStr">
        <is>
          <t>Femmes</t>
        </is>
      </c>
      <c r="E1" t="inlineStr">
        <is>
          <t>Nationalité</t>
        </is>
      </c>
      <c r="F1" t="inlineStr">
        <is>
          <t>Qualification</t>
        </is>
      </c>
      <c r="G1" t="inlineStr">
        <is>
          <t>Type de contrat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1"/>
  <sheetViews>
    <sheetView workbookViewId="0">
      <selection activeCell="D13" sqref="D13"/>
    </sheetView>
  </sheetViews>
  <sheetFormatPr baseColWidth="10" defaultRowHeight="14.5"/>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6852"/>
  <sheetViews>
    <sheetView workbookViewId="0">
      <selection activeCell="A1" sqref="A1"/>
    </sheetView>
  </sheetViews>
  <sheetFormatPr baseColWidth="8" defaultRowHeight="15"/>
  <cols>
    <col width="8" customWidth="1" min="1" max="1"/>
    <col width="12" customWidth="1" min="2" max="2"/>
    <col width="12" customWidth="1" min="3" max="3"/>
    <col width="16" customWidth="1" min="4" max="4"/>
    <col width="12" customWidth="1" min="5" max="5"/>
    <col width="20" customWidth="1" min="6" max="6"/>
    <col width="30" customWidth="1" min="7" max="7"/>
    <col width="30" customWidth="1" min="8" max="8"/>
    <col width="18" customWidth="1" min="9" max="9"/>
    <col width="20" customWidth="1" min="10" max="10"/>
    <col width="14" customWidth="1" min="11" max="11"/>
    <col width="22" customWidth="1" min="12" max="12"/>
    <col width="40" customWidth="1" min="13" max="13"/>
    <col width="24" customWidth="1" min="14" max="14"/>
    <col width="22" customWidth="1" min="15" max="15"/>
    <col width="30" customWidth="1" min="16" max="16"/>
    <col width="24" customWidth="1" min="17" max="17"/>
    <col width="18" customWidth="1" min="18" max="18"/>
    <col width="22" customWidth="1" min="19" max="19"/>
    <col width="20" customWidth="1" min="20" max="20"/>
  </cols>
  <sheetData>
    <row r="1">
      <c r="A1" s="17" t="inlineStr">
        <is>
          <t>Année</t>
        </is>
      </c>
      <c r="B1" s="17" t="inlineStr">
        <is>
          <t>Secteur</t>
        </is>
      </c>
      <c r="C1" s="17" t="inlineStr">
        <is>
          <t>Type</t>
        </is>
      </c>
      <c r="D1" s="17" t="inlineStr">
        <is>
          <t>Société</t>
        </is>
      </c>
      <c r="E1" s="17" t="inlineStr">
        <is>
          <t>Région</t>
        </is>
      </c>
      <c r="F1" s="17" t="inlineStr">
        <is>
          <t>NINEA</t>
        </is>
      </c>
      <c r="G1" s="17" t="inlineStr">
        <is>
          <t>Identité du Bénéficiaire (Nom)</t>
        </is>
      </c>
      <c r="H1" s="17" t="inlineStr">
        <is>
          <t>Fonction</t>
        </is>
      </c>
      <c r="I1" s="17" t="inlineStr">
        <is>
          <t>Région du Bénéficiaire</t>
        </is>
      </c>
      <c r="J1" s="17" t="inlineStr">
        <is>
          <t>Paiements en Numéraire : Montant (FCFA)</t>
        </is>
      </c>
      <c r="K1" s="17" t="inlineStr">
        <is>
          <t>Paiements en Numéraire : Date</t>
        </is>
      </c>
      <c r="L1" s="17" t="inlineStr">
        <is>
          <t>Domaine d'Intervention (Numéraire)</t>
        </is>
      </c>
      <c r="M1" s="17" t="inlineStr">
        <is>
          <t>Paiements en Nature : Description (Nature, Objectifs, Réalisations)</t>
        </is>
      </c>
      <c r="N1" s="17" t="inlineStr">
        <is>
          <t>Paiements en Nature : Coût du Projet encouru durant l'année</t>
        </is>
      </c>
      <c r="O1" s="17" t="inlineStr">
        <is>
          <t>Domaine d'Intervention (Nature)</t>
        </is>
      </c>
      <c r="P1" s="17" t="inlineStr">
        <is>
          <t>Réf. Juridique / Contractuelle</t>
        </is>
      </c>
      <c r="Q1" s="17" t="inlineStr">
        <is>
          <t>Données ventilées par genre sur les bénéficiaires</t>
        </is>
      </c>
      <c r="R1" s="17" t="inlineStr">
        <is>
          <t>Montant total (FCFA)</t>
        </is>
      </c>
      <c r="S1" s="17" t="inlineStr">
        <is>
          <t>Domaine d'action consolidé</t>
        </is>
      </c>
      <c r="T1" s="17"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2" t="n">
        <v>74996.85000000001</v>
      </c>
      <c r="K4" s="23"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2"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2" t="n">
        <v>80002.24000000001</v>
      </c>
      <c r="K5" s="23" t="n">
        <v>45297</v>
      </c>
      <c r="M5" t="inlineStr">
        <is>
          <t>Regar de vanne</t>
        </is>
      </c>
      <c r="N5" t="inlineStr">
        <is>
          <t>N/A</t>
        </is>
      </c>
      <c r="O5" t="inlineStr">
        <is>
          <t>N/A</t>
        </is>
      </c>
      <c r="P5" t="inlineStr">
        <is>
          <t>Convention minère et Code minier (Fond Social et Fond d'appui au developpement local)</t>
        </is>
      </c>
      <c r="Q5" t="inlineStr">
        <is>
          <t>NA</t>
        </is>
      </c>
      <c r="R5" s="22"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2" t="n">
        <v>199999.59</v>
      </c>
      <c r="K6" s="23" t="n">
        <v>45297</v>
      </c>
      <c r="M6" t="inlineStr">
        <is>
          <t>Perrons de l'abreuvoir</t>
        </is>
      </c>
      <c r="N6" t="inlineStr">
        <is>
          <t>N/A</t>
        </is>
      </c>
      <c r="O6" t="inlineStr">
        <is>
          <t>N/A</t>
        </is>
      </c>
      <c r="P6" t="inlineStr">
        <is>
          <t>Convention minère et Code minier (Fond Social et Fond d'appui au developpement local)</t>
        </is>
      </c>
      <c r="Q6" t="inlineStr">
        <is>
          <t>NA</t>
        </is>
      </c>
      <c r="R6" s="22"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2" t="n">
        <v>99999.8</v>
      </c>
      <c r="K7" s="23"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2"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2" t="n">
        <v>30002.34</v>
      </c>
      <c r="K8" s="23" t="n">
        <v>45297</v>
      </c>
      <c r="M8" t="inlineStr">
        <is>
          <t>Vanne au borne fontaine</t>
        </is>
      </c>
      <c r="N8" t="inlineStr">
        <is>
          <t>N/A</t>
        </is>
      </c>
      <c r="O8" t="inlineStr">
        <is>
          <t>N/A</t>
        </is>
      </c>
      <c r="P8" t="inlineStr">
        <is>
          <t>Convention minère et Code minier (Fond Social et Fond d'appui au developpement local)</t>
        </is>
      </c>
      <c r="Q8" t="inlineStr">
        <is>
          <t>NA</t>
        </is>
      </c>
      <c r="R8" s="22"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2"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2" t="n">
        <v>199999.59</v>
      </c>
      <c r="K10" s="23"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2"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2" t="n">
        <v>4370504.5</v>
      </c>
      <c r="K11" s="23"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2"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2" t="n">
        <v>10289400</v>
      </c>
      <c r="K12" s="23"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2"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2" t="n">
        <v>87498.71000000001</v>
      </c>
      <c r="K13" s="23"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2"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2" t="n">
        <v>61249.09</v>
      </c>
      <c r="K14" s="23"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2"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2" t="n">
        <v>751152.42</v>
      </c>
      <c r="K15" s="23"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2"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2" t="n">
        <v>2665000.84</v>
      </c>
      <c r="K16" s="23"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2"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2" t="n">
        <v>324997.76</v>
      </c>
      <c r="K17" s="23"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2"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2" t="n">
        <v>126399.67</v>
      </c>
      <c r="K18" s="23"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2"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2" t="n">
        <v>252661.51</v>
      </c>
      <c r="K19" s="23"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2"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2" t="n">
        <v>500000</v>
      </c>
      <c r="K20" s="23"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2"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2"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2" t="n">
        <v>10728000</v>
      </c>
      <c r="K22" s="23"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2"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2" t="n">
        <v>670000</v>
      </c>
      <c r="K23" s="23"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2"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2" t="n">
        <v>35604715.2288531</v>
      </c>
      <c r="K24" s="23"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2"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2" t="n">
        <v>330000.53</v>
      </c>
      <c r="K25" s="23"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2"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2" t="n">
        <v>19998.04</v>
      </c>
      <c r="K26" s="23" t="n">
        <v>45302</v>
      </c>
      <c r="M26" t="inlineStr">
        <is>
          <t>Fouilles en rigoles</t>
        </is>
      </c>
      <c r="N26" t="inlineStr">
        <is>
          <t>N/A</t>
        </is>
      </c>
      <c r="O26" t="inlineStr">
        <is>
          <t>N/A</t>
        </is>
      </c>
      <c r="P26" t="inlineStr">
        <is>
          <t>Convention minère et Code minier (Fond Social et Fond d'appui au developpement local)</t>
        </is>
      </c>
      <c r="Q26" t="inlineStr">
        <is>
          <t>NA</t>
        </is>
      </c>
      <c r="R26" s="22"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2" t="n">
        <v>69147.69</v>
      </c>
      <c r="K27" s="23" t="n">
        <v>45302</v>
      </c>
      <c r="M27" t="inlineStr">
        <is>
          <t>Fouilles en puits</t>
        </is>
      </c>
      <c r="N27" t="inlineStr">
        <is>
          <t>N/A</t>
        </is>
      </c>
      <c r="O27" t="inlineStr">
        <is>
          <t>N/A</t>
        </is>
      </c>
      <c r="P27" t="inlineStr">
        <is>
          <t>Convention minère et Code minier (Fond Social et Fond d'appui au developpement local)</t>
        </is>
      </c>
      <c r="Q27" t="inlineStr">
        <is>
          <t>NA</t>
        </is>
      </c>
      <c r="R27" s="22"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2" t="n">
        <v>59217.38</v>
      </c>
      <c r="K28" s="23"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2"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2" t="n">
        <v>176821.64</v>
      </c>
      <c r="K29" s="23" t="n">
        <v>45302</v>
      </c>
      <c r="M29" t="inlineStr">
        <is>
          <t>Remblai sous dallage</t>
        </is>
      </c>
      <c r="N29" t="inlineStr">
        <is>
          <t>N/A</t>
        </is>
      </c>
      <c r="O29" t="inlineStr">
        <is>
          <t>N/A</t>
        </is>
      </c>
      <c r="P29" t="inlineStr">
        <is>
          <t>Convention minère et Code minier (Fond Social et Fond d'appui au developpement local)</t>
        </is>
      </c>
      <c r="Q29" t="inlineStr">
        <is>
          <t>NA</t>
        </is>
      </c>
      <c r="R29" s="22"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2" t="n">
        <v>53600.96</v>
      </c>
      <c r="K30" s="23"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2"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2" t="n">
        <v>48002.47</v>
      </c>
      <c r="K31" s="23"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2"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2" t="n">
        <v>88548.24000000001</v>
      </c>
      <c r="K32" s="23"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2"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2" t="n">
        <v>16102.4</v>
      </c>
      <c r="K33" s="23"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2"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2" t="n">
        <v>131101.59</v>
      </c>
      <c r="K34" s="23"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2"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2" t="n">
        <v>338096.54</v>
      </c>
      <c r="K35" s="23"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2"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2" t="n">
        <v>351450.48</v>
      </c>
      <c r="K36" s="23"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2"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2" t="n">
        <v>64260.21</v>
      </c>
      <c r="K37" s="23"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2"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2" t="n">
        <v>74752.16</v>
      </c>
      <c r="K38" s="23"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2"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2" t="n">
        <v>175949.3</v>
      </c>
      <c r="K39" s="23"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2"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2" t="n">
        <v>105433.35</v>
      </c>
      <c r="K40" s="23"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2"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2" t="n">
        <v>159751.31</v>
      </c>
      <c r="K41" s="23"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2"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2" t="n">
        <v>6602.28</v>
      </c>
      <c r="K42" s="23" t="n">
        <v>45302</v>
      </c>
      <c r="M42" t="inlineStr">
        <is>
          <t>Dallage placard</t>
        </is>
      </c>
      <c r="N42" t="inlineStr">
        <is>
          <t>N/A</t>
        </is>
      </c>
      <c r="O42" t="inlineStr">
        <is>
          <t>N/A</t>
        </is>
      </c>
      <c r="P42" t="inlineStr">
        <is>
          <t>Convention minère et Code minier (Fond Social et Fond d'appui au developpement local)</t>
        </is>
      </c>
      <c r="Q42" t="inlineStr">
        <is>
          <t>NA</t>
        </is>
      </c>
      <c r="R42" s="22"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2" t="n">
        <v>202501.82</v>
      </c>
      <c r="K43" s="23"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2"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2" t="n">
        <v>95998.96000000001</v>
      </c>
      <c r="K44" s="23"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2"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2" t="n">
        <v>295656.72</v>
      </c>
      <c r="K45" s="23"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2"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2" t="n">
        <v>13198.59</v>
      </c>
      <c r="K46" s="23"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2"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2" t="n">
        <v>184870393</v>
      </c>
      <c r="R47" s="22"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2" t="n">
        <v>13001.42</v>
      </c>
      <c r="K48" s="23"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2"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2" t="n">
        <v>181391785.438247</v>
      </c>
      <c r="K49" s="23"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2"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2" t="n">
        <v>156364000</v>
      </c>
      <c r="K50" s="23" t="n">
        <v>45359</v>
      </c>
      <c r="M50" t="inlineStr">
        <is>
          <t>Bembou Raod 2024</t>
        </is>
      </c>
      <c r="N50" t="inlineStr">
        <is>
          <t>N/A</t>
        </is>
      </c>
      <c r="O50" t="inlineStr">
        <is>
          <t>N/A</t>
        </is>
      </c>
      <c r="P50" t="inlineStr">
        <is>
          <t>Convention minère et Code minier (Fond Social et Fond d'appui au developpement local)</t>
        </is>
      </c>
      <c r="Q50" t="inlineStr">
        <is>
          <t>NA</t>
        </is>
      </c>
      <c r="R50" s="22"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2" t="n">
        <v>19741.12</v>
      </c>
      <c r="K51" s="23"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2"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2" t="n">
        <v>51121.37</v>
      </c>
      <c r="K52" s="23"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2"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2" t="n">
        <v>12075.3</v>
      </c>
      <c r="K53" s="23"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2"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2" t="n">
        <v>291599.77</v>
      </c>
      <c r="K54" s="23" t="n">
        <v>45302</v>
      </c>
      <c r="M54" t="inlineStr">
        <is>
          <t>Table-bancs</t>
        </is>
      </c>
      <c r="N54" t="inlineStr">
        <is>
          <t>N/A</t>
        </is>
      </c>
      <c r="O54" t="inlineStr">
        <is>
          <t>N/A</t>
        </is>
      </c>
      <c r="P54" t="inlineStr">
        <is>
          <t>Convention minère et Code minier (Fond Social et Fond d'appui au developpement local)</t>
        </is>
      </c>
      <c r="Q54" t="inlineStr">
        <is>
          <t>NA</t>
        </is>
      </c>
      <c r="R54" s="22"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2" t="n">
        <v>14399.55</v>
      </c>
      <c r="K55" s="23" t="n">
        <v>45302</v>
      </c>
      <c r="M55" t="inlineStr">
        <is>
          <t>Bureau enseignant</t>
        </is>
      </c>
      <c r="N55" t="inlineStr">
        <is>
          <t>N/A</t>
        </is>
      </c>
      <c r="O55" t="inlineStr">
        <is>
          <t>N/A</t>
        </is>
      </c>
      <c r="P55" t="inlineStr">
        <is>
          <t>Convention minère et Code minier (Fond Social et Fond d'appui au developpement local)</t>
        </is>
      </c>
      <c r="Q55" t="inlineStr">
        <is>
          <t>NA</t>
        </is>
      </c>
      <c r="R55" s="22"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2" t="n">
        <v>14399.54</v>
      </c>
      <c r="K56" s="23" t="n">
        <v>45302</v>
      </c>
      <c r="M56" t="inlineStr">
        <is>
          <t>Chaise enseignant</t>
        </is>
      </c>
      <c r="N56" t="inlineStr">
        <is>
          <t>N/A</t>
        </is>
      </c>
      <c r="O56" t="inlineStr">
        <is>
          <t>N/A</t>
        </is>
      </c>
      <c r="P56" t="inlineStr">
        <is>
          <t>Convention minère et Code minier (Fond Social et Fond d'appui au developpement local)</t>
        </is>
      </c>
      <c r="Q56" t="inlineStr">
        <is>
          <t>NA</t>
        </is>
      </c>
      <c r="R56" s="22"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2" t="n">
        <v>111000</v>
      </c>
      <c r="K57" s="23"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2"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2" t="n">
        <v>43920</v>
      </c>
      <c r="K58" t="inlineStr">
        <is>
          <t>Santé (Covid)</t>
        </is>
      </c>
      <c r="L58" t="inlineStr">
        <is>
          <t>Néant</t>
        </is>
      </c>
      <c r="M58" t="inlineStr">
        <is>
          <t>Néant</t>
        </is>
      </c>
      <c r="N58" t="inlineStr">
        <is>
          <t>Néant</t>
        </is>
      </c>
      <c r="O58" t="inlineStr">
        <is>
          <t>NC</t>
        </is>
      </c>
      <c r="R58" s="22"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2" t="n">
        <v>99244529</v>
      </c>
      <c r="L59" t="inlineStr">
        <is>
          <t>Appuis Divers</t>
        </is>
      </c>
      <c r="R59" s="22"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2" t="n">
        <v>88074266</v>
      </c>
      <c r="L60" t="inlineStr">
        <is>
          <t>Fonds complémentaire pour la réalisation de la 1ère phase de l'aire de stationnement entre Mako-Niéméniké</t>
        </is>
      </c>
      <c r="R60" s="22"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2" t="n">
        <v>78002792</v>
      </c>
      <c r="L61" t="inlineStr">
        <is>
          <t>1ère phase de l'aire de stationneme _Lot n°1 _Avance de demarrage 30% TTC du montant du contrat (97,503,489 FCFA)</t>
        </is>
      </c>
      <c r="R61" s="22"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2"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2" t="n">
        <v>7898645</v>
      </c>
      <c r="K63" s="23"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2"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2" t="n">
        <v>67500000</v>
      </c>
      <c r="K64" s="23"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2"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2" t="n">
        <v>700000</v>
      </c>
      <c r="K65" s="23" t="n">
        <v>45313</v>
      </c>
      <c r="M65" t="inlineStr">
        <is>
          <t>Budget Press/Radio-Tele</t>
        </is>
      </c>
      <c r="N65" t="inlineStr">
        <is>
          <t>N/A</t>
        </is>
      </c>
      <c r="O65" t="inlineStr">
        <is>
          <t>N/A</t>
        </is>
      </c>
      <c r="P65" t="inlineStr">
        <is>
          <t>Convention minère et Code minier (Fond Social et Fond d'appui au developpement local)</t>
        </is>
      </c>
      <c r="Q65" t="inlineStr">
        <is>
          <t>NA</t>
        </is>
      </c>
      <c r="R65" s="22"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2" t="n">
        <v>63084650</v>
      </c>
      <c r="K66" s="23" t="n">
        <v>45652</v>
      </c>
      <c r="L66" t="inlineStr">
        <is>
          <t>NA</t>
        </is>
      </c>
      <c r="P66" t="inlineStr">
        <is>
          <t>Article 2 Protocole d'accord</t>
        </is>
      </c>
      <c r="Q66" t="inlineStr">
        <is>
          <t>NA</t>
        </is>
      </c>
      <c r="R66" s="22"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2" t="n">
        <v>4699997.99</v>
      </c>
      <c r="K67" s="23" t="n">
        <v>45313</v>
      </c>
      <c r="M67" t="inlineStr">
        <is>
          <t>Moulin à mil</t>
        </is>
      </c>
      <c r="N67" t="inlineStr">
        <is>
          <t>N/A</t>
        </is>
      </c>
      <c r="O67" t="inlineStr">
        <is>
          <t>N/A</t>
        </is>
      </c>
      <c r="P67" t="inlineStr">
        <is>
          <t>Convention minère et Code minier (Fond Social et Fond d'appui au developpement local)</t>
        </is>
      </c>
      <c r="Q67" t="inlineStr">
        <is>
          <t>NA</t>
        </is>
      </c>
      <c r="R67" s="22"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2" t="n">
        <v>5500002.01</v>
      </c>
      <c r="K68" s="23"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2"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2" t="n">
        <v>49490</v>
      </c>
      <c r="K69" s="23"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2"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2" t="n">
        <v>59895000.83</v>
      </c>
      <c r="K70" s="23" t="n">
        <v>44701</v>
      </c>
      <c r="L70" t="inlineStr">
        <is>
          <t>SF General</t>
        </is>
      </c>
      <c r="R70" s="22"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2" t="n">
        <v>100000</v>
      </c>
      <c r="K71" s="23"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2"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2" t="n">
        <v>100000</v>
      </c>
      <c r="K72" s="23"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2"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2" t="n">
        <v>3015000</v>
      </c>
      <c r="K73" s="23"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2"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2" t="n">
        <v>300003.89</v>
      </c>
      <c r="K74" s="23"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2"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2" t="n">
        <v>39498.79</v>
      </c>
      <c r="K75" s="23" t="n">
        <v>45316</v>
      </c>
      <c r="M75" t="inlineStr">
        <is>
          <t>Fouilles en rigoles</t>
        </is>
      </c>
      <c r="N75" t="inlineStr">
        <is>
          <t>N/A</t>
        </is>
      </c>
      <c r="O75" t="inlineStr">
        <is>
          <t>N/A</t>
        </is>
      </c>
      <c r="P75" t="inlineStr">
        <is>
          <t>Convention minère et Code minier (Fond Social et Fond d'appui au developpement local)</t>
        </is>
      </c>
      <c r="Q75" t="inlineStr">
        <is>
          <t>NA</t>
        </is>
      </c>
      <c r="R75" s="22"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2" t="n">
        <v>11499.88</v>
      </c>
      <c r="K76" s="23" t="n">
        <v>45316</v>
      </c>
      <c r="M76" t="inlineStr">
        <is>
          <t>Fouilles en puits</t>
        </is>
      </c>
      <c r="N76" t="inlineStr">
        <is>
          <t>N/A</t>
        </is>
      </c>
      <c r="O76" t="inlineStr">
        <is>
          <t>N/A</t>
        </is>
      </c>
      <c r="P76" t="inlineStr">
        <is>
          <t>Convention minère et Code minier (Fond Social et Fond d'appui au developpement local)</t>
        </is>
      </c>
      <c r="Q76" t="inlineStr">
        <is>
          <t>NA</t>
        </is>
      </c>
      <c r="R76" s="22"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2" t="n">
        <v>10498.84</v>
      </c>
      <c r="K77" s="23"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2"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2" t="n">
        <v>41012.41</v>
      </c>
      <c r="K78" s="23" t="n">
        <v>45316</v>
      </c>
      <c r="M78" t="inlineStr">
        <is>
          <t>Remblai sous dallage</t>
        </is>
      </c>
      <c r="N78" t="inlineStr">
        <is>
          <t>N/A</t>
        </is>
      </c>
      <c r="O78" t="inlineStr">
        <is>
          <t>N/A</t>
        </is>
      </c>
      <c r="P78" t="inlineStr">
        <is>
          <t>Convention minère et Code minier (Fond Social et Fond d'appui au developpement local)</t>
        </is>
      </c>
      <c r="Q78" t="inlineStr">
        <is>
          <t>NA</t>
        </is>
      </c>
      <c r="R78" s="22"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2" t="n">
        <v>29699.47</v>
      </c>
      <c r="K79" s="23"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2"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2" t="n">
        <v>26997.88</v>
      </c>
      <c r="K80" s="23"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2"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2" t="n">
        <v>41802.39</v>
      </c>
      <c r="K81" s="23"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2"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2" t="n">
        <v>7700.76</v>
      </c>
      <c r="K82" s="23"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2"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2" t="n">
        <v>62697.55</v>
      </c>
      <c r="K83" s="23"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2"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2" t="n">
        <v>165002.44</v>
      </c>
      <c r="K84" s="23"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2"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2" t="n">
        <v>399378.02</v>
      </c>
      <c r="K85" s="23"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2"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2" t="n">
        <v>72225.5</v>
      </c>
      <c r="K86" s="23"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2"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2" t="n">
        <v>35199.15</v>
      </c>
      <c r="K87" s="23"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2"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2" t="n">
        <v>83598.74000000001</v>
      </c>
      <c r="K88" s="23"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2"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2" t="n">
        <v>63897.59</v>
      </c>
      <c r="K89" s="23"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2"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2" t="n">
        <v>63897.59</v>
      </c>
      <c r="K90" s="23"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2"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2" t="n">
        <v>31502.55</v>
      </c>
      <c r="K91" s="23" t="n">
        <v>45316</v>
      </c>
      <c r="M91" t="inlineStr">
        <is>
          <t>Dallage placard</t>
        </is>
      </c>
      <c r="N91" t="inlineStr">
        <is>
          <t>N/A</t>
        </is>
      </c>
      <c r="O91" t="inlineStr">
        <is>
          <t>N/A</t>
        </is>
      </c>
      <c r="P91" t="inlineStr">
        <is>
          <t>Convention minère et Code minier (Fond Social et Fond d'appui au developpement local)</t>
        </is>
      </c>
      <c r="Q91" t="inlineStr">
        <is>
          <t>NA</t>
        </is>
      </c>
      <c r="R91" s="22"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2" t="n">
        <v>222749.07</v>
      </c>
      <c r="K92" s="23"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2"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2" t="n">
        <v>107038.71</v>
      </c>
      <c r="K93" s="23"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2"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2" t="n">
        <v>184703.59</v>
      </c>
      <c r="K94" s="23"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2"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2" t="n">
        <v>30000.99</v>
      </c>
      <c r="K95" s="23"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2"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2" t="n">
        <v>21118.29</v>
      </c>
      <c r="K96" s="23"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2"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2" t="n">
        <v>18766.45</v>
      </c>
      <c r="K97" s="23"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2"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2" t="n">
        <v>79878.02</v>
      </c>
      <c r="K98" s="23"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2"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2" t="n">
        <v>25918.44</v>
      </c>
      <c r="K99" s="23"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2"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2" t="n">
        <v>486004.01</v>
      </c>
      <c r="K100" s="23" t="n">
        <v>45316</v>
      </c>
      <c r="M100" t="inlineStr">
        <is>
          <t>Table-bancs</t>
        </is>
      </c>
      <c r="N100" t="inlineStr">
        <is>
          <t>N/A</t>
        </is>
      </c>
      <c r="O100" t="inlineStr">
        <is>
          <t>N/A</t>
        </is>
      </c>
      <c r="P100" t="inlineStr">
        <is>
          <t>Convention minère et Code minier (Fond Social et Fond d'appui au developpement local)</t>
        </is>
      </c>
      <c r="Q100" t="inlineStr">
        <is>
          <t>NA</t>
        </is>
      </c>
      <c r="R100" s="22"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2" t="n">
        <v>32998.07</v>
      </c>
      <c r="K101" s="23"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2"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2" t="n">
        <v>24000.79</v>
      </c>
      <c r="K102" s="23"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2"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2"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2"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2" t="n">
        <v>42000000</v>
      </c>
      <c r="K105" t="inlineStr">
        <is>
          <t>2024-03-05</t>
        </is>
      </c>
      <c r="L105" t="inlineStr">
        <is>
          <t>Appuis divers</t>
        </is>
      </c>
      <c r="R105" s="22"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2" t="n">
        <v>120000.63</v>
      </c>
      <c r="K106" s="23"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2"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2" t="n">
        <v>1119999.88</v>
      </c>
      <c r="K107" s="23"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2"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2" t="n">
        <v>446396.79</v>
      </c>
      <c r="K108" s="23"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2"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2" t="n">
        <v>30000.16</v>
      </c>
      <c r="K109" s="23"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2"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2" t="n">
        <v>120000.63</v>
      </c>
      <c r="K110" s="23"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2"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2" t="n">
        <v>200001.06</v>
      </c>
      <c r="K111" s="23"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2"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2" t="n">
        <v>40000.21</v>
      </c>
      <c r="K112" s="23"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2"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2" t="n">
        <v>40000000</v>
      </c>
      <c r="K113" s="23" t="n">
        <v>45604</v>
      </c>
      <c r="R113" s="22"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2" t="n">
        <v>-2999200</v>
      </c>
      <c r="K114" s="23"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2"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2" t="n">
        <v>91997.09</v>
      </c>
      <c r="K115" s="23" t="n">
        <v>45318</v>
      </c>
      <c r="M115" t="inlineStr">
        <is>
          <t>AMENE ET REPLI</t>
        </is>
      </c>
      <c r="N115" t="inlineStr">
        <is>
          <t>N/A</t>
        </is>
      </c>
      <c r="O115" t="inlineStr">
        <is>
          <t>N/A</t>
        </is>
      </c>
      <c r="P115" t="inlineStr">
        <is>
          <t>Convention minère et Code minier (Fond Social et Fond d'appui au developpement local)</t>
        </is>
      </c>
      <c r="Q115" t="inlineStr">
        <is>
          <t>NA</t>
        </is>
      </c>
      <c r="R115" s="22"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2"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2" t="n">
        <v>1735706.19</v>
      </c>
      <c r="K117" s="23"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2"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2" t="n">
        <v>492000.2</v>
      </c>
      <c r="K118" s="23" t="n">
        <v>45318</v>
      </c>
      <c r="M118" t="inlineStr">
        <is>
          <t>MENUISERIE</t>
        </is>
      </c>
      <c r="N118" t="inlineStr">
        <is>
          <t>N/A</t>
        </is>
      </c>
      <c r="O118" t="inlineStr">
        <is>
          <t>N/A</t>
        </is>
      </c>
      <c r="P118" t="inlineStr">
        <is>
          <t>Convention minère et Code minier (Fond Social et Fond d'appui au developpement local)</t>
        </is>
      </c>
      <c r="Q118" t="inlineStr">
        <is>
          <t>NA</t>
        </is>
      </c>
      <c r="R118" s="22"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2" t="n">
        <v>787398.75</v>
      </c>
      <c r="K119" s="23" t="n">
        <v>45318</v>
      </c>
      <c r="M119" t="inlineStr">
        <is>
          <t>ELECTRICITE</t>
        </is>
      </c>
      <c r="N119" t="inlineStr">
        <is>
          <t>N/A</t>
        </is>
      </c>
      <c r="O119" t="inlineStr">
        <is>
          <t>N/A</t>
        </is>
      </c>
      <c r="P119" t="inlineStr">
        <is>
          <t>Convention minère et Code minier (Fond Social et Fond d'appui au developpement local)</t>
        </is>
      </c>
      <c r="Q119" t="inlineStr">
        <is>
          <t>NA</t>
        </is>
      </c>
      <c r="R119" s="22"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2" t="n">
        <v>536797.89</v>
      </c>
      <c r="K120" s="23" t="n">
        <v>45318</v>
      </c>
      <c r="M120" t="inlineStr">
        <is>
          <t>PLOMBERIE</t>
        </is>
      </c>
      <c r="N120" t="inlineStr">
        <is>
          <t>N/A</t>
        </is>
      </c>
      <c r="O120" t="inlineStr">
        <is>
          <t>N/A</t>
        </is>
      </c>
      <c r="P120" t="inlineStr">
        <is>
          <t>Convention minère et Code minier (Fond Social et Fond d'appui au developpement local)</t>
        </is>
      </c>
      <c r="Q120" t="inlineStr">
        <is>
          <t>NA</t>
        </is>
      </c>
      <c r="R120" s="22"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2" t="n">
        <v>991393.08</v>
      </c>
      <c r="K121" s="23"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2"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2" t="n">
        <v>817749.86</v>
      </c>
      <c r="K122" s="23" t="n">
        <v>45318</v>
      </c>
      <c r="M122" t="inlineStr">
        <is>
          <t>PEINTURE</t>
        </is>
      </c>
      <c r="N122" t="inlineStr">
        <is>
          <t>N/A</t>
        </is>
      </c>
      <c r="O122" t="inlineStr">
        <is>
          <t>N/A</t>
        </is>
      </c>
      <c r="P122" t="inlineStr">
        <is>
          <t>Convention minère et Code minier (Fond Social et Fond d'appui au developpement local)</t>
        </is>
      </c>
      <c r="Q122" t="inlineStr">
        <is>
          <t>NA</t>
        </is>
      </c>
      <c r="R122" s="22"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2" t="n">
        <v>9721.780000000001</v>
      </c>
      <c r="K123" s="23"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2"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2" t="n">
        <v>38397.11</v>
      </c>
      <c r="K124" s="23"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2"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2" t="n">
        <v>12722.41</v>
      </c>
      <c r="K125" s="23"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2"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2" t="n">
        <v>37771480</v>
      </c>
      <c r="K126" t="inlineStr">
        <is>
          <t>30/11/2023</t>
        </is>
      </c>
      <c r="L126" t="inlineStr">
        <is>
          <t>Appuis divers</t>
        </is>
      </c>
      <c r="R126" s="22"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2" t="n">
        <v>170642.4</v>
      </c>
      <c r="K127" s="23"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2"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2" t="n">
        <v>9001.870000000001</v>
      </c>
      <c r="K128" s="23"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2"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2" t="n">
        <v>170999.32</v>
      </c>
      <c r="K129" s="23"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2"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2" t="n">
        <v>511201.23</v>
      </c>
      <c r="K130" s="23"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2"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2" t="n">
        <v>75039.82000000001</v>
      </c>
      <c r="K131" s="23"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2"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2" t="n">
        <v>191701.22</v>
      </c>
      <c r="K132" s="23"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2"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2" t="n">
        <v>159746.98</v>
      </c>
      <c r="K133" s="23"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2"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2" t="n">
        <v>324000.95</v>
      </c>
      <c r="K134" s="23"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2"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2" t="n">
        <v>134398.96</v>
      </c>
      <c r="K135" s="23"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2"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2" t="n">
        <v>652200.35</v>
      </c>
      <c r="K136" s="23"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2"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2"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2" t="n">
        <v>42002.7</v>
      </c>
      <c r="K138" s="23"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2"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2" t="n">
        <v>9752.030000000001</v>
      </c>
      <c r="K139" s="23"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2"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2"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2"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2" t="n">
        <v>7396</v>
      </c>
      <c r="K142" t="inlineStr">
        <is>
          <t>Appuis divers</t>
        </is>
      </c>
      <c r="L142" t="inlineStr">
        <is>
          <t>Appuis divers</t>
        </is>
      </c>
      <c r="M142" t="inlineStr">
        <is>
          <t xml:space="preserve">Néant </t>
        </is>
      </c>
      <c r="N142" t="inlineStr">
        <is>
          <t xml:space="preserve">Néant </t>
        </is>
      </c>
      <c r="O142" t="inlineStr">
        <is>
          <t>Nc</t>
        </is>
      </c>
      <c r="R142" s="22"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2" t="n">
        <v>7610</v>
      </c>
      <c r="K143" t="inlineStr">
        <is>
          <t>Appuis divers</t>
        </is>
      </c>
      <c r="L143" t="inlineStr">
        <is>
          <t>Appuis divers</t>
        </is>
      </c>
      <c r="M143" t="inlineStr">
        <is>
          <t xml:space="preserve">Néant </t>
        </is>
      </c>
      <c r="N143" t="inlineStr">
        <is>
          <t xml:space="preserve">Néant </t>
        </is>
      </c>
      <c r="O143" t="inlineStr">
        <is>
          <t>Nc</t>
        </is>
      </c>
      <c r="R143" s="22"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2" t="n">
        <v>33038400</v>
      </c>
      <c r="R144" s="22"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2"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2"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2" t="n">
        <v>31631672</v>
      </c>
      <c r="O146" t="inlineStr">
        <is>
          <t>Gora Payment</t>
        </is>
      </c>
      <c r="P146" t="inlineStr">
        <is>
          <t>Obligation de développement social: art.15 de l'avenant 1 à la convention minière de Sabodala du 23 mars 2005</t>
        </is>
      </c>
      <c r="R146" s="22"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2"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2"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2" t="n">
        <v>57120.77</v>
      </c>
      <c r="K149" s="23"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2"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2" t="n">
        <v>159746.98</v>
      </c>
      <c r="K150" s="23"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2"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2" t="n">
        <v>21597.24</v>
      </c>
      <c r="K151" s="23"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2"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2" t="n">
        <v>2400001.32</v>
      </c>
      <c r="K152" s="23"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2"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2" t="n">
        <v>30000000</v>
      </c>
      <c r="O153" t="inlineStr">
        <is>
          <t>Achat local</t>
        </is>
      </c>
      <c r="P153" t="inlineStr">
        <is>
          <t>Nc</t>
        </is>
      </c>
      <c r="R153" s="22"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2" t="n">
        <v>27000001.12</v>
      </c>
      <c r="K154" s="23" t="n">
        <v>44701</v>
      </c>
      <c r="L154" t="inlineStr">
        <is>
          <t>SF General</t>
        </is>
      </c>
      <c r="R154" s="22"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2" t="n">
        <v>26940000</v>
      </c>
      <c r="K155" t="inlineStr">
        <is>
          <t>29/05/2023</t>
        </is>
      </c>
      <c r="L155" t="inlineStr">
        <is>
          <t>Appuis divers</t>
        </is>
      </c>
      <c r="R155" s="22"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2" t="n">
        <v>25000000</v>
      </c>
      <c r="K156" s="23" t="n">
        <v>45617</v>
      </c>
      <c r="R156" s="22"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2" t="n">
        <v>25000000</v>
      </c>
      <c r="K157" t="inlineStr">
        <is>
          <t>20/02/2023</t>
        </is>
      </c>
      <c r="L157" t="inlineStr">
        <is>
          <t>Appuis divers</t>
        </is>
      </c>
      <c r="R157" s="22"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2" t="n">
        <v>4000000</v>
      </c>
      <c r="K158" s="23"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2"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2" t="n">
        <v>4599998.48</v>
      </c>
      <c r="K159" s="23"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2"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2" t="n">
        <v>180000</v>
      </c>
      <c r="K160" s="23"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2"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2" t="n">
        <v>23650000</v>
      </c>
      <c r="Q161" t="inlineStr">
        <is>
          <t>TOUS</t>
        </is>
      </c>
      <c r="R161" s="22"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2" t="n">
        <v>47500</v>
      </c>
      <c r="K162" s="23"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2"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2" t="n">
        <v>23553404</v>
      </c>
      <c r="L163" t="inlineStr">
        <is>
          <t>APPUIS DIVERS</t>
        </is>
      </c>
      <c r="R163" s="22"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2" t="n">
        <v>1500000</v>
      </c>
      <c r="K164" s="23" t="n">
        <v>45330</v>
      </c>
      <c r="M164" t="inlineStr">
        <is>
          <t>Appui ASC BOPP</t>
        </is>
      </c>
      <c r="N164" t="inlineStr">
        <is>
          <t>N/A</t>
        </is>
      </c>
      <c r="O164" t="inlineStr">
        <is>
          <t>N/A</t>
        </is>
      </c>
      <c r="P164" t="inlineStr">
        <is>
          <t>Convention minère et Code minier (Fond Social et Fond d'appui au developpement local)</t>
        </is>
      </c>
      <c r="Q164" t="inlineStr">
        <is>
          <t>NA</t>
        </is>
      </c>
      <c r="R164" s="22"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2" t="n">
        <v>-3277130</v>
      </c>
      <c r="K165" s="23"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2"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2" t="n">
        <v>3996500</v>
      </c>
      <c r="K166" s="23"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2"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2"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2" t="n">
        <v>208080.09</v>
      </c>
      <c r="K168" s="23"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2"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2" t="n">
        <v>80002.59</v>
      </c>
      <c r="K169" s="23"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2"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2" t="n">
        <v>1346397.36</v>
      </c>
      <c r="K170" s="23"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2"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2" t="n">
        <v>80002.59</v>
      </c>
      <c r="K171" s="23"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2"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2" t="n">
        <v>224398.54</v>
      </c>
      <c r="K172" s="23"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2"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2" t="n">
        <v>224398.54</v>
      </c>
      <c r="K173" s="23"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2"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2" t="n">
        <v>12484799.42</v>
      </c>
      <c r="K174" s="23"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2"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2" t="n">
        <v>1570802.01</v>
      </c>
      <c r="K175" s="23"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2"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2" t="n">
        <v>2243997.64</v>
      </c>
      <c r="K176" s="23"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2"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2" t="n">
        <v>2037959.64</v>
      </c>
      <c r="K177" s="23"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2"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2" t="n">
        <v>448797.08</v>
      </c>
      <c r="K178" s="23"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2"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2" t="n">
        <v>4712399.93</v>
      </c>
      <c r="K179" s="23"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2"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2" t="n">
        <v>2243997.64</v>
      </c>
      <c r="K180" s="23"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2"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2" t="n">
        <v>2855997.55</v>
      </c>
      <c r="K181" s="23"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2"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2" t="n">
        <v>2652001.65</v>
      </c>
      <c r="K182" s="23"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2"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2" t="n">
        <v>1060803.11</v>
      </c>
      <c r="K183" s="23"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2"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2" t="n">
        <v>795599.27</v>
      </c>
      <c r="K184" s="23"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2"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2" t="n">
        <v>1795200.56</v>
      </c>
      <c r="K185" s="23"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2"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2" t="n">
        <v>346802.19</v>
      </c>
      <c r="K186" s="23"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2"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2" t="n">
        <v>199997.29</v>
      </c>
      <c r="K187" s="23"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2"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2" t="n">
        <v>6895201.86</v>
      </c>
      <c r="K188" s="23"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2"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2" t="n">
        <v>80002.59</v>
      </c>
      <c r="K189" s="23"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2"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2" t="n">
        <v>2080800.92</v>
      </c>
      <c r="K190" s="23"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2"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2" t="n">
        <v>199997.29</v>
      </c>
      <c r="K191" s="23"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2"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2" t="n">
        <v>3121201.38</v>
      </c>
      <c r="K192" s="23"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2"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2" t="n">
        <v>199997.29</v>
      </c>
      <c r="K193" s="23"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2"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2" t="n">
        <v>3121201.38</v>
      </c>
      <c r="K194" s="23"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2"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2" t="n">
        <v>199997.29</v>
      </c>
      <c r="K195" s="23"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2"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2" t="n">
        <v>4335002.94</v>
      </c>
      <c r="K196" s="23"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2"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2" t="n">
        <v>199997.29</v>
      </c>
      <c r="K197" s="23"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2"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2" t="n">
        <v>199997.29</v>
      </c>
      <c r="K198" s="23"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2"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2" t="n">
        <v>2427603.11</v>
      </c>
      <c r="K199" s="23"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2"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2" t="n">
        <v>652799.09</v>
      </c>
      <c r="K200" s="23"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2"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2" t="n">
        <v>199997.29</v>
      </c>
      <c r="K201" s="23"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2"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2" t="n">
        <v>1956801.5</v>
      </c>
      <c r="K202" s="23"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2"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2" t="n">
        <v>199997.29</v>
      </c>
      <c r="K203" s="23"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2"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2" t="n">
        <v>979198.64</v>
      </c>
      <c r="K204" s="23"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2"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2" t="n">
        <v>80002.59</v>
      </c>
      <c r="K205" s="23"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2"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2" t="n">
        <v>7976401.5</v>
      </c>
      <c r="K206" s="23"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2"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2" t="n">
        <v>199997.29</v>
      </c>
      <c r="K207" s="23"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2"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2" t="n">
        <v>2142002.75</v>
      </c>
      <c r="K208" s="23"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2"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2" t="n">
        <v>163202.83</v>
      </c>
      <c r="K209" s="23"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2"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2" t="n">
        <v>4406403.03</v>
      </c>
      <c r="K210" s="23"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2"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2" t="n">
        <v>5507999.2</v>
      </c>
      <c r="K211" s="23"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2"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2" t="n">
        <v>3366002.57</v>
      </c>
      <c r="K212" s="23"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2"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2" t="n">
        <v>2386797.82</v>
      </c>
      <c r="K213" s="23"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2"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2" t="n">
        <v>1121998.82</v>
      </c>
      <c r="K214" s="23"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2"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2" t="n">
        <v>7343998.94</v>
      </c>
      <c r="K215" s="23"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2"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2" t="n">
        <v>199997.29</v>
      </c>
      <c r="K216" s="23"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2"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2" t="n">
        <v>734397.45</v>
      </c>
      <c r="K217" s="23"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2"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2" t="n">
        <v>1101602.29</v>
      </c>
      <c r="K218" s="23"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2"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2" t="n">
        <v>4039198.19</v>
      </c>
      <c r="K219" s="23"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2"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2" t="n">
        <v>2040001.74</v>
      </c>
      <c r="K220" s="23"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2"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2" t="n">
        <v>1550399.37</v>
      </c>
      <c r="K221" s="23"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2"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2" t="n">
        <v>10077598.95</v>
      </c>
      <c r="K222" s="23"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2"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2" t="n">
        <v>100001.7</v>
      </c>
      <c r="K223" s="23"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2"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2" t="n">
        <v>5038799.48</v>
      </c>
      <c r="K224" s="23"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2"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2" t="n">
        <v>6936001.04</v>
      </c>
      <c r="K225" s="23"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2"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2" t="n">
        <v>2815198.37</v>
      </c>
      <c r="K226" s="23"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2"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2" t="n">
        <v>6936001.04</v>
      </c>
      <c r="K227" s="23"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2"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2" t="n">
        <v>469199.73</v>
      </c>
      <c r="K228" s="23"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2"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2" t="n">
        <v>2040001.74</v>
      </c>
      <c r="K229" s="23"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2"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2" t="n">
        <v>10322400.14</v>
      </c>
      <c r="K230" s="23"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2"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2" t="n">
        <v>11424002.43</v>
      </c>
      <c r="K231" s="23"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2"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2" t="n">
        <v>6099602.58</v>
      </c>
      <c r="K232" s="23"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2"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2" t="n">
        <v>22800000</v>
      </c>
      <c r="K233" t="inlineStr">
        <is>
          <t>10/08/2023</t>
        </is>
      </c>
      <c r="L233" t="inlineStr">
        <is>
          <t>Appuis divers</t>
        </is>
      </c>
      <c r="R233" s="22"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2" t="n">
        <v>22000000</v>
      </c>
      <c r="K234" t="inlineStr">
        <is>
          <t>24/01/2023</t>
        </is>
      </c>
      <c r="L234" t="inlineStr">
        <is>
          <t>Appuis divers</t>
        </is>
      </c>
      <c r="R234" s="22"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2" t="n">
        <v>-7898645</v>
      </c>
      <c r="K235" s="23" t="n">
        <v>45344</v>
      </c>
      <c r="M235" t="inlineStr">
        <is>
          <t>Appui/Ass.Projet Agroecologie</t>
        </is>
      </c>
      <c r="P235" t="inlineStr">
        <is>
          <t>Convention minère et Code minier (Fond Social et Fond d'appui au developpement local)</t>
        </is>
      </c>
      <c r="R235" s="22"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2" t="n">
        <v>1151000</v>
      </c>
      <c r="K236" s="23"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2"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2" t="n">
        <v>7898645</v>
      </c>
      <c r="K237" s="23"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2"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2" t="n">
        <v>68554859.9859715</v>
      </c>
      <c r="K238" s="23" t="n">
        <v>45347</v>
      </c>
      <c r="M238" t="inlineStr">
        <is>
          <t>Achat d'ambulance pour khossanto et Diakhaling</t>
        </is>
      </c>
      <c r="P238" t="inlineStr">
        <is>
          <t>Convention minère et Code minier (Fond Social et Fond d'appui au developpement local)</t>
        </is>
      </c>
      <c r="R238" s="22"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2" t="n">
        <v>4416650</v>
      </c>
      <c r="K239" s="23"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2"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2" t="n">
        <v>4416650</v>
      </c>
      <c r="K240" s="23" t="n">
        <v>45347</v>
      </c>
      <c r="M240" t="inlineStr">
        <is>
          <t>Compensation de Fodeyen Cissokho affecté par PAP</t>
        </is>
      </c>
      <c r="P240" t="inlineStr">
        <is>
          <t>Convention minère et Code minier (Fond Social et Fond d'appui au developpement local)</t>
        </is>
      </c>
      <c r="R240" s="22"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2" t="n">
        <v>20800000</v>
      </c>
      <c r="K241" t="inlineStr">
        <is>
          <t>15/05/2023</t>
        </is>
      </c>
      <c r="L241" t="inlineStr">
        <is>
          <t>Appuis divers</t>
        </is>
      </c>
      <c r="R241" s="22"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2" t="n">
        <v>20700000</v>
      </c>
      <c r="L242" t="inlineStr">
        <is>
          <t>Rental of a building for students from Kédougou in Dakar _FISE-CDK-2024</t>
        </is>
      </c>
      <c r="R242" s="22"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2" t="n">
        <v>20000000</v>
      </c>
      <c r="K243" s="23" t="n">
        <v>45342</v>
      </c>
      <c r="R243" s="22"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2" t="n">
        <v>20000000</v>
      </c>
      <c r="K244" t="inlineStr">
        <is>
          <t>15/02/2023</t>
        </is>
      </c>
      <c r="L244" t="inlineStr">
        <is>
          <t>Appuis divers</t>
        </is>
      </c>
      <c r="R244" s="22"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2" t="n">
        <v>231939.46232492</v>
      </c>
      <c r="K245" s="23" t="n">
        <v>45349</v>
      </c>
      <c r="M245" t="inlineStr">
        <is>
          <t>Fauteuil et table pour bureau cooperative</t>
        </is>
      </c>
      <c r="P245" t="inlineStr">
        <is>
          <t>Convention minère et Code minier (Fond Social et Fond d'appui au developpement local)</t>
        </is>
      </c>
      <c r="R245" s="22"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2"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2"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2" t="n">
        <v>2214999.43</v>
      </c>
      <c r="K248" s="23"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2"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2"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2"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2"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2"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2" t="n">
        <v>18125000</v>
      </c>
      <c r="K253" t="inlineStr">
        <is>
          <t>Nc</t>
        </is>
      </c>
      <c r="L253" t="inlineStr">
        <is>
          <t>APPUIS DIVERS</t>
        </is>
      </c>
      <c r="M253" t="inlineStr">
        <is>
          <t>N/A</t>
        </is>
      </c>
      <c r="N253" t="inlineStr">
        <is>
          <t>N/A</t>
        </is>
      </c>
      <c r="O253" t="inlineStr">
        <is>
          <t>N/A</t>
        </is>
      </c>
      <c r="P253" t="inlineStr">
        <is>
          <t>Nc</t>
        </is>
      </c>
      <c r="R253" s="22"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2" t="n">
        <v>18000000</v>
      </c>
      <c r="K254" t="inlineStr">
        <is>
          <t>23/01/2023</t>
        </is>
      </c>
      <c r="L254" t="inlineStr">
        <is>
          <t>Appuis divers</t>
        </is>
      </c>
      <c r="R254" s="22"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2" t="n">
        <v>7518</v>
      </c>
      <c r="K255" t="inlineStr">
        <is>
          <t>Appuis divers</t>
        </is>
      </c>
      <c r="L255" t="inlineStr">
        <is>
          <t>Appuis divers</t>
        </is>
      </c>
      <c r="M255" t="inlineStr">
        <is>
          <t xml:space="preserve">Néant </t>
        </is>
      </c>
      <c r="N255" t="inlineStr">
        <is>
          <t xml:space="preserve">Néant </t>
        </is>
      </c>
      <c r="O255" t="inlineStr">
        <is>
          <t>Nc</t>
        </is>
      </c>
      <c r="R255" s="22"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2" t="n">
        <v>500000</v>
      </c>
      <c r="K256" s="23"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2"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2" t="n">
        <v>300000</v>
      </c>
      <c r="K257" s="23"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2"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2" t="n">
        <v>16640522</v>
      </c>
      <c r="K258" t="inlineStr">
        <is>
          <t>JANVIER - JUIN</t>
        </is>
      </c>
      <c r="L258" t="inlineStr">
        <is>
          <t>BUREAU</t>
        </is>
      </c>
      <c r="Q258" t="inlineStr">
        <is>
          <t xml:space="preserve">COLLECTIVITES LOCALES </t>
        </is>
      </c>
      <c r="R258" s="22"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2" t="n">
        <v>16000000</v>
      </c>
      <c r="K259" t="inlineStr">
        <is>
          <t>13/03/2023</t>
        </is>
      </c>
      <c r="L259" t="inlineStr">
        <is>
          <t>Appuis divers</t>
        </is>
      </c>
      <c r="R259" s="22"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2" t="n">
        <v>110000</v>
      </c>
      <c r="K260" s="23"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2"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2" t="n">
        <v>15981600</v>
      </c>
      <c r="L261" t="inlineStr">
        <is>
          <t>Fonds d'appui aux demandes sociales</t>
        </is>
      </c>
      <c r="R261" s="22"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2" t="n">
        <v>90000</v>
      </c>
      <c r="K262" s="23"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2"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2" t="n">
        <v>90000</v>
      </c>
      <c r="K263" s="23"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2"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2" t="n">
        <v>15323200</v>
      </c>
      <c r="L264" t="inlineStr">
        <is>
          <t>APPUIS DIVERS</t>
        </is>
      </c>
      <c r="R264" s="22"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2" t="n">
        <v>150000</v>
      </c>
      <c r="K265" s="23"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2"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2" t="n">
        <v>7487</v>
      </c>
      <c r="K266" t="inlineStr">
        <is>
          <t>Appuis divers</t>
        </is>
      </c>
      <c r="L266" t="inlineStr">
        <is>
          <t>Appuis divers</t>
        </is>
      </c>
      <c r="M266" t="inlineStr">
        <is>
          <t xml:space="preserve">Néant </t>
        </is>
      </c>
      <c r="N266" t="inlineStr">
        <is>
          <t xml:space="preserve">Néant </t>
        </is>
      </c>
      <c r="O266" t="inlineStr">
        <is>
          <t>Nc</t>
        </is>
      </c>
      <c r="R266" s="22"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2" t="n">
        <v>14994000</v>
      </c>
      <c r="K267" t="inlineStr">
        <is>
          <t>27/11/2023</t>
        </is>
      </c>
      <c r="L267" t="inlineStr">
        <is>
          <t>Appuis divers</t>
        </is>
      </c>
      <c r="R267" s="22"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2" t="n">
        <v>7426</v>
      </c>
      <c r="K268" t="inlineStr">
        <is>
          <t>Appuis divers</t>
        </is>
      </c>
      <c r="L268" t="inlineStr">
        <is>
          <t>Appuis divers</t>
        </is>
      </c>
      <c r="M268" t="inlineStr">
        <is>
          <t xml:space="preserve">Néant </t>
        </is>
      </c>
      <c r="N268" t="inlineStr">
        <is>
          <t xml:space="preserve">Néant </t>
        </is>
      </c>
      <c r="O268" t="inlineStr">
        <is>
          <t>Nc</t>
        </is>
      </c>
      <c r="R268" s="22"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2" t="n">
        <v>14500000</v>
      </c>
      <c r="K269" t="inlineStr">
        <is>
          <t>16/03/2023</t>
        </is>
      </c>
      <c r="L269" t="inlineStr">
        <is>
          <t>Appuis divers</t>
        </is>
      </c>
      <c r="R269" s="22"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2" t="n">
        <v>14230000</v>
      </c>
      <c r="R270" s="22"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2" t="n">
        <v>13800000</v>
      </c>
      <c r="L271" t="inlineStr">
        <is>
          <t>Location d'un immeuble pour les élèves et étudiants ressortissants de Kédougou à Dakar</t>
        </is>
      </c>
      <c r="R271" s="22"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2" t="n">
        <v>13622000</v>
      </c>
      <c r="Q272" t="inlineStr">
        <is>
          <t>TOUS</t>
        </is>
      </c>
      <c r="R272" s="22"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2" t="n">
        <v>270000.19</v>
      </c>
      <c r="K273" s="23"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2"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2" t="n">
        <v>2519999.82</v>
      </c>
      <c r="K274" s="23"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2"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2" t="n">
        <v>1004402.16</v>
      </c>
      <c r="K275" s="23"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2"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2"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2" t="n">
        <v>67497.05</v>
      </c>
      <c r="K277" s="23"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2"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2" t="n">
        <v>270000.2</v>
      </c>
      <c r="K278" s="23"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2"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2" t="n">
        <v>450002.32</v>
      </c>
      <c r="K279" s="23"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2"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2" t="n">
        <v>89998.07000000001</v>
      </c>
      <c r="K280" s="23"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2"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2" t="n">
        <v>13556430</v>
      </c>
      <c r="O281" t="inlineStr">
        <is>
          <t>Gora Payment</t>
        </is>
      </c>
      <c r="P281" t="inlineStr">
        <is>
          <t>Obligation de développement social: art.15 de l'avenant 1 à la convention minière de Sabodala du 23 mars 2005</t>
        </is>
      </c>
      <c r="R281" s="22"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2" t="n">
        <v>622000</v>
      </c>
      <c r="K282" s="23"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2"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2" t="n">
        <v>2000000</v>
      </c>
      <c r="K283" s="23"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2"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2" t="n">
        <v>5494167.9</v>
      </c>
      <c r="K284" s="23"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2"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2" t="n">
        <v>6547960.04</v>
      </c>
      <c r="K285" s="23"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2"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2" t="n">
        <v>1763249.96</v>
      </c>
      <c r="K286" s="23"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2"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2" t="n">
        <v>700000</v>
      </c>
      <c r="K287" s="23"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2"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2" t="n">
        <v>200000</v>
      </c>
      <c r="K288" s="23"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2"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2" t="n">
        <v>13500000</v>
      </c>
      <c r="K289" t="inlineStr">
        <is>
          <t>26/09/2023</t>
        </is>
      </c>
      <c r="L289" t="inlineStr">
        <is>
          <t>Appuis divers</t>
        </is>
      </c>
      <c r="R289" s="22"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2" t="n">
        <v>13175000</v>
      </c>
      <c r="K290" t="inlineStr">
        <is>
          <t>14/06/2023</t>
        </is>
      </c>
      <c r="L290" t="inlineStr">
        <is>
          <t>Appuis divers</t>
        </is>
      </c>
      <c r="R290" s="22"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2" t="n">
        <v>1317530</v>
      </c>
      <c r="K291" s="23"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2"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2" t="n">
        <v>400000</v>
      </c>
      <c r="K292" s="23"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2"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2" t="n">
        <v>400000</v>
      </c>
      <c r="K293" s="23"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2"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2" t="n">
        <v>12799200</v>
      </c>
      <c r="K294" t="inlineStr">
        <is>
          <t>Nc</t>
        </is>
      </c>
      <c r="L294" t="inlineStr">
        <is>
          <t>APPUIS DIVERS</t>
        </is>
      </c>
      <c r="M294" t="inlineStr">
        <is>
          <t>N/A</t>
        </is>
      </c>
      <c r="N294" t="inlineStr">
        <is>
          <t>N/A</t>
        </is>
      </c>
      <c r="O294" t="inlineStr">
        <is>
          <t>N/A</t>
        </is>
      </c>
      <c r="P294" t="inlineStr">
        <is>
          <t>Nc</t>
        </is>
      </c>
      <c r="R294" s="22"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2" t="n">
        <v>12750000</v>
      </c>
      <c r="K295" t="inlineStr">
        <is>
          <t>2024-03-01</t>
        </is>
      </c>
      <c r="L295" t="inlineStr">
        <is>
          <t>Appuis divers</t>
        </is>
      </c>
      <c r="R295" s="22"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2" t="n">
        <v>12080000</v>
      </c>
      <c r="K296" s="23" t="n">
        <v>45169</v>
      </c>
      <c r="L296" t="inlineStr">
        <is>
          <t>UGAI</t>
        </is>
      </c>
      <c r="R296" s="22"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2"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2"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2"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2"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2" t="n">
        <v>11824025</v>
      </c>
      <c r="K301" s="23"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2"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2" t="n">
        <v>11824025</v>
      </c>
      <c r="K302" s="23"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2"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2" t="n">
        <v>11500000</v>
      </c>
      <c r="K303" t="inlineStr">
        <is>
          <t>16/03/2023</t>
        </is>
      </c>
      <c r="L303" t="inlineStr">
        <is>
          <t>Appuis divers</t>
        </is>
      </c>
      <c r="R303" s="22"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2" t="n">
        <v>10552894</v>
      </c>
      <c r="K304" t="inlineStr">
        <is>
          <t>Nc</t>
        </is>
      </c>
      <c r="L304" t="inlineStr">
        <is>
          <t>APPUIS DIVERS</t>
        </is>
      </c>
      <c r="M304" t="inlineStr">
        <is>
          <t>N/A</t>
        </is>
      </c>
      <c r="N304" t="inlineStr">
        <is>
          <t>N/A</t>
        </is>
      </c>
      <c r="O304" t="inlineStr">
        <is>
          <t>N/A</t>
        </is>
      </c>
      <c r="P304" t="inlineStr">
        <is>
          <t>Nc</t>
        </is>
      </c>
      <c r="R304" s="22"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2" t="n">
        <v>3132537.89</v>
      </c>
      <c r="K305" s="23"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2"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2" t="n">
        <v>2437930.33</v>
      </c>
      <c r="K306" s="23"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2"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2" t="n">
        <v>3132537.88</v>
      </c>
      <c r="K307" s="23"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2"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2" t="n">
        <v>1049564.18</v>
      </c>
      <c r="K308" s="23"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2"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2" t="n">
        <v>2088359.2</v>
      </c>
      <c r="K309" s="23"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2"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2" t="n">
        <v>1625286.8</v>
      </c>
      <c r="K310" s="23"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2"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2" t="n">
        <v>2088359.2</v>
      </c>
      <c r="K311" s="23"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2"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2" t="n">
        <v>699708.3199999999</v>
      </c>
      <c r="K312" s="23"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2"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2" t="n">
        <v>10118640</v>
      </c>
      <c r="R313" s="22"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2" t="n">
        <v>10000000</v>
      </c>
      <c r="K314" s="23"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2"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2" t="n">
        <v>10000000</v>
      </c>
      <c r="K315" s="23" t="n">
        <v>45348</v>
      </c>
      <c r="R315" s="22"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2" t="n">
        <v>95000</v>
      </c>
      <c r="K316" s="23"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2"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2" t="n">
        <v>92000</v>
      </c>
      <c r="K317" s="23"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2"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2" t="n">
        <v>45000</v>
      </c>
      <c r="K318" s="23"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2"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2" t="n">
        <v>77500</v>
      </c>
      <c r="K319" s="23"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2"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2" t="n">
        <v>77500</v>
      </c>
      <c r="K320" s="23"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2"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2" t="n">
        <v>100000</v>
      </c>
      <c r="K321" s="23"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2"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2" t="n">
        <v>91000</v>
      </c>
      <c r="K322" s="23"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2"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2" t="n">
        <v>69500</v>
      </c>
      <c r="K323" s="23"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2"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2" t="n">
        <v>10000000</v>
      </c>
      <c r="K324" s="23" t="n">
        <v>45524</v>
      </c>
      <c r="R324" s="22"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2" t="n">
        <v>6450000</v>
      </c>
      <c r="K325" s="23"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2"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2" t="n">
        <v>801089.9300000001</v>
      </c>
      <c r="K326" s="23"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2"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2" t="n">
        <v>10000000</v>
      </c>
      <c r="K327" t="inlineStr">
        <is>
          <t>30/03/2023</t>
        </is>
      </c>
      <c r="L327" t="inlineStr">
        <is>
          <t>Appuis divers</t>
        </is>
      </c>
      <c r="R327" s="22"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2" t="n">
        <v>359999.96</v>
      </c>
      <c r="K328" s="23"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2"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2" t="n">
        <v>249998.8</v>
      </c>
      <c r="K329" s="23"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2"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2" t="n">
        <v>249998.8</v>
      </c>
      <c r="K330" s="23"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2"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2" t="n">
        <v>250000</v>
      </c>
      <c r="K331" s="23"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2"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2" t="n">
        <v>-200000</v>
      </c>
      <c r="K332" s="23"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2"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2" t="n">
        <v>92000</v>
      </c>
      <c r="K333" s="23"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2"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2" t="n">
        <v>-92000</v>
      </c>
      <c r="K334" s="23"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2"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2" t="n">
        <v>92000</v>
      </c>
      <c r="K335" s="23"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2"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2" t="n">
        <v>1470000</v>
      </c>
      <c r="K336" s="23"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2"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2" t="n">
        <v>19800000</v>
      </c>
      <c r="K337" s="23" t="n">
        <v>45388</v>
      </c>
      <c r="M337" t="inlineStr">
        <is>
          <t>Melasse en vrac</t>
        </is>
      </c>
      <c r="N337" t="inlineStr">
        <is>
          <t>N/A</t>
        </is>
      </c>
      <c r="O337" t="inlineStr">
        <is>
          <t>N/A</t>
        </is>
      </c>
      <c r="P337" t="inlineStr">
        <is>
          <t>Convention minère et Code minier (Fond Social et Fond d'appui au developpement local)</t>
        </is>
      </c>
      <c r="Q337" t="inlineStr">
        <is>
          <t>NA</t>
        </is>
      </c>
      <c r="R337" s="22"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2" t="n">
        <v>6836218.5</v>
      </c>
      <c r="K338" s="23"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2"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2" t="n">
        <v>7497.67</v>
      </c>
      <c r="K339" s="23" t="n">
        <v>45393</v>
      </c>
      <c r="M339" t="inlineStr">
        <is>
          <t>AMENE ET REPLI</t>
        </is>
      </c>
      <c r="N339" t="inlineStr">
        <is>
          <t>N/A</t>
        </is>
      </c>
      <c r="O339" t="inlineStr">
        <is>
          <t>N/A</t>
        </is>
      </c>
      <c r="P339" t="inlineStr">
        <is>
          <t>Convention minère et Code minier (Fond Social et Fond d'appui au developpement local)</t>
        </is>
      </c>
      <c r="Q339" t="inlineStr">
        <is>
          <t>NA</t>
        </is>
      </c>
      <c r="R339" s="22"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2" t="n">
        <v>66599.84</v>
      </c>
      <c r="K340" s="23" t="n">
        <v>45393</v>
      </c>
      <c r="M340" t="inlineStr">
        <is>
          <t>FONDATION</t>
        </is>
      </c>
      <c r="N340" t="inlineStr">
        <is>
          <t>N/A</t>
        </is>
      </c>
      <c r="O340" t="inlineStr">
        <is>
          <t>N/A</t>
        </is>
      </c>
      <c r="P340" t="inlineStr">
        <is>
          <t>Convention minère et Code minier (Fond Social et Fond d'appui au developpement local)</t>
        </is>
      </c>
      <c r="Q340" t="inlineStr">
        <is>
          <t>NA</t>
        </is>
      </c>
      <c r="R340" s="22"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2" t="n">
        <v>79378.85000000001</v>
      </c>
      <c r="K341" s="23"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2"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2" t="n">
        <v>101413.95</v>
      </c>
      <c r="K342" s="23"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2"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2" t="n">
        <v>41188.35</v>
      </c>
      <c r="K343" s="23"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2"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2" t="n">
        <v>53106.47</v>
      </c>
      <c r="K344" s="23" t="n">
        <v>45393</v>
      </c>
      <c r="M344" t="inlineStr">
        <is>
          <t>CARRELAGE</t>
        </is>
      </c>
      <c r="N344" t="inlineStr">
        <is>
          <t>N/A</t>
        </is>
      </c>
      <c r="O344" t="inlineStr">
        <is>
          <t>N/A</t>
        </is>
      </c>
      <c r="P344" t="inlineStr">
        <is>
          <t>Convention minère et Code minier (Fond Social et Fond d'appui au developpement local)</t>
        </is>
      </c>
      <c r="Q344" t="inlineStr">
        <is>
          <t>NA</t>
        </is>
      </c>
      <c r="R344" s="22"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2" t="n">
        <v>92432.61</v>
      </c>
      <c r="K345" s="23" t="n">
        <v>45393</v>
      </c>
      <c r="M345" t="inlineStr">
        <is>
          <t>ELECTRICITE</t>
        </is>
      </c>
      <c r="N345" t="inlineStr">
        <is>
          <t>N/A</t>
        </is>
      </c>
      <c r="O345" t="inlineStr">
        <is>
          <t>N/A</t>
        </is>
      </c>
      <c r="P345" t="inlineStr">
        <is>
          <t>Convention minère et Code minier (Fond Social et Fond d'appui au developpement local)</t>
        </is>
      </c>
      <c r="Q345" t="inlineStr">
        <is>
          <t>NA</t>
        </is>
      </c>
      <c r="R345" s="22"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2" t="n">
        <v>66899.00999999999</v>
      </c>
      <c r="K346" s="23" t="n">
        <v>45393</v>
      </c>
      <c r="M346" t="inlineStr">
        <is>
          <t>MENUISERIE</t>
        </is>
      </c>
      <c r="N346" t="inlineStr">
        <is>
          <t>N/A</t>
        </is>
      </c>
      <c r="O346" t="inlineStr">
        <is>
          <t>N/A</t>
        </is>
      </c>
      <c r="P346" t="inlineStr">
        <is>
          <t>Convention minère et Code minier (Fond Social et Fond d'appui au developpement local)</t>
        </is>
      </c>
      <c r="Q346" t="inlineStr">
        <is>
          <t>NA</t>
        </is>
      </c>
      <c r="R346" s="22"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2" t="n">
        <v>43954.19</v>
      </c>
      <c r="K347" s="23" t="n">
        <v>45393</v>
      </c>
      <c r="M347" t="inlineStr">
        <is>
          <t>PEINTURE</t>
        </is>
      </c>
      <c r="N347" t="inlineStr">
        <is>
          <t>N/A</t>
        </is>
      </c>
      <c r="O347" t="inlineStr">
        <is>
          <t>N/A</t>
        </is>
      </c>
      <c r="P347" t="inlineStr">
        <is>
          <t>Convention minère et Code minier (Fond Social et Fond d'appui au developpement local)</t>
        </is>
      </c>
      <c r="Q347" t="inlineStr">
        <is>
          <t>NA</t>
        </is>
      </c>
      <c r="R347" s="22"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2" t="n">
        <v>6899.17</v>
      </c>
      <c r="K348" s="23" t="n">
        <v>45393</v>
      </c>
      <c r="M348" t="inlineStr">
        <is>
          <t>AMENE ET REPLI</t>
        </is>
      </c>
      <c r="N348" t="inlineStr">
        <is>
          <t>N/A</t>
        </is>
      </c>
      <c r="O348" t="inlineStr">
        <is>
          <t>N/A</t>
        </is>
      </c>
      <c r="P348" t="inlineStr">
        <is>
          <t>Convention minère et Code minier (Fond Social et Fond d'appui au developpement local)</t>
        </is>
      </c>
      <c r="Q348" t="inlineStr">
        <is>
          <t>NA</t>
        </is>
      </c>
      <c r="R348" s="22"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2" t="n">
        <v>10000000</v>
      </c>
      <c r="K349" s="23" t="n">
        <v>44566</v>
      </c>
      <c r="L349" t="inlineStr">
        <is>
          <t>Appuis divers</t>
        </is>
      </c>
      <c r="M349" t="inlineStr">
        <is>
          <t>N/A</t>
        </is>
      </c>
      <c r="N349" t="inlineStr">
        <is>
          <t>N/A</t>
        </is>
      </c>
      <c r="O349" t="inlineStr">
        <is>
          <t>N/A</t>
        </is>
      </c>
      <c r="P349" t="inlineStr">
        <is>
          <t>Nc</t>
        </is>
      </c>
      <c r="R349" s="22"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2" t="n">
        <v>130180.62</v>
      </c>
      <c r="K350" s="23"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2"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2" t="n">
        <v>36901.4</v>
      </c>
      <c r="K351" s="23" t="n">
        <v>45393</v>
      </c>
      <c r="M351" t="inlineStr">
        <is>
          <t>MENUISERIE</t>
        </is>
      </c>
      <c r="N351" t="inlineStr">
        <is>
          <t>N/A</t>
        </is>
      </c>
      <c r="O351" t="inlineStr">
        <is>
          <t>N/A</t>
        </is>
      </c>
      <c r="P351" t="inlineStr">
        <is>
          <t>Convention minère et Code minier (Fond Social et Fond d'appui au developpement local)</t>
        </is>
      </c>
      <c r="Q351" t="inlineStr">
        <is>
          <t>NA</t>
        </is>
      </c>
      <c r="R351" s="22"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2" t="n">
        <v>59058.11</v>
      </c>
      <c r="K352" s="23" t="n">
        <v>45393</v>
      </c>
      <c r="M352" t="inlineStr">
        <is>
          <t>ELECTRICITE</t>
        </is>
      </c>
      <c r="N352" t="inlineStr">
        <is>
          <t>N/A</t>
        </is>
      </c>
      <c r="O352" t="inlineStr">
        <is>
          <t>N/A</t>
        </is>
      </c>
      <c r="P352" t="inlineStr">
        <is>
          <t>Convention minère et Code minier (Fond Social et Fond d'appui au developpement local)</t>
        </is>
      </c>
      <c r="Q352" t="inlineStr">
        <is>
          <t>NA</t>
        </is>
      </c>
      <c r="R352" s="22"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2" t="n">
        <v>40259.4</v>
      </c>
      <c r="K353" s="23" t="n">
        <v>45393</v>
      </c>
      <c r="M353" t="inlineStr">
        <is>
          <t>PLOMBERIE</t>
        </is>
      </c>
      <c r="N353" t="inlineStr">
        <is>
          <t>N/A</t>
        </is>
      </c>
      <c r="O353" t="inlineStr">
        <is>
          <t>N/A</t>
        </is>
      </c>
      <c r="P353" t="inlineStr">
        <is>
          <t>Convention minère et Code minier (Fond Social et Fond d'appui au developpement local)</t>
        </is>
      </c>
      <c r="Q353" t="inlineStr">
        <is>
          <t>NA</t>
        </is>
      </c>
      <c r="R353" s="22"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2" t="n">
        <v>74352.28999999999</v>
      </c>
      <c r="K354" s="23"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2"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2" t="n">
        <v>61329.35</v>
      </c>
      <c r="K355" s="23" t="n">
        <v>45393</v>
      </c>
      <c r="M355" t="inlineStr">
        <is>
          <t>PEINTURE</t>
        </is>
      </c>
      <c r="N355" t="inlineStr">
        <is>
          <t>N/A</t>
        </is>
      </c>
      <c r="O355" t="inlineStr">
        <is>
          <t>N/A</t>
        </is>
      </c>
      <c r="P355" t="inlineStr">
        <is>
          <t>Convention minère et Code minier (Fond Social et Fond d'appui au developpement local)</t>
        </is>
      </c>
      <c r="Q355" t="inlineStr">
        <is>
          <t>NA</t>
        </is>
      </c>
      <c r="R355" s="22"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2" t="n">
        <v>1399871.55</v>
      </c>
      <c r="K356" s="23"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2"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2" t="n">
        <v>9420262</v>
      </c>
      <c r="K357" s="23"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2"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2"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2"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2" t="n">
        <v>4198455</v>
      </c>
      <c r="K360" s="23"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2"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2" t="n">
        <v>6075000</v>
      </c>
      <c r="K361" s="23"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2"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2"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2" t="n">
        <v>1400002.11</v>
      </c>
      <c r="K363" s="23"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2"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2"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2" t="n">
        <v>44098</v>
      </c>
      <c r="K365" t="inlineStr">
        <is>
          <t>APPUI DIVERS</t>
        </is>
      </c>
      <c r="L365" t="inlineStr">
        <is>
          <t>APPUI / SINISTRES</t>
        </is>
      </c>
      <c r="M365" t="inlineStr">
        <is>
          <t xml:space="preserve">Néant </t>
        </is>
      </c>
      <c r="N365" t="inlineStr">
        <is>
          <t xml:space="preserve">Néant </t>
        </is>
      </c>
      <c r="O365" t="inlineStr">
        <is>
          <t>NC</t>
        </is>
      </c>
      <c r="R365" s="22"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2" t="n">
        <v>2573998.1</v>
      </c>
      <c r="K366" s="23"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2"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2" t="n">
        <v>2400000.97</v>
      </c>
      <c r="K367" s="23"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2"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2" t="n">
        <v>1600000.65</v>
      </c>
      <c r="K368" s="23" t="n">
        <v>45397</v>
      </c>
      <c r="M368" t="inlineStr">
        <is>
          <t>DRAPS DE LITS</t>
        </is>
      </c>
      <c r="N368" t="inlineStr">
        <is>
          <t>N/A</t>
        </is>
      </c>
      <c r="O368" t="inlineStr">
        <is>
          <t>N/A</t>
        </is>
      </c>
      <c r="P368" t="inlineStr">
        <is>
          <t>Convention minère et Code minier (Fond Social et Fond d'appui au developpement local)</t>
        </is>
      </c>
      <c r="Q368" t="inlineStr">
        <is>
          <t>NA</t>
        </is>
      </c>
      <c r="R368" s="22"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2" t="n">
        <v>1999997.74</v>
      </c>
      <c r="K369" s="23"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2"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2" t="n">
        <v>1828000</v>
      </c>
      <c r="K370" s="23"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2"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2" t="n">
        <v>7336</v>
      </c>
      <c r="K371" t="inlineStr">
        <is>
          <t>Appuis divers</t>
        </is>
      </c>
      <c r="L371" t="inlineStr">
        <is>
          <t>Appuis divers</t>
        </is>
      </c>
      <c r="M371" t="inlineStr">
        <is>
          <t xml:space="preserve">Néant </t>
        </is>
      </c>
      <c r="N371" t="inlineStr">
        <is>
          <t xml:space="preserve">Néant </t>
        </is>
      </c>
      <c r="O371" t="inlineStr">
        <is>
          <t>Nc</t>
        </is>
      </c>
      <c r="R371" s="22"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2" t="n">
        <v>7640</v>
      </c>
      <c r="K372" t="inlineStr">
        <is>
          <t>Appuis divers</t>
        </is>
      </c>
      <c r="L372" t="inlineStr">
        <is>
          <t>Appuis divers</t>
        </is>
      </c>
      <c r="M372" t="inlineStr">
        <is>
          <t xml:space="preserve">Néant </t>
        </is>
      </c>
      <c r="N372" t="inlineStr">
        <is>
          <t xml:space="preserve">Néant </t>
        </is>
      </c>
      <c r="O372" t="inlineStr">
        <is>
          <t>Nc</t>
        </is>
      </c>
      <c r="R372" s="22"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2" t="n">
        <v>43943</v>
      </c>
      <c r="K373" t="inlineStr">
        <is>
          <t>Santé</t>
        </is>
      </c>
      <c r="L373" t="inlineStr">
        <is>
          <t xml:space="preserve">Néant </t>
        </is>
      </c>
      <c r="M373" t="inlineStr">
        <is>
          <t xml:space="preserve">Néant </t>
        </is>
      </c>
      <c r="N373" t="inlineStr">
        <is>
          <t xml:space="preserve">Néant </t>
        </is>
      </c>
      <c r="O373" t="inlineStr">
        <is>
          <t>NC</t>
        </is>
      </c>
      <c r="R373" s="22"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2" t="n">
        <v>69200</v>
      </c>
      <c r="K374" s="23"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2"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2" t="n">
        <v>6075000</v>
      </c>
      <c r="K375" s="23"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2"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2" t="n">
        <v>9500000</v>
      </c>
      <c r="K376" t="inlineStr">
        <is>
          <t>16/10/2023</t>
        </is>
      </c>
      <c r="L376" t="inlineStr">
        <is>
          <t>Appuis divers</t>
        </is>
      </c>
      <c r="R376" s="22"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2" t="n">
        <v>25503.59</v>
      </c>
      <c r="K377" s="23"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2"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2" t="n">
        <v>752500</v>
      </c>
      <c r="K378" s="23"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2"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2" t="n">
        <v>9487200</v>
      </c>
      <c r="Q379" t="inlineStr">
        <is>
          <t>TOUS</t>
        </is>
      </c>
      <c r="R379" s="22"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2" t="n">
        <v>9463000</v>
      </c>
      <c r="K380" t="inlineStr">
        <is>
          <t>2024-12-02</t>
        </is>
      </c>
      <c r="L380" t="inlineStr">
        <is>
          <t>Appuis divers</t>
        </is>
      </c>
      <c r="R380" s="22"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2" t="n">
        <v>300000</v>
      </c>
      <c r="K381" s="23"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2"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2" t="n">
        <v>452500</v>
      </c>
      <c r="K382" s="23"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2"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2" t="n">
        <v>19540225.25</v>
      </c>
      <c r="K383" s="23"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2"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2" t="n">
        <v>46575933.79</v>
      </c>
      <c r="K384" s="23"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2"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2" t="n">
        <v>2500000.96</v>
      </c>
      <c r="K385" s="23"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2"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2" t="n">
        <v>110000</v>
      </c>
      <c r="K386" s="23"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2"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2" t="n">
        <v>9400000</v>
      </c>
      <c r="K387" t="inlineStr">
        <is>
          <t>2024-08-06</t>
        </is>
      </c>
      <c r="L387" t="inlineStr">
        <is>
          <t>Appuis divers</t>
        </is>
      </c>
      <c r="R387" s="22"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2" t="n">
        <v>3177800</v>
      </c>
      <c r="K388" s="23"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2"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2" t="n">
        <v>860000</v>
      </c>
      <c r="K389" s="23"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2"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2" t="n">
        <v>500000</v>
      </c>
      <c r="K390" s="23"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2"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2" t="n">
        <v>289999.24</v>
      </c>
      <c r="K391" s="23"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2"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2" t="n">
        <v>25000.88</v>
      </c>
      <c r="K392" s="23"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2"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2" t="n">
        <v>29997.39</v>
      </c>
      <c r="K393" s="23"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2"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2" t="n">
        <v>116999</v>
      </c>
      <c r="K394" s="23"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2"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2" t="n">
        <v>21001.23</v>
      </c>
      <c r="K395" s="23"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2"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2" t="n">
        <v>441001.4</v>
      </c>
      <c r="K396" s="23"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2"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2" t="n">
        <v>99000.56</v>
      </c>
      <c r="K397" s="23"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2"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2" t="n">
        <v>231001.32</v>
      </c>
      <c r="K398" s="23"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2"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2" t="n">
        <v>66000.38</v>
      </c>
      <c r="K399" s="23" t="n">
        <v>45411</v>
      </c>
      <c r="M399" t="inlineStr">
        <is>
          <t>Dallage placard</t>
        </is>
      </c>
      <c r="N399" t="inlineStr">
        <is>
          <t>N/A</t>
        </is>
      </c>
      <c r="O399" t="inlineStr">
        <is>
          <t>N/A</t>
        </is>
      </c>
      <c r="P399" t="inlineStr">
        <is>
          <t>Convention minère et Code minier (Fond Social et Fond d'appui au developpement local)</t>
        </is>
      </c>
      <c r="Q399" t="inlineStr">
        <is>
          <t>NA</t>
        </is>
      </c>
      <c r="R399" s="22"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2" t="n">
        <v>9077000</v>
      </c>
      <c r="K400" t="inlineStr">
        <is>
          <t>2024-02-22</t>
        </is>
      </c>
      <c r="L400" t="inlineStr">
        <is>
          <t>Appuis divers</t>
        </is>
      </c>
      <c r="R400" s="22"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2" t="n">
        <v>34498.54</v>
      </c>
      <c r="K401" s="23" t="n">
        <v>45411</v>
      </c>
      <c r="M401" t="inlineStr">
        <is>
          <t>AMENE ET REPLI</t>
        </is>
      </c>
      <c r="N401" t="inlineStr">
        <is>
          <t>N/A</t>
        </is>
      </c>
      <c r="O401" t="inlineStr">
        <is>
          <t>N/A</t>
        </is>
      </c>
      <c r="P401" t="inlineStr">
        <is>
          <t>Convention minère et Code minier (Fond Social et Fond d'appui au developpement local)</t>
        </is>
      </c>
      <c r="Q401" t="inlineStr">
        <is>
          <t>NA</t>
        </is>
      </c>
      <c r="R401" s="22"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2" t="n">
        <v>650891.59</v>
      </c>
      <c r="K402" s="23"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2"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2" t="n">
        <v>184497.77</v>
      </c>
      <c r="K403" s="23" t="n">
        <v>45411</v>
      </c>
      <c r="M403" t="inlineStr">
        <is>
          <t>MENUISERIE</t>
        </is>
      </c>
      <c r="N403" t="inlineStr">
        <is>
          <t>N/A</t>
        </is>
      </c>
      <c r="O403" t="inlineStr">
        <is>
          <t>N/A</t>
        </is>
      </c>
      <c r="P403" t="inlineStr">
        <is>
          <t>Convention minère et Code minier (Fond Social et Fond d'appui au developpement local)</t>
        </is>
      </c>
      <c r="Q403" t="inlineStr">
        <is>
          <t>NA</t>
        </is>
      </c>
      <c r="R403" s="22"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2" t="n">
        <v>295277.15</v>
      </c>
      <c r="K404" s="23" t="n">
        <v>45411</v>
      </c>
      <c r="M404" t="inlineStr">
        <is>
          <t>ELECTRICITE</t>
        </is>
      </c>
      <c r="N404" t="inlineStr">
        <is>
          <t>N/A</t>
        </is>
      </c>
      <c r="O404" t="inlineStr">
        <is>
          <t>N/A</t>
        </is>
      </c>
      <c r="P404" t="inlineStr">
        <is>
          <t>Convention minère et Code minier (Fond Social et Fond d'appui au developpement local)</t>
        </is>
      </c>
      <c r="Q404" t="inlineStr">
        <is>
          <t>NA</t>
        </is>
      </c>
      <c r="R404" s="22"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2" t="n">
        <v>201297.53</v>
      </c>
      <c r="K405" s="23" t="n">
        <v>45411</v>
      </c>
      <c r="M405" t="inlineStr">
        <is>
          <t>PLOMBERIE</t>
        </is>
      </c>
      <c r="N405" t="inlineStr">
        <is>
          <t>N/A</t>
        </is>
      </c>
      <c r="O405" t="inlineStr">
        <is>
          <t>N/A</t>
        </is>
      </c>
      <c r="P405" t="inlineStr">
        <is>
          <t>Convention minère et Code minier (Fond Social et Fond d'appui au developpement local)</t>
        </is>
      </c>
      <c r="Q405" t="inlineStr">
        <is>
          <t>NA</t>
        </is>
      </c>
      <c r="R405" s="22"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2" t="n">
        <v>371772.06</v>
      </c>
      <c r="K406" s="23"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2"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2" t="n">
        <v>306658.43</v>
      </c>
      <c r="K407" s="23" t="n">
        <v>45411</v>
      </c>
      <c r="M407" t="inlineStr">
        <is>
          <t>PEINTURE</t>
        </is>
      </c>
      <c r="N407" t="inlineStr">
        <is>
          <t>N/A</t>
        </is>
      </c>
      <c r="O407" t="inlineStr">
        <is>
          <t>N/A</t>
        </is>
      </c>
      <c r="P407" t="inlineStr">
        <is>
          <t>Convention minère et Code minier (Fond Social et Fond d'appui au developpement local)</t>
        </is>
      </c>
      <c r="Q407" t="inlineStr">
        <is>
          <t>NA</t>
        </is>
      </c>
      <c r="R407" s="22"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2" t="n">
        <v>9000001.52</v>
      </c>
      <c r="K408" s="23"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2"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2" t="n">
        <v>8925000</v>
      </c>
      <c r="Q409" t="inlineStr">
        <is>
          <t>TOUS</t>
        </is>
      </c>
      <c r="R409" s="22"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2" t="n">
        <v>8810000</v>
      </c>
      <c r="K410" t="inlineStr">
        <is>
          <t>2024-01-12</t>
        </is>
      </c>
      <c r="L410" t="inlineStr">
        <is>
          <t>Appuis divers</t>
        </is>
      </c>
      <c r="R410" s="22"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2" t="n">
        <v>5023852.5</v>
      </c>
      <c r="K411" s="23"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2"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2" t="n">
        <v>1199997.17</v>
      </c>
      <c r="K412" s="23" t="n">
        <v>45422</v>
      </c>
      <c r="M412" t="inlineStr">
        <is>
          <t>AMENE ET REPLI</t>
        </is>
      </c>
      <c r="N412" t="inlineStr">
        <is>
          <t>N/A</t>
        </is>
      </c>
      <c r="O412" t="inlineStr">
        <is>
          <t>N/A</t>
        </is>
      </c>
      <c r="P412" t="inlineStr">
        <is>
          <t>Convention minère et Code minier (Fond Social et Fond d'appui au developpement local)</t>
        </is>
      </c>
      <c r="Q412" t="inlineStr">
        <is>
          <t>NA</t>
        </is>
      </c>
      <c r="R412" s="22"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2" t="n">
        <v>4075461.52</v>
      </c>
      <c r="K413" s="23" t="n">
        <v>45422</v>
      </c>
      <c r="M413" t="inlineStr">
        <is>
          <t>FONDATION</t>
        </is>
      </c>
      <c r="N413" t="inlineStr">
        <is>
          <t>N/A</t>
        </is>
      </c>
      <c r="O413" t="inlineStr">
        <is>
          <t>N/A</t>
        </is>
      </c>
      <c r="P413" t="inlineStr">
        <is>
          <t>Convention minère et Code minier (Fond Social et Fond d'appui au developpement local)</t>
        </is>
      </c>
      <c r="Q413" t="inlineStr">
        <is>
          <t>NA</t>
        </is>
      </c>
      <c r="R413" s="22"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2" t="n">
        <v>7181471.9</v>
      </c>
      <c r="K414" s="23" t="n">
        <v>45422</v>
      </c>
      <c r="M414" t="inlineStr">
        <is>
          <t>ELEVATION</t>
        </is>
      </c>
      <c r="N414" t="inlineStr">
        <is>
          <t>N/A</t>
        </is>
      </c>
      <c r="O414" t="inlineStr">
        <is>
          <t>N/A</t>
        </is>
      </c>
      <c r="P414" t="inlineStr">
        <is>
          <t>Convention minère et Code minier (Fond Social et Fond d'appui au developpement local)</t>
        </is>
      </c>
      <c r="Q414" t="inlineStr">
        <is>
          <t>NA</t>
        </is>
      </c>
      <c r="R414" s="22"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2" t="n">
        <v>696002.62</v>
      </c>
      <c r="K415" s="23"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2"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2" t="n">
        <v>4936000.75</v>
      </c>
      <c r="K416" s="23"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2"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2" t="n">
        <v>200000.54</v>
      </c>
      <c r="K417" s="23" t="n">
        <v>45422</v>
      </c>
      <c r="M417" t="inlineStr">
        <is>
          <t>ELECTRICITE</t>
        </is>
      </c>
      <c r="N417" t="inlineStr">
        <is>
          <t>N/A</t>
        </is>
      </c>
      <c r="O417" t="inlineStr">
        <is>
          <t>N/A</t>
        </is>
      </c>
      <c r="P417" t="inlineStr">
        <is>
          <t>Convention minère et Code minier (Fond Social et Fond d'appui au developpement local)</t>
        </is>
      </c>
      <c r="Q417" t="inlineStr">
        <is>
          <t>NA</t>
        </is>
      </c>
      <c r="R417" s="22"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2" t="n">
        <v>873377.1</v>
      </c>
      <c r="K418" s="23" t="n">
        <v>45422</v>
      </c>
      <c r="M418" t="inlineStr">
        <is>
          <t>PEINTURE</t>
        </is>
      </c>
      <c r="N418" t="inlineStr">
        <is>
          <t>N/A</t>
        </is>
      </c>
      <c r="O418" t="inlineStr">
        <is>
          <t>N/A</t>
        </is>
      </c>
      <c r="P418" t="inlineStr">
        <is>
          <t>Convention minère et Code minier (Fond Social et Fond d'appui au developpement local)</t>
        </is>
      </c>
      <c r="Q418" t="inlineStr">
        <is>
          <t>NA</t>
        </is>
      </c>
      <c r="R418" s="22"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2" t="n">
        <v>8160661</v>
      </c>
      <c r="K419" t="inlineStr">
        <is>
          <t>31/12/2023</t>
        </is>
      </c>
      <c r="L419" t="inlineStr">
        <is>
          <t>Appuis divers</t>
        </is>
      </c>
      <c r="R419" s="22"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2" t="n">
        <v>3672000</v>
      </c>
      <c r="K420" s="23"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2"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2" t="n">
        <v>8160661</v>
      </c>
      <c r="K421" t="inlineStr">
        <is>
          <t>31/12/2023</t>
        </is>
      </c>
      <c r="L421" t="inlineStr">
        <is>
          <t>Appuis divers</t>
        </is>
      </c>
      <c r="R421" s="22"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2" t="n">
        <v>8104320</v>
      </c>
      <c r="K422" s="23" t="n">
        <v>45349</v>
      </c>
      <c r="M422" t="inlineStr">
        <is>
          <t>Budget organisation Atelier Social Performance</t>
        </is>
      </c>
      <c r="P422" t="inlineStr">
        <is>
          <t>Convention minère et Code minier (Fond Social et Fond d'appui au developpement local)</t>
        </is>
      </c>
      <c r="R422" s="22"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2" t="n">
        <v>4350748</v>
      </c>
      <c r="K423" s="23"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2"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2" t="n">
        <v>3386014.72</v>
      </c>
      <c r="K424" s="23"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2"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2" t="n">
        <v>4350748</v>
      </c>
      <c r="K425" s="23"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2"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2" t="n">
        <v>1457725.78</v>
      </c>
      <c r="K426" s="23"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2"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2" t="n">
        <v>49998.27</v>
      </c>
      <c r="K427" s="23"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2"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2" t="n">
        <v>8000000</v>
      </c>
      <c r="K428" s="23"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2"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2" t="n">
        <v>8000000</v>
      </c>
      <c r="K429" s="23"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2"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2" t="n">
        <v>74251.57000000001</v>
      </c>
      <c r="K430" s="23"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2"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2" t="n">
        <v>7975800</v>
      </c>
      <c r="O431" t="inlineStr">
        <is>
          <t>SF General</t>
        </is>
      </c>
      <c r="P431" t="inlineStr">
        <is>
          <t>Obligation de développement social: art.15 de l'avenant 1 à la convention minière de Sabodala du 23 mars 2005</t>
        </is>
      </c>
      <c r="R431" s="22"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2" t="n">
        <v>7908915.1194887</v>
      </c>
      <c r="K432" s="23"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2"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2" t="n">
        <v>49998.27</v>
      </c>
      <c r="K433" s="23"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2"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2" t="n">
        <v>7801643</v>
      </c>
      <c r="K434" t="inlineStr">
        <is>
          <t>20/11/2023</t>
        </is>
      </c>
      <c r="L434" t="inlineStr">
        <is>
          <t>Appuis divers</t>
        </is>
      </c>
      <c r="R434" s="22"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2" t="n">
        <v>7801643</v>
      </c>
      <c r="K435" t="inlineStr">
        <is>
          <t>30/11/2023</t>
        </is>
      </c>
      <c r="L435" t="inlineStr">
        <is>
          <t>Appuis divers</t>
        </is>
      </c>
      <c r="R435" s="22"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2" t="n">
        <v>199999.13</v>
      </c>
      <c r="K436" s="23" t="n">
        <v>45429</v>
      </c>
      <c r="M436" t="inlineStr">
        <is>
          <t>Prise en charge agents SDDR(4jours)</t>
        </is>
      </c>
      <c r="P436" t="inlineStr">
        <is>
          <t>Convention minère et Code minier (Fond Social et Fond d'appui au developpement local)</t>
        </is>
      </c>
      <c r="R436" s="22"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2" t="n">
        <v>7689500</v>
      </c>
      <c r="K437" t="inlineStr">
        <is>
          <t>23/08/2023</t>
        </is>
      </c>
      <c r="L437" t="inlineStr">
        <is>
          <t>Appuis divers</t>
        </is>
      </c>
      <c r="R437" s="22"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2" t="n">
        <v>7614580</v>
      </c>
      <c r="K438" s="23" t="n">
        <v>45657</v>
      </c>
      <c r="R438" s="22"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2" t="n">
        <v>7506390</v>
      </c>
      <c r="K439" s="23" t="n">
        <v>44970</v>
      </c>
      <c r="M439" t="inlineStr">
        <is>
          <t>Appuis divers</t>
        </is>
      </c>
      <c r="R439" s="22"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2" t="n">
        <v>2470069.9452537</v>
      </c>
      <c r="K440" s="23"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2"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2" t="n">
        <v>123504.4033845</v>
      </c>
      <c r="K441" s="23"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2"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2" t="n">
        <v>7500000</v>
      </c>
      <c r="K442" s="23" t="n">
        <v>45335</v>
      </c>
      <c r="R442" s="22"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2" t="n">
        <v>100000</v>
      </c>
      <c r="K443" s="23"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2"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2" t="n">
        <v>435000</v>
      </c>
      <c r="K444" s="23"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2"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2" t="n">
        <v>150000</v>
      </c>
      <c r="K445" s="23"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2"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2" t="n">
        <v>100000</v>
      </c>
      <c r="K446" s="23"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2"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2" t="n">
        <v>845000</v>
      </c>
      <c r="K447" s="23"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2"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2" t="n">
        <v>70000</v>
      </c>
      <c r="K448" s="23"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2"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2" t="n">
        <v>500000</v>
      </c>
      <c r="K449" s="23"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2"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2"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2" t="n">
        <v>300000</v>
      </c>
      <c r="K451" s="23"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2"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2" t="n">
        <v>9000000</v>
      </c>
      <c r="K452" s="23"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2"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2" t="n">
        <v>1416750</v>
      </c>
      <c r="K453" s="23"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2"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2" t="n">
        <v>647500</v>
      </c>
      <c r="K454" s="23"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2"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2" t="n">
        <v>7350000</v>
      </c>
      <c r="K455" t="inlineStr">
        <is>
          <t>2024-06-10</t>
        </is>
      </c>
      <c r="L455" t="inlineStr">
        <is>
          <t>Appuis divers</t>
        </is>
      </c>
      <c r="R455" s="22"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2" t="n">
        <v>642800.87</v>
      </c>
      <c r="K456" s="23"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2"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2" t="n">
        <v>881599.52</v>
      </c>
      <c r="K457" s="23"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2"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2" t="n">
        <v>559999.61</v>
      </c>
      <c r="K458" s="23"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2"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2" t="n">
        <v>150001.32</v>
      </c>
      <c r="K459" s="23"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2"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2" t="n">
        <v>1399996.15</v>
      </c>
      <c r="K460" s="23"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2"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2" t="n">
        <v>558000.0600000001</v>
      </c>
      <c r="K461" s="23"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2"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2"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2" t="n">
        <v>7189463</v>
      </c>
      <c r="K463" t="inlineStr">
        <is>
          <t>31/12/2023</t>
        </is>
      </c>
      <c r="L463" t="inlineStr">
        <is>
          <t>Appuis divers</t>
        </is>
      </c>
      <c r="R463" s="22"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2" t="n">
        <v>300002.63</v>
      </c>
      <c r="K464" s="23"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2"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2" t="n">
        <v>150001.32</v>
      </c>
      <c r="K465" s="23"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2"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2" t="n">
        <v>199997.72</v>
      </c>
      <c r="K466" s="23"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2"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2" t="n">
        <v>30000.15</v>
      </c>
      <c r="K467" s="23"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2"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2" t="n">
        <v>279999.35</v>
      </c>
      <c r="K468" s="23"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2"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2" t="n">
        <v>111598.37</v>
      </c>
      <c r="K469" s="23"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2"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2" t="n">
        <v>7000000</v>
      </c>
      <c r="K470" t="inlineStr">
        <is>
          <t>13/06/2023</t>
        </is>
      </c>
      <c r="L470" t="inlineStr">
        <is>
          <t>Appuis divers</t>
        </is>
      </c>
      <c r="R470" s="22"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2" t="n">
        <v>7501.55</v>
      </c>
      <c r="K471" s="23"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2"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2" t="n">
        <v>30000.14</v>
      </c>
      <c r="K472" s="23"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2"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2" t="n">
        <v>50002.26</v>
      </c>
      <c r="K473" s="23"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2"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2" t="n">
        <v>9998.030000000001</v>
      </c>
      <c r="K474" s="23"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2"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2" t="n">
        <v>37499.25</v>
      </c>
      <c r="K475" s="23"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2"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2" t="n">
        <v>52502.56</v>
      </c>
      <c r="K476" s="23"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2"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2" t="n">
        <v>1204848.6</v>
      </c>
      <c r="K477" s="23"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2"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2" t="n">
        <v>1475498.49</v>
      </c>
      <c r="K478" s="23"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2"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2" t="n">
        <v>111799.08</v>
      </c>
      <c r="K479" s="23"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2"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2" t="n">
        <v>49400.71</v>
      </c>
      <c r="K480" s="23"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2"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2" t="n">
        <v>118141.31</v>
      </c>
      <c r="K481" s="23"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2"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2" t="n">
        <v>5900000</v>
      </c>
      <c r="K482" s="23"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2"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2" t="n">
        <v>7000000</v>
      </c>
      <c r="K483" t="inlineStr">
        <is>
          <t>13/06/2023</t>
        </is>
      </c>
      <c r="L483" t="inlineStr">
        <is>
          <t>Appuis divers</t>
        </is>
      </c>
      <c r="R483" s="22"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2" t="n">
        <v>49997.28</v>
      </c>
      <c r="K484" s="23"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2"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2" t="n">
        <v>225749.67</v>
      </c>
      <c r="K485" s="23"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2"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2" t="n">
        <v>7396</v>
      </c>
      <c r="K486" t="inlineStr">
        <is>
          <t>Appuis divers</t>
        </is>
      </c>
      <c r="L486" t="inlineStr">
        <is>
          <t>Appuis divers</t>
        </is>
      </c>
      <c r="M486" t="inlineStr">
        <is>
          <t xml:space="preserve">Néant </t>
        </is>
      </c>
      <c r="N486" t="inlineStr">
        <is>
          <t xml:space="preserve">Néant </t>
        </is>
      </c>
      <c r="O486" t="inlineStr">
        <is>
          <t>Nc</t>
        </is>
      </c>
      <c r="R486" s="22"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2" t="n">
        <v>49997.28</v>
      </c>
      <c r="K487" s="23"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2"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2" t="n">
        <v>149997.86</v>
      </c>
      <c r="K488" s="23"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2"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2" t="n">
        <v>6349604</v>
      </c>
      <c r="K489" s="23" t="n">
        <v>45104</v>
      </c>
      <c r="L489" t="inlineStr">
        <is>
          <t>Appui divers</t>
        </is>
      </c>
      <c r="M489" t="inlineStr">
        <is>
          <t>N/A</t>
        </is>
      </c>
      <c r="N489" t="inlineStr">
        <is>
          <t>N/A</t>
        </is>
      </c>
      <c r="O489" t="inlineStr">
        <is>
          <t>N/A</t>
        </is>
      </c>
      <c r="R489" s="22"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2" t="n">
        <v>100000.58</v>
      </c>
      <c r="K490" s="23"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2"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2" t="n">
        <v>6157000</v>
      </c>
      <c r="Q491" t="inlineStr">
        <is>
          <t>TOUS</t>
        </is>
      </c>
      <c r="R491" s="22"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2" t="n">
        <v>1000000</v>
      </c>
      <c r="K492" s="23"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2"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2" t="n">
        <v>5900000</v>
      </c>
      <c r="K493" s="23"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2"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2" t="n">
        <v>6150000</v>
      </c>
      <c r="R494" s="22"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2" t="n">
        <v>6066000</v>
      </c>
      <c r="Q495" t="inlineStr">
        <is>
          <t>TOUS</t>
        </is>
      </c>
      <c r="R495" s="22"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2" t="n">
        <v>1350000</v>
      </c>
      <c r="K496" s="23" t="n">
        <v>45455</v>
      </c>
      <c r="M496" t="inlineStr">
        <is>
          <t>TRANSPORT</t>
        </is>
      </c>
      <c r="N496" t="inlineStr">
        <is>
          <t>N/A</t>
        </is>
      </c>
      <c r="O496" t="inlineStr">
        <is>
          <t>N/A</t>
        </is>
      </c>
      <c r="P496" t="inlineStr">
        <is>
          <t>Convention minère et Code minier (Fond Social et Fond d'appui au developpement local)</t>
        </is>
      </c>
      <c r="Q496" t="inlineStr">
        <is>
          <t>NA</t>
        </is>
      </c>
      <c r="R496" s="22"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2"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2" t="n">
        <v>1000000</v>
      </c>
      <c r="K498" s="23" t="n">
        <v>45457</v>
      </c>
      <c r="M498" t="inlineStr">
        <is>
          <t>Appui/Comite sénégal.tripart</t>
        </is>
      </c>
      <c r="P498" t="inlineStr">
        <is>
          <t>Convention minère et Code minier (Fond Social et Fond d'appui au developpement local)</t>
        </is>
      </c>
      <c r="R498" s="22"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2" t="n">
        <v>6000000</v>
      </c>
      <c r="K499" s="23"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2"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2" t="n">
        <v>6000000</v>
      </c>
      <c r="K500" t="inlineStr">
        <is>
          <t>2024-08-23</t>
        </is>
      </c>
      <c r="L500" t="inlineStr">
        <is>
          <t>Appuis divers</t>
        </is>
      </c>
      <c r="R500" s="22"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2" t="n">
        <v>6000000</v>
      </c>
      <c r="K501" s="23" t="n">
        <v>44284</v>
      </c>
      <c r="L501" t="inlineStr">
        <is>
          <t>Appuis divers</t>
        </is>
      </c>
      <c r="M501" t="inlineStr">
        <is>
          <t>N/A</t>
        </is>
      </c>
      <c r="N501" t="inlineStr">
        <is>
          <t>N/A</t>
        </is>
      </c>
      <c r="O501" t="inlineStr">
        <is>
          <t>N/A</t>
        </is>
      </c>
      <c r="P501" t="inlineStr">
        <is>
          <t>Nc</t>
        </is>
      </c>
      <c r="R501" s="22"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2"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2" t="n">
        <v>5965967</v>
      </c>
      <c r="L503" t="inlineStr">
        <is>
          <t>APPUIS DIVERS (ELECTRICITE)</t>
        </is>
      </c>
      <c r="R503" s="22"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2" t="n">
        <v>25506.73</v>
      </c>
      <c r="K504" s="23"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2"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2" t="n">
        <v>726120.7222665</v>
      </c>
      <c r="K505" s="23"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2"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2" t="n">
        <v>11257570.0008902</v>
      </c>
      <c r="K506" s="23"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2"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2" t="n">
        <v>560003.38</v>
      </c>
      <c r="K507" s="23" t="n">
        <v>45470</v>
      </c>
      <c r="M507" t="inlineStr">
        <is>
          <t>Amené et repli</t>
        </is>
      </c>
      <c r="N507" t="inlineStr">
        <is>
          <t>N/A</t>
        </is>
      </c>
      <c r="O507" t="inlineStr">
        <is>
          <t>N/A</t>
        </is>
      </c>
      <c r="P507" t="inlineStr">
        <is>
          <t>Convention minère et Code minier (Fond Social et Fond d'appui au developpement local)</t>
        </is>
      </c>
      <c r="Q507" t="inlineStr">
        <is>
          <t>NA</t>
        </is>
      </c>
      <c r="R507" s="22"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2" t="n">
        <v>114750.92</v>
      </c>
      <c r="K508" s="23"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2"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2" t="n">
        <v>134997.48</v>
      </c>
      <c r="K509" s="23"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2"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2" t="n">
        <v>720000.85</v>
      </c>
      <c r="K510" s="23"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2"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2" t="n">
        <v>599999.6800000001</v>
      </c>
      <c r="K511" s="23"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2"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2" t="n">
        <v>599999.6800000001</v>
      </c>
      <c r="K512" s="23"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2"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2" t="n">
        <v>1318.69</v>
      </c>
      <c r="K513" s="23"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2"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2" t="n">
        <v>499999.74</v>
      </c>
      <c r="K514" s="23"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2"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2" t="n">
        <v>699999.63</v>
      </c>
      <c r="K515" s="23"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2"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2" t="n">
        <v>5718920</v>
      </c>
      <c r="K516" s="23"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2"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2" t="n">
        <v>630000.22</v>
      </c>
      <c r="K517" s="23" t="n">
        <v>45470</v>
      </c>
      <c r="M517" t="inlineStr">
        <is>
          <t>Amené et repli</t>
        </is>
      </c>
      <c r="N517" t="inlineStr">
        <is>
          <t>N/A</t>
        </is>
      </c>
      <c r="O517" t="inlineStr">
        <is>
          <t>N/A</t>
        </is>
      </c>
      <c r="P517" t="inlineStr">
        <is>
          <t>Convention minère et Code minier (Fond Social et Fond d'appui au developpement local)</t>
        </is>
      </c>
      <c r="Q517" t="inlineStr">
        <is>
          <t>NA</t>
        </is>
      </c>
      <c r="R517" s="22"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2" t="n">
        <v>71550.75</v>
      </c>
      <c r="K518" s="23"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2"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2" t="n">
        <v>71098.21000000001</v>
      </c>
      <c r="K519" s="23"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2"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2" t="n">
        <v>377997.72</v>
      </c>
      <c r="K520" s="23"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2"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2" t="n">
        <v>201600.8</v>
      </c>
      <c r="K521" s="23"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2"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2" t="n">
        <v>300002.69</v>
      </c>
      <c r="K522" s="23"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2"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2" t="n">
        <v>1212.83</v>
      </c>
      <c r="K523" s="23"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2"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2" t="n">
        <v>249999.23</v>
      </c>
      <c r="K524" s="23"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2"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2" t="n">
        <v>350000.12</v>
      </c>
      <c r="K525" s="23"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2"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2"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2" t="n">
        <v>100000</v>
      </c>
      <c r="K527" s="23"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2"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2" t="n">
        <v>91000</v>
      </c>
      <c r="K528" s="23"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2"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2" t="n">
        <v>500000</v>
      </c>
      <c r="K529" s="23"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2"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2" t="n">
        <v>5500000.46</v>
      </c>
      <c r="K530" s="23"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2"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2" t="n">
        <v>750000</v>
      </c>
      <c r="K531" s="23"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2"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2" t="n">
        <v>750000</v>
      </c>
      <c r="K532" s="23"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2"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2" t="n">
        <v>6225000</v>
      </c>
      <c r="K533" s="23"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2"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2"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2" t="n">
        <v>5335316</v>
      </c>
      <c r="K535" t="inlineStr">
        <is>
          <t>19/10/2023</t>
        </is>
      </c>
      <c r="L535" t="inlineStr">
        <is>
          <t>Appuis divers</t>
        </is>
      </c>
      <c r="R535" s="22"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2" t="n">
        <v>5303750</v>
      </c>
      <c r="L536" t="inlineStr">
        <is>
          <t>APPUIS DIVERS (NOURRITURE)</t>
        </is>
      </c>
      <c r="R536" s="22"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2" t="n">
        <v>5303750</v>
      </c>
      <c r="L537" t="inlineStr">
        <is>
          <t>APPUIS DIVERS (NOURRITURE)</t>
        </is>
      </c>
      <c r="R537" s="22"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2" t="n">
        <v>5300000</v>
      </c>
      <c r="R538" s="22"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2" t="n">
        <v>160000.94</v>
      </c>
      <c r="K539" s="23" t="n">
        <v>45498</v>
      </c>
      <c r="M539" t="inlineStr">
        <is>
          <t>Vanne Galva 1’’/1/2</t>
        </is>
      </c>
      <c r="N539" t="inlineStr">
        <is>
          <t>N/A</t>
        </is>
      </c>
      <c r="O539" t="inlineStr">
        <is>
          <t>N/A</t>
        </is>
      </c>
      <c r="P539" t="inlineStr">
        <is>
          <t>Convention minère et Code minier (Fond Social et Fond d'appui au developpement local)</t>
        </is>
      </c>
      <c r="Q539" t="inlineStr">
        <is>
          <t>NA</t>
        </is>
      </c>
      <c r="R539" s="22"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2" t="n">
        <v>6002.91</v>
      </c>
      <c r="K540" s="23" t="n">
        <v>45498</v>
      </c>
      <c r="M540" t="inlineStr">
        <is>
          <t>Manchon jr40</t>
        </is>
      </c>
      <c r="N540" t="inlineStr">
        <is>
          <t>N/A</t>
        </is>
      </c>
      <c r="O540" t="inlineStr">
        <is>
          <t>N/A</t>
        </is>
      </c>
      <c r="P540" t="inlineStr">
        <is>
          <t>Convention minère et Code minier (Fond Social et Fond d'appui au developpement local)</t>
        </is>
      </c>
      <c r="Q540" t="inlineStr">
        <is>
          <t>NA</t>
        </is>
      </c>
      <c r="R540" s="22"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2" t="n">
        <v>100002.1</v>
      </c>
      <c r="K541" s="23"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2"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2" t="n">
        <v>5250000</v>
      </c>
      <c r="K542" t="inlineStr">
        <is>
          <t>15/09/2023</t>
        </is>
      </c>
      <c r="L542" t="inlineStr">
        <is>
          <t>Appuis divers</t>
        </is>
      </c>
      <c r="R542" s="22"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2" t="n">
        <v>5188824.69</v>
      </c>
      <c r="K543" s="23" t="n">
        <v>45411</v>
      </c>
      <c r="M543" t="inlineStr">
        <is>
          <t>134589AA</t>
        </is>
      </c>
      <c r="N543" t="inlineStr">
        <is>
          <t>N/A</t>
        </is>
      </c>
      <c r="O543" t="inlineStr">
        <is>
          <t>N/A</t>
        </is>
      </c>
      <c r="P543" t="inlineStr">
        <is>
          <t>Convention minère et Code minier (Fond Social et Fond d'appui au developpement local)</t>
        </is>
      </c>
      <c r="Q543" t="inlineStr">
        <is>
          <t>NA</t>
        </is>
      </c>
      <c r="R543" s="22"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2" t="n">
        <v>5041349</v>
      </c>
      <c r="K544" t="inlineStr">
        <is>
          <t>2024-04-18</t>
        </is>
      </c>
      <c r="L544" t="inlineStr">
        <is>
          <t>Appuis divers</t>
        </is>
      </c>
      <c r="R544" s="22"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2" t="n">
        <v>80000.47</v>
      </c>
      <c r="K545" s="23" t="n">
        <v>45498</v>
      </c>
      <c r="M545" t="inlineStr">
        <is>
          <t>Vanne</t>
        </is>
      </c>
      <c r="N545" t="inlineStr">
        <is>
          <t>N/A</t>
        </is>
      </c>
      <c r="O545" t="inlineStr">
        <is>
          <t>N/A</t>
        </is>
      </c>
      <c r="P545" t="inlineStr">
        <is>
          <t>Convention minère et Code minier (Fond Social et Fond d'appui au developpement local)</t>
        </is>
      </c>
      <c r="Q545" t="inlineStr">
        <is>
          <t>NA</t>
        </is>
      </c>
      <c r="R545" s="22"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2" t="n">
        <v>5002438</v>
      </c>
      <c r="L546" t="inlineStr">
        <is>
          <t>APPUIS DIVERS</t>
        </is>
      </c>
      <c r="R546" s="22"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2" t="n">
        <v>5000000</v>
      </c>
      <c r="K547" s="23"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2"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2" t="n">
        <v>5000000</v>
      </c>
      <c r="K548" t="inlineStr">
        <is>
          <t>2024-02-16</t>
        </is>
      </c>
      <c r="L548" t="inlineStr">
        <is>
          <t>Appuis divers</t>
        </is>
      </c>
      <c r="R548" s="22"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2" t="n">
        <v>49998.02</v>
      </c>
      <c r="K549" s="23"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2"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2" t="n">
        <v>49998.02</v>
      </c>
      <c r="K550" s="23"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2"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2" t="n">
        <v>100002.11</v>
      </c>
      <c r="K551" s="23"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2"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2" t="n">
        <v>80000.47</v>
      </c>
      <c r="K552" s="23" t="n">
        <v>45498</v>
      </c>
      <c r="M552" t="inlineStr">
        <is>
          <t>Vanne de 1’’/1/2</t>
        </is>
      </c>
      <c r="N552" t="inlineStr">
        <is>
          <t>N/A</t>
        </is>
      </c>
      <c r="O552" t="inlineStr">
        <is>
          <t>N/A</t>
        </is>
      </c>
      <c r="P552" t="inlineStr">
        <is>
          <t>Convention minère et Code minier (Fond Social et Fond d'appui au developpement local)</t>
        </is>
      </c>
      <c r="Q552" t="inlineStr">
        <is>
          <t>NA</t>
        </is>
      </c>
      <c r="R552" s="22"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2" t="n">
        <v>100002.1</v>
      </c>
      <c r="K553" s="23" t="n">
        <v>45498</v>
      </c>
      <c r="M553" t="inlineStr">
        <is>
          <t>Maçonnerie</t>
        </is>
      </c>
      <c r="N553" t="inlineStr">
        <is>
          <t>N/A</t>
        </is>
      </c>
      <c r="O553" t="inlineStr">
        <is>
          <t>N/A</t>
        </is>
      </c>
      <c r="P553" t="inlineStr">
        <is>
          <t>Convention minère et Code minier (Fond Social et Fond d'appui au developpement local)</t>
        </is>
      </c>
      <c r="Q553" t="inlineStr">
        <is>
          <t>NA</t>
        </is>
      </c>
      <c r="R553" s="22"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2" t="n">
        <v>199998.16</v>
      </c>
      <c r="K554" s="23"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2"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2" t="n">
        <v>5000000</v>
      </c>
      <c r="K555" t="inlineStr">
        <is>
          <t>27/12/2023</t>
        </is>
      </c>
      <c r="L555" t="inlineStr">
        <is>
          <t>Appuis divers</t>
        </is>
      </c>
      <c r="R555" s="22"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2" t="n">
        <v>4101731.1</v>
      </c>
      <c r="K556" s="23"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2"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2" t="n">
        <v>7630788</v>
      </c>
      <c r="K557" s="23"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2"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2" t="n">
        <v>12502.55</v>
      </c>
      <c r="K558" s="23" t="n">
        <v>45498</v>
      </c>
      <c r="M558" t="inlineStr">
        <is>
          <t>AMENE ET REPLI</t>
        </is>
      </c>
      <c r="N558" t="inlineStr">
        <is>
          <t>N/A</t>
        </is>
      </c>
      <c r="O558" t="inlineStr">
        <is>
          <t>N/A</t>
        </is>
      </c>
      <c r="P558" t="inlineStr">
        <is>
          <t>Convention minère et Code minier (Fond Social et Fond d'appui au developpement local)</t>
        </is>
      </c>
      <c r="Q558" t="inlineStr">
        <is>
          <t>NA</t>
        </is>
      </c>
      <c r="R558" s="22"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2" t="n">
        <v>110996.47</v>
      </c>
      <c r="K559" s="23" t="n">
        <v>45498</v>
      </c>
      <c r="M559" t="inlineStr">
        <is>
          <t>FONDATION</t>
        </is>
      </c>
      <c r="N559" t="inlineStr">
        <is>
          <t>N/A</t>
        </is>
      </c>
      <c r="O559" t="inlineStr">
        <is>
          <t>N/A</t>
        </is>
      </c>
      <c r="P559" t="inlineStr">
        <is>
          <t>Convention minère et Code minier (Fond Social et Fond d'appui au developpement local)</t>
        </is>
      </c>
      <c r="Q559" t="inlineStr">
        <is>
          <t>NA</t>
        </is>
      </c>
      <c r="R559" s="22"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2" t="n">
        <v>132294.42</v>
      </c>
      <c r="K560" s="23"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2"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2" t="n">
        <v>169020.66</v>
      </c>
      <c r="K561" s="23"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2"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2" t="n">
        <v>68648.92999999999</v>
      </c>
      <c r="K562" s="23"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2"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2" t="n">
        <v>88511.25999999999</v>
      </c>
      <c r="K563" s="23" t="n">
        <v>45498</v>
      </c>
      <c r="M563" t="inlineStr">
        <is>
          <t>CARRELAGE</t>
        </is>
      </c>
      <c r="N563" t="inlineStr">
        <is>
          <t>N/A</t>
        </is>
      </c>
      <c r="O563" t="inlineStr">
        <is>
          <t>N/A</t>
        </is>
      </c>
      <c r="P563" t="inlineStr">
        <is>
          <t>Convention minère et Code minier (Fond Social et Fond d'appui au developpement local)</t>
        </is>
      </c>
      <c r="Q563" t="inlineStr">
        <is>
          <t>NA</t>
        </is>
      </c>
      <c r="R563" s="22"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2" t="n">
        <v>154052.73</v>
      </c>
      <c r="K564" s="23" t="n">
        <v>45498</v>
      </c>
      <c r="M564" t="inlineStr">
        <is>
          <t>ELECTRICITE</t>
        </is>
      </c>
      <c r="N564" t="inlineStr">
        <is>
          <t>N/A</t>
        </is>
      </c>
      <c r="O564" t="inlineStr">
        <is>
          <t>N/A</t>
        </is>
      </c>
      <c r="P564" t="inlineStr">
        <is>
          <t>Convention minère et Code minier (Fond Social et Fond d'appui au developpement local)</t>
        </is>
      </c>
      <c r="Q564" t="inlineStr">
        <is>
          <t>NA</t>
        </is>
      </c>
      <c r="R564" s="22"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2" t="n">
        <v>111499.24</v>
      </c>
      <c r="K565" s="23" t="n">
        <v>45498</v>
      </c>
      <c r="M565" t="inlineStr">
        <is>
          <t>MENUISERIE</t>
        </is>
      </c>
      <c r="N565" t="inlineStr">
        <is>
          <t>N/A</t>
        </is>
      </c>
      <c r="O565" t="inlineStr">
        <is>
          <t>N/A</t>
        </is>
      </c>
      <c r="P565" t="inlineStr">
        <is>
          <t>Convention minère et Code minier (Fond Social et Fond d'appui au developpement local)</t>
        </is>
      </c>
      <c r="Q565" t="inlineStr">
        <is>
          <t>NA</t>
        </is>
      </c>
      <c r="R565" s="22"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2" t="n">
        <v>73258.64</v>
      </c>
      <c r="K566" s="23" t="n">
        <v>45498</v>
      </c>
      <c r="M566" t="inlineStr">
        <is>
          <t>PEINTURE</t>
        </is>
      </c>
      <c r="N566" t="inlineStr">
        <is>
          <t>N/A</t>
        </is>
      </c>
      <c r="O566" t="inlineStr">
        <is>
          <t>N/A</t>
        </is>
      </c>
      <c r="P566" t="inlineStr">
        <is>
          <t>Convention minère et Code minier (Fond Social et Fond d'appui au developpement local)</t>
        </is>
      </c>
      <c r="Q566" t="inlineStr">
        <is>
          <t>NA</t>
        </is>
      </c>
      <c r="R566" s="22"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2" t="n">
        <v>5000000</v>
      </c>
      <c r="K567" t="inlineStr">
        <is>
          <t>28/08/2023</t>
        </is>
      </c>
      <c r="L567" t="inlineStr">
        <is>
          <t>Appuis divers</t>
        </is>
      </c>
      <c r="R567" s="22"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2" t="n">
        <v>1739000</v>
      </c>
      <c r="K568" s="23"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2"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2" t="n">
        <v>400000</v>
      </c>
      <c r="K569" s="23"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2"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2" t="n">
        <v>5000000</v>
      </c>
      <c r="K570" t="inlineStr">
        <is>
          <t>27/10/2023</t>
        </is>
      </c>
      <c r="L570" t="inlineStr">
        <is>
          <t>Appuis divers</t>
        </is>
      </c>
      <c r="R570" s="22"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2" t="n">
        <v>184800</v>
      </c>
      <c r="K571" s="23"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2"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2" t="n">
        <v>130500</v>
      </c>
      <c r="K572" s="23"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2"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2" t="n">
        <v>5000000</v>
      </c>
      <c r="K573" t="inlineStr">
        <is>
          <t>30/11/2023</t>
        </is>
      </c>
      <c r="L573" t="inlineStr">
        <is>
          <t>Appuis divers</t>
        </is>
      </c>
      <c r="R573" s="22"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2" t="n">
        <v>5000000</v>
      </c>
      <c r="K574" t="inlineStr">
        <is>
          <t>07/12/2023</t>
        </is>
      </c>
      <c r="L574" t="inlineStr">
        <is>
          <t>Appuis divers</t>
        </is>
      </c>
      <c r="R574" s="22"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2" t="n">
        <v>5000000</v>
      </c>
      <c r="K575" t="inlineStr">
        <is>
          <t>31/12/2023</t>
        </is>
      </c>
      <c r="L575" t="inlineStr">
        <is>
          <t>Appuis divers</t>
        </is>
      </c>
      <c r="R575" s="22"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2" t="n">
        <v>419999.53</v>
      </c>
      <c r="K576" s="23"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2"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2" t="n">
        <v>956901.45</v>
      </c>
      <c r="K577" s="23"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2"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2" t="n">
        <v>135000</v>
      </c>
      <c r="K578" s="23"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2"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2" t="n">
        <v>271001.63</v>
      </c>
      <c r="K579" s="23"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2"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2"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2"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2"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2"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2"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2" t="n">
        <v>28002.03</v>
      </c>
      <c r="K585" s="23"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2"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2" t="n">
        <v>120001.75</v>
      </c>
      <c r="K586" s="23"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2"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2"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2"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2" t="n">
        <v>29997.4</v>
      </c>
      <c r="K589" s="23" t="n">
        <v>45522</v>
      </c>
      <c r="M589" t="inlineStr">
        <is>
          <t>Coiffes en tissu</t>
        </is>
      </c>
      <c r="N589" t="inlineStr">
        <is>
          <t>N/A</t>
        </is>
      </c>
      <c r="O589" t="inlineStr">
        <is>
          <t>N/A</t>
        </is>
      </c>
      <c r="P589" t="inlineStr">
        <is>
          <t>Convention minère et Code minier (Fond Social et Fond d'appui au developpement local)</t>
        </is>
      </c>
      <c r="Q589" t="inlineStr">
        <is>
          <t>NA</t>
        </is>
      </c>
      <c r="R589" s="22"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2"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2" t="n">
        <v>420000.06</v>
      </c>
      <c r="K591" s="23"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2"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2" t="n">
        <v>144000.89</v>
      </c>
      <c r="K592" s="23"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2"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2" t="n">
        <v>509998.34</v>
      </c>
      <c r="K593" s="23"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2"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2" t="n">
        <v>7579</v>
      </c>
      <c r="K594" t="inlineStr">
        <is>
          <t>Appuis divers</t>
        </is>
      </c>
      <c r="L594" t="inlineStr">
        <is>
          <t>Appuis divers</t>
        </is>
      </c>
      <c r="M594" t="inlineStr">
        <is>
          <t xml:space="preserve">Néant </t>
        </is>
      </c>
      <c r="N594" t="inlineStr">
        <is>
          <t xml:space="preserve">Néant </t>
        </is>
      </c>
      <c r="O594" t="inlineStr">
        <is>
          <t>Nc</t>
        </is>
      </c>
      <c r="R594" s="22"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2"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2" t="n">
        <v>4845500</v>
      </c>
      <c r="K596" t="inlineStr">
        <is>
          <t>25/07/2023</t>
        </is>
      </c>
      <c r="L596" t="inlineStr">
        <is>
          <t>Appuis divers</t>
        </is>
      </c>
      <c r="R596" s="22"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2" t="n">
        <v>4842000</v>
      </c>
      <c r="K597" s="23" t="n">
        <v>45533</v>
      </c>
      <c r="M597" t="inlineStr">
        <is>
          <t>142236</t>
        </is>
      </c>
      <c r="N597" t="inlineStr">
        <is>
          <t>N/A</t>
        </is>
      </c>
      <c r="O597" t="inlineStr">
        <is>
          <t>N/A</t>
        </is>
      </c>
      <c r="P597" t="inlineStr">
        <is>
          <t>Convention minère et Code minier (Fond Social et Fond d'appui au developpement local)</t>
        </is>
      </c>
      <c r="Q597" t="inlineStr">
        <is>
          <t>NA</t>
        </is>
      </c>
      <c r="R597" s="22"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2" t="n">
        <v>4818224</v>
      </c>
      <c r="K598" t="inlineStr">
        <is>
          <t>27/12/2023</t>
        </is>
      </c>
      <c r="L598" t="inlineStr">
        <is>
          <t>Appuis divers</t>
        </is>
      </c>
      <c r="R598" s="22"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2" t="n">
        <v>60000.88</v>
      </c>
      <c r="K599" s="23" t="n">
        <v>45522</v>
      </c>
      <c r="M599" t="inlineStr">
        <is>
          <t>Bougie</t>
        </is>
      </c>
      <c r="N599" t="inlineStr">
        <is>
          <t>N/A</t>
        </is>
      </c>
      <c r="O599" t="inlineStr">
        <is>
          <t>N/A</t>
        </is>
      </c>
      <c r="P599" t="inlineStr">
        <is>
          <t>Convention minère et Code minier (Fond Social et Fond d'appui au developpement local)</t>
        </is>
      </c>
      <c r="Q599" t="inlineStr">
        <is>
          <t>NA</t>
        </is>
      </c>
      <c r="R599" s="22"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2" t="n">
        <v>4807000.72</v>
      </c>
      <c r="K600" s="23" t="n">
        <v>44701</v>
      </c>
      <c r="L600" t="inlineStr">
        <is>
          <t>SF General</t>
        </is>
      </c>
      <c r="R600" s="22"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2" t="n">
        <v>4771500</v>
      </c>
      <c r="Q601" t="inlineStr">
        <is>
          <t>TOUS</t>
        </is>
      </c>
      <c r="R601" s="22"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2" t="n">
        <v>4765805</v>
      </c>
      <c r="K602" s="23" t="n">
        <v>45626</v>
      </c>
      <c r="M602" t="inlineStr">
        <is>
          <t>Facture ATS mois de Septembre</t>
        </is>
      </c>
      <c r="P602" t="inlineStr">
        <is>
          <t>Convention minère et Code minier (Fond Social et Fond d'appui au developpement local)</t>
        </is>
      </c>
      <c r="R602" s="22"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2" t="n">
        <v>4765805</v>
      </c>
      <c r="K603" s="23" t="n">
        <v>45636</v>
      </c>
      <c r="M603" t="inlineStr">
        <is>
          <t>Facture ATS pour le mois de Novembre</t>
        </is>
      </c>
      <c r="P603" t="inlineStr">
        <is>
          <t>Convention minère et Code minier (Fond Social et Fond d'appui au developpement local)</t>
        </is>
      </c>
      <c r="R603" s="22"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2" t="n">
        <v>4718549</v>
      </c>
      <c r="K604" s="23"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2"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2" t="n">
        <v>4594535.87</v>
      </c>
      <c r="K605" s="23" t="n">
        <v>45337</v>
      </c>
      <c r="M605" t="inlineStr">
        <is>
          <t>134097AA</t>
        </is>
      </c>
      <c r="N605" t="inlineStr">
        <is>
          <t>N/A</t>
        </is>
      </c>
      <c r="O605" t="inlineStr">
        <is>
          <t>N/A</t>
        </is>
      </c>
      <c r="P605" t="inlineStr">
        <is>
          <t>Convention minère et Code minier (Fond Social et Fond d'appui au developpement local)</t>
        </is>
      </c>
      <c r="Q605" t="inlineStr">
        <is>
          <t>NA</t>
        </is>
      </c>
      <c r="R605" s="22"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2" t="n">
        <v>4535019</v>
      </c>
      <c r="K606" t="inlineStr">
        <is>
          <t>14/06/2023</t>
        </is>
      </c>
      <c r="L606" t="inlineStr">
        <is>
          <t>Appuis divers</t>
        </is>
      </c>
      <c r="R606" s="22"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2" t="n">
        <v>4501710</v>
      </c>
      <c r="K607" s="23" t="n">
        <v>45533</v>
      </c>
      <c r="M607" t="inlineStr">
        <is>
          <t>139817</t>
        </is>
      </c>
      <c r="N607" t="inlineStr">
        <is>
          <t>N/A</t>
        </is>
      </c>
      <c r="O607" t="inlineStr">
        <is>
          <t>N/A</t>
        </is>
      </c>
      <c r="P607" t="inlineStr">
        <is>
          <t>Convention minère et Code minier (Fond Social et Fond d'appui au developpement local)</t>
        </is>
      </c>
      <c r="Q607" t="inlineStr">
        <is>
          <t>NA</t>
        </is>
      </c>
      <c r="R607" s="22"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2" t="n">
        <v>74999.58</v>
      </c>
      <c r="K608" s="23"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2"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2" t="n">
        <v>85000.74000000001</v>
      </c>
      <c r="K609" s="23"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2"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2" t="n">
        <v>4500000</v>
      </c>
      <c r="L610" t="inlineStr">
        <is>
          <t>Maintenance fees for the student building in Dakar _FISE-CDK-2024</t>
        </is>
      </c>
      <c r="R610" s="22"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2" t="n">
        <v>60000.88</v>
      </c>
      <c r="K611" s="23"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2"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2"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2"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2"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2" t="n">
        <v>180002.62</v>
      </c>
      <c r="K614" s="23"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2"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2" t="n">
        <v>4400580.63</v>
      </c>
      <c r="K615" s="23" t="n">
        <v>44722</v>
      </c>
      <c r="L615" t="inlineStr">
        <is>
          <t>SF General</t>
        </is>
      </c>
      <c r="R615" s="22"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2" t="n">
        <v>690000.96</v>
      </c>
      <c r="K616" s="23"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2"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2" t="n">
        <v>4350000</v>
      </c>
      <c r="K617" s="23" t="n">
        <v>44860</v>
      </c>
      <c r="L617" t="inlineStr">
        <is>
          <t>SF General</t>
        </is>
      </c>
      <c r="R617" s="22"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2" t="n">
        <v>3200001.17</v>
      </c>
      <c r="K618" s="23"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2"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2" t="n">
        <v>1249999.42</v>
      </c>
      <c r="K619" s="23"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2"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2" t="n">
        <v>1249999.41</v>
      </c>
      <c r="K620" s="23"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2"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2" t="n">
        <v>4319998.55</v>
      </c>
      <c r="K621" s="23"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2"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2" t="n">
        <v>118000</v>
      </c>
      <c r="K622" s="23"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2"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2" t="n">
        <v>4178193</v>
      </c>
      <c r="K623" t="inlineStr">
        <is>
          <t>30/10/2023</t>
        </is>
      </c>
      <c r="L623" t="inlineStr">
        <is>
          <t>Appuis divers</t>
        </is>
      </c>
      <c r="R623" s="22"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2" t="n">
        <v>4054469</v>
      </c>
      <c r="K624" s="23" t="n">
        <v>45626</v>
      </c>
      <c r="M624" t="inlineStr">
        <is>
          <t>Facture mois de Juillet</t>
        </is>
      </c>
      <c r="P624" t="inlineStr">
        <is>
          <t>Convention minère et Code minier (Fond Social et Fond d'appui au developpement local)</t>
        </is>
      </c>
      <c r="R624" s="22"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2" t="n">
        <v>4049103</v>
      </c>
      <c r="K625" s="23" t="n">
        <v>45626</v>
      </c>
      <c r="M625" t="inlineStr">
        <is>
          <t>Facture ATS pour le mois d'Octobre</t>
        </is>
      </c>
      <c r="P625" t="inlineStr">
        <is>
          <t>Convention minère et Code minier (Fond Social et Fond d'appui au developpement local)</t>
        </is>
      </c>
      <c r="R625" s="22"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2" t="n">
        <v>4008534</v>
      </c>
      <c r="K626" s="23" t="n">
        <v>45626</v>
      </c>
      <c r="M626" t="inlineStr">
        <is>
          <t>Fature ATS pour le mois d'Aout</t>
        </is>
      </c>
      <c r="P626" t="inlineStr">
        <is>
          <t>Convention minère et Code minier (Fond Social et Fond d'appui au developpement local)</t>
        </is>
      </c>
      <c r="R626" s="22"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2" t="n">
        <v>4000000</v>
      </c>
      <c r="K627" s="23" t="n">
        <v>45503</v>
      </c>
      <c r="R627" s="22"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2" t="n">
        <v>3532598.25</v>
      </c>
      <c r="K628" s="23"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2"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2" t="n">
        <v>251139.72</v>
      </c>
      <c r="K629" s="23"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2"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2" t="n">
        <v>4000000</v>
      </c>
      <c r="K630" t="inlineStr">
        <is>
          <t>20/09/2023</t>
        </is>
      </c>
      <c r="L630" t="inlineStr">
        <is>
          <t>Appuis divers</t>
        </is>
      </c>
      <c r="R630" s="22"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2" t="n">
        <v>14847.13</v>
      </c>
      <c r="K631" s="23"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2"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2" t="n">
        <v>14750.09</v>
      </c>
      <c r="K632" s="23"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2"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2"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2"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2" t="n">
        <v>3959999.45</v>
      </c>
      <c r="K635" s="23"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2"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2" t="n">
        <v>3931647.8</v>
      </c>
      <c r="K636" s="23" t="n">
        <v>45623</v>
      </c>
      <c r="M636" t="inlineStr">
        <is>
          <t>134185AA</t>
        </is>
      </c>
      <c r="N636" t="inlineStr">
        <is>
          <t>N/A</t>
        </is>
      </c>
      <c r="O636" t="inlineStr">
        <is>
          <t>N/A</t>
        </is>
      </c>
      <c r="P636" t="inlineStr">
        <is>
          <t>Convention minère et Code minier (Fond Social et Fond d'appui au developpement local)</t>
        </is>
      </c>
      <c r="Q636" t="inlineStr">
        <is>
          <t>NA</t>
        </is>
      </c>
      <c r="R636" s="22"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2"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2" t="n">
        <v>3834500</v>
      </c>
      <c r="L638" t="inlineStr">
        <is>
          <t>APPUIS DIVERS</t>
        </is>
      </c>
      <c r="R638" s="22"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2" t="n">
        <v>3834500</v>
      </c>
      <c r="L639" t="inlineStr">
        <is>
          <t>APPUIS DIVERS</t>
        </is>
      </c>
      <c r="R639" s="22"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2" t="n">
        <v>21931.06</v>
      </c>
      <c r="K640" s="23"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2"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2" t="n">
        <v>57520.5</v>
      </c>
      <c r="K641" s="23"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2"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2" t="n">
        <v>13615.94</v>
      </c>
      <c r="K642" s="23"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2"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2" t="n">
        <v>328050.04</v>
      </c>
      <c r="K643" s="23" t="n">
        <v>45525</v>
      </c>
      <c r="M643" t="inlineStr">
        <is>
          <t>Table-bancs</t>
        </is>
      </c>
      <c r="N643" t="inlineStr">
        <is>
          <t>N/A</t>
        </is>
      </c>
      <c r="O643" t="inlineStr">
        <is>
          <t>N/A</t>
        </is>
      </c>
      <c r="P643" t="inlineStr">
        <is>
          <t>Convention minère et Code minier (Fond Social et Fond d'appui au developpement local)</t>
        </is>
      </c>
      <c r="Q643" t="inlineStr">
        <is>
          <t>NA</t>
        </is>
      </c>
      <c r="R643" s="22"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2" t="n">
        <v>16199.63</v>
      </c>
      <c r="K644" s="23"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2"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2" t="n">
        <v>16199.62</v>
      </c>
      <c r="K645" s="23"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2"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2" t="n">
        <v>29997.38</v>
      </c>
      <c r="K646" s="23" t="n">
        <v>45525</v>
      </c>
      <c r="M646" t="inlineStr">
        <is>
          <t>AMENE ET REPLI</t>
        </is>
      </c>
      <c r="N646" t="inlineStr">
        <is>
          <t>N/A</t>
        </is>
      </c>
      <c r="O646" t="inlineStr">
        <is>
          <t>N/A</t>
        </is>
      </c>
      <c r="P646" t="inlineStr">
        <is>
          <t>Convention minère et Code minier (Fond Social et Fond d'appui au developpement local)</t>
        </is>
      </c>
      <c r="Q646" t="inlineStr">
        <is>
          <t>NA</t>
        </is>
      </c>
      <c r="R646" s="22"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2" t="n">
        <v>266398.08</v>
      </c>
      <c r="K647" s="23" t="n">
        <v>45525</v>
      </c>
      <c r="M647" t="inlineStr">
        <is>
          <t>FONDATION</t>
        </is>
      </c>
      <c r="N647" t="inlineStr">
        <is>
          <t>N/A</t>
        </is>
      </c>
      <c r="O647" t="inlineStr">
        <is>
          <t>N/A</t>
        </is>
      </c>
      <c r="P647" t="inlineStr">
        <is>
          <t>Convention minère et Code minier (Fond Social et Fond d'appui au developpement local)</t>
        </is>
      </c>
      <c r="Q647" t="inlineStr">
        <is>
          <t>NA</t>
        </is>
      </c>
      <c r="R647" s="22"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2" t="n">
        <v>317513.71</v>
      </c>
      <c r="K648" s="23"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2"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2" t="n">
        <v>405643.9</v>
      </c>
      <c r="K649" s="23"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2"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2" t="n">
        <v>164761.18</v>
      </c>
      <c r="K650" s="23"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2"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2" t="n">
        <v>212425.84</v>
      </c>
      <c r="K651" s="23" t="n">
        <v>45525</v>
      </c>
      <c r="M651" t="inlineStr">
        <is>
          <t>CARRELAGE</t>
        </is>
      </c>
      <c r="N651" t="inlineStr">
        <is>
          <t>N/A</t>
        </is>
      </c>
      <c r="O651" t="inlineStr">
        <is>
          <t>N/A</t>
        </is>
      </c>
      <c r="P651" t="inlineStr">
        <is>
          <t>Convention minère et Code minier (Fond Social et Fond d'appui au developpement local)</t>
        </is>
      </c>
      <c r="Q651" t="inlineStr">
        <is>
          <t>NA</t>
        </is>
      </c>
      <c r="R651" s="22"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2" t="n">
        <v>369721.03</v>
      </c>
      <c r="K652" s="23" t="n">
        <v>45525</v>
      </c>
      <c r="M652" t="inlineStr">
        <is>
          <t>ELECTRICITE</t>
        </is>
      </c>
      <c r="N652" t="inlineStr">
        <is>
          <t>N/A</t>
        </is>
      </c>
      <c r="O652" t="inlineStr">
        <is>
          <t>N/A</t>
        </is>
      </c>
      <c r="P652" t="inlineStr">
        <is>
          <t>Convention minère et Code minier (Fond Social et Fond d'appui au developpement local)</t>
        </is>
      </c>
      <c r="Q652" t="inlineStr">
        <is>
          <t>NA</t>
        </is>
      </c>
      <c r="R652" s="22"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2" t="n">
        <v>267598.94</v>
      </c>
      <c r="K653" s="23" t="n">
        <v>45525</v>
      </c>
      <c r="M653" t="inlineStr">
        <is>
          <t>MENUISERIE</t>
        </is>
      </c>
      <c r="N653" t="inlineStr">
        <is>
          <t>N/A</t>
        </is>
      </c>
      <c r="O653" t="inlineStr">
        <is>
          <t>N/A</t>
        </is>
      </c>
      <c r="P653" t="inlineStr">
        <is>
          <t>Convention minère et Code minier (Fond Social et Fond d'appui au developpement local)</t>
        </is>
      </c>
      <c r="Q653" t="inlineStr">
        <is>
          <t>NA</t>
        </is>
      </c>
      <c r="R653" s="22"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2" t="n">
        <v>175823.7</v>
      </c>
      <c r="K654" s="23" t="n">
        <v>45525</v>
      </c>
      <c r="M654" t="inlineStr">
        <is>
          <t>PEINTURE</t>
        </is>
      </c>
      <c r="N654" t="inlineStr">
        <is>
          <t>N/A</t>
        </is>
      </c>
      <c r="O654" t="inlineStr">
        <is>
          <t>N/A</t>
        </is>
      </c>
      <c r="P654" t="inlineStr">
        <is>
          <t>Convention minère et Code minier (Fond Social et Fond d'appui au developpement local)</t>
        </is>
      </c>
      <c r="Q654" t="inlineStr">
        <is>
          <t>NA</t>
        </is>
      </c>
      <c r="R654" s="22"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2" t="n">
        <v>137499.2</v>
      </c>
      <c r="K655" s="23"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2"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2" t="n">
        <v>3776044</v>
      </c>
      <c r="K656" t="inlineStr">
        <is>
          <t>Nc</t>
        </is>
      </c>
      <c r="L656" t="inlineStr">
        <is>
          <t>APPUIS DIVERS</t>
        </is>
      </c>
      <c r="M656" t="inlineStr">
        <is>
          <t>N/A</t>
        </is>
      </c>
      <c r="N656" t="inlineStr">
        <is>
          <t>N/A</t>
        </is>
      </c>
      <c r="O656" t="inlineStr">
        <is>
          <t>N/A</t>
        </is>
      </c>
      <c r="P656" t="inlineStr">
        <is>
          <t>Nc</t>
        </is>
      </c>
      <c r="R656" s="22"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2" t="n">
        <v>3739835</v>
      </c>
      <c r="K657" t="inlineStr">
        <is>
          <t>20/11/2023</t>
        </is>
      </c>
      <c r="L657" t="inlineStr">
        <is>
          <t>Appuis divers</t>
        </is>
      </c>
      <c r="R657" s="22"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2" t="n">
        <v>3739835</v>
      </c>
      <c r="K658" t="inlineStr">
        <is>
          <t>30/11/2023</t>
        </is>
      </c>
      <c r="L658" t="inlineStr">
        <is>
          <t>Appuis divers</t>
        </is>
      </c>
      <c r="R658" s="22"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2" t="n">
        <v>3709400</v>
      </c>
      <c r="L659" t="inlineStr">
        <is>
          <t>APPUIS DIVERS</t>
        </is>
      </c>
      <c r="R659" s="22"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2" t="n">
        <v>3640000</v>
      </c>
      <c r="K660" s="23"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2"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2" t="n">
        <v>23999994.28</v>
      </c>
      <c r="K661" s="23" t="n">
        <v>45529</v>
      </c>
      <c r="M661" t="inlineStr">
        <is>
          <t>Tricycles</t>
        </is>
      </c>
      <c r="N661" t="inlineStr">
        <is>
          <t>N/A</t>
        </is>
      </c>
      <c r="O661" t="inlineStr">
        <is>
          <t>N/A</t>
        </is>
      </c>
      <c r="P661" t="inlineStr">
        <is>
          <t>Convention minère et Code minier (Fond Social et Fond d'appui au developpement local)</t>
        </is>
      </c>
      <c r="Q661" t="inlineStr">
        <is>
          <t>NA</t>
        </is>
      </c>
      <c r="R661" s="22"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2" t="n">
        <v>3506000</v>
      </c>
      <c r="K662" s="23" t="n">
        <v>44301</v>
      </c>
      <c r="L662" t="inlineStr">
        <is>
          <t>Appuis divers</t>
        </is>
      </c>
      <c r="M662" t="inlineStr">
        <is>
          <t>N/A</t>
        </is>
      </c>
      <c r="N662" t="inlineStr">
        <is>
          <t>N/A</t>
        </is>
      </c>
      <c r="O662" t="inlineStr">
        <is>
          <t>N/A</t>
        </is>
      </c>
      <c r="P662" t="inlineStr">
        <is>
          <t>Nc</t>
        </is>
      </c>
      <c r="R662" s="22"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2" t="n">
        <v>149999.89</v>
      </c>
      <c r="K663" s="23"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2"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2" t="n">
        <v>3500000</v>
      </c>
      <c r="K664" s="23" t="n">
        <v>45456</v>
      </c>
      <c r="L664" t="inlineStr">
        <is>
          <t>Appui divers: Dons DPN pour le lac Retba</t>
        </is>
      </c>
      <c r="R664" s="22"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2" t="n">
        <v>375002.66</v>
      </c>
      <c r="K665" s="23"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2"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2" t="n">
        <v>350001.7</v>
      </c>
      <c r="K666" s="23"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2"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2" t="n">
        <v>149999.89</v>
      </c>
      <c r="K667" s="23"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2"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2" t="n">
        <v>325000.75</v>
      </c>
      <c r="K668" s="23" t="n">
        <v>45529</v>
      </c>
      <c r="M668" t="inlineStr">
        <is>
          <t>Fourches</t>
        </is>
      </c>
      <c r="N668" t="inlineStr">
        <is>
          <t>N/A</t>
        </is>
      </c>
      <c r="O668" t="inlineStr">
        <is>
          <t>N/A</t>
        </is>
      </c>
      <c r="P668" t="inlineStr">
        <is>
          <t>Convention minère et Code minier (Fond Social et Fond d'appui au developpement local)</t>
        </is>
      </c>
      <c r="Q668" t="inlineStr">
        <is>
          <t>NA</t>
        </is>
      </c>
      <c r="R668" s="22"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2" t="n">
        <v>3500000</v>
      </c>
      <c r="K669" t="inlineStr">
        <is>
          <t>07/11/2023</t>
        </is>
      </c>
      <c r="L669" t="inlineStr">
        <is>
          <t>Appuis divers</t>
        </is>
      </c>
      <c r="R669" s="22"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2" t="n">
        <v>945000</v>
      </c>
      <c r="K670" s="23"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2"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2" t="n">
        <v>2900000</v>
      </c>
      <c r="K671" s="23"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2"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2" t="n">
        <v>25009500</v>
      </c>
      <c r="K672" s="23"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2"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2" t="n">
        <v>3500000</v>
      </c>
      <c r="K673" t="inlineStr">
        <is>
          <t>30/11/2023</t>
        </is>
      </c>
      <c r="L673" t="inlineStr">
        <is>
          <t>Appuis divers</t>
        </is>
      </c>
      <c r="R673" s="22"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2" t="n">
        <v>3467955</v>
      </c>
      <c r="K674" t="inlineStr">
        <is>
          <t>19/06/2023</t>
        </is>
      </c>
      <c r="L674" t="inlineStr">
        <is>
          <t>Appuis divers</t>
        </is>
      </c>
      <c r="R674" s="22"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2" t="n">
        <v>3465600</v>
      </c>
      <c r="K675" t="inlineStr">
        <is>
          <t>2024-07-20</t>
        </is>
      </c>
      <c r="L675" t="inlineStr">
        <is>
          <t>Appuis divers</t>
        </is>
      </c>
      <c r="R675" s="22"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2" t="n">
        <v>3452884.5</v>
      </c>
      <c r="K676" s="23"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2"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2" t="n">
        <v>3425284.25</v>
      </c>
      <c r="K677" s="23"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2"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2" t="n">
        <v>-100000</v>
      </c>
      <c r="K678" s="23"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2"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2" t="n">
        <v>-100000</v>
      </c>
      <c r="K679" s="23"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2"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2" t="n">
        <v>-100000</v>
      </c>
      <c r="K680" s="23"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2"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2" t="n">
        <v>-100000</v>
      </c>
      <c r="K681" s="23"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2"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2" t="n">
        <v>-50000</v>
      </c>
      <c r="K682" s="23"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2"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2" t="n">
        <v>-50000</v>
      </c>
      <c r="K683" s="23"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2"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2" t="n">
        <v>-75000</v>
      </c>
      <c r="K684" s="23" t="n">
        <v>45534</v>
      </c>
      <c r="M684" t="inlineStr">
        <is>
          <t>Ext. Bourses 2021</t>
        </is>
      </c>
      <c r="N684" t="inlineStr">
        <is>
          <t>N/A</t>
        </is>
      </c>
      <c r="O684" t="inlineStr">
        <is>
          <t>N/A</t>
        </is>
      </c>
      <c r="P684" t="inlineStr">
        <is>
          <t>Convention minère et Code minier (Fond Social et Fond d'appui au developpement local)</t>
        </is>
      </c>
      <c r="Q684" t="inlineStr">
        <is>
          <t>NA</t>
        </is>
      </c>
      <c r="R684" s="22"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2" t="n">
        <v>-17750</v>
      </c>
      <c r="K685" s="23"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2"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2" t="n">
        <v>3413306.25</v>
      </c>
      <c r="K686" s="23"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2"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2" t="n">
        <v>3394900</v>
      </c>
      <c r="K687" t="inlineStr">
        <is>
          <t>30/10/2023</t>
        </is>
      </c>
      <c r="L687" t="inlineStr">
        <is>
          <t>Appuis divers</t>
        </is>
      </c>
      <c r="R687" s="22"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2" t="n">
        <v>3386029.8</v>
      </c>
      <c r="L688" t="inlineStr">
        <is>
          <t>APPUIS DIVERS</t>
        </is>
      </c>
      <c r="R688" s="22"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2"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2" t="n">
        <v>3331000.42857143</v>
      </c>
      <c r="L690" t="inlineStr">
        <is>
          <t>APPUIS DIVERS</t>
        </is>
      </c>
      <c r="R690" s="22"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2" t="n">
        <v>46000</v>
      </c>
      <c r="K691" s="23"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2"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2" t="n">
        <v>45000</v>
      </c>
      <c r="K692" s="23"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2"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2" t="n">
        <v>77500</v>
      </c>
      <c r="K693" s="23"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2"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2" t="n">
        <v>400000</v>
      </c>
      <c r="K694" s="23"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2"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2" t="n">
        <v>46000</v>
      </c>
      <c r="K695" s="23"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2"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2" t="n">
        <v>3331000.42857143</v>
      </c>
      <c r="L696" t="inlineStr">
        <is>
          <t>APPUIS DIVERS</t>
        </is>
      </c>
      <c r="R696" s="22"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2" t="n">
        <v>45000</v>
      </c>
      <c r="K697" s="23"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2"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2" t="n">
        <v>3331000.42857143</v>
      </c>
      <c r="L698" t="inlineStr">
        <is>
          <t>APPUIS DIVERS</t>
        </is>
      </c>
      <c r="R698" s="22"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2" t="n">
        <v>3331000.42857143</v>
      </c>
      <c r="L699" t="inlineStr">
        <is>
          <t>APPUIS DIVERS</t>
        </is>
      </c>
      <c r="R699" s="22"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2" t="n">
        <v>100000</v>
      </c>
      <c r="K700" s="23"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2"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2" t="n">
        <v>3331000.42857143</v>
      </c>
      <c r="L701" t="inlineStr">
        <is>
          <t>APPUIS DIVERS</t>
        </is>
      </c>
      <c r="R701" s="22"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2" t="n">
        <v>5023852.5</v>
      </c>
      <c r="K702" s="23"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2"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2" t="n">
        <v>5000000</v>
      </c>
      <c r="K703" s="23"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2"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2" t="n">
        <v>3000000</v>
      </c>
      <c r="K704" s="23"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2"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2" t="n">
        <v>3331000.42857143</v>
      </c>
      <c r="L705" t="inlineStr">
        <is>
          <t>APPUIS DIVERS</t>
        </is>
      </c>
      <c r="R705" s="22"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2" t="n">
        <v>797999.11</v>
      </c>
      <c r="K706" s="23"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2"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2" t="n">
        <v>244917.31</v>
      </c>
      <c r="K707" s="23" t="n">
        <v>45546</v>
      </c>
      <c r="M707" t="inlineStr">
        <is>
          <t>TERRASSEMENT</t>
        </is>
      </c>
      <c r="N707" t="inlineStr">
        <is>
          <t>N/A</t>
        </is>
      </c>
      <c r="O707" t="inlineStr">
        <is>
          <t>N/A</t>
        </is>
      </c>
      <c r="P707" t="inlineStr">
        <is>
          <t>Convention minère et Code minier (Fond Social et Fond d'appui au developpement local)</t>
        </is>
      </c>
      <c r="Q707" t="inlineStr">
        <is>
          <t>NA</t>
        </is>
      </c>
      <c r="R707" s="22"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2" t="n">
        <v>1666954.58</v>
      </c>
      <c r="K708" s="23" t="n">
        <v>45546</v>
      </c>
      <c r="M708" t="inlineStr">
        <is>
          <t>FONDATIONS</t>
        </is>
      </c>
      <c r="N708" t="inlineStr">
        <is>
          <t>N/A</t>
        </is>
      </c>
      <c r="O708" t="inlineStr">
        <is>
          <t>N/A</t>
        </is>
      </c>
      <c r="P708" t="inlineStr">
        <is>
          <t>Convention minère et Code minier (Fond Social et Fond d'appui au developpement local)</t>
        </is>
      </c>
      <c r="Q708" t="inlineStr">
        <is>
          <t>NA</t>
        </is>
      </c>
      <c r="R708" s="22"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2" t="n">
        <v>609671.09</v>
      </c>
      <c r="K709" s="23" t="n">
        <v>45546</v>
      </c>
      <c r="M709" t="inlineStr">
        <is>
          <t>DALLAGE</t>
        </is>
      </c>
      <c r="N709" t="inlineStr">
        <is>
          <t>N/A</t>
        </is>
      </c>
      <c r="O709" t="inlineStr">
        <is>
          <t>N/A</t>
        </is>
      </c>
      <c r="P709" t="inlineStr">
        <is>
          <t>Convention minère et Code minier (Fond Social et Fond d'appui au developpement local)</t>
        </is>
      </c>
      <c r="Q709" t="inlineStr">
        <is>
          <t>NA</t>
        </is>
      </c>
      <c r="R709" s="22"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2" t="n">
        <v>1872904.4</v>
      </c>
      <c r="K710" s="23"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2"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2" t="n">
        <v>3331000.42857143</v>
      </c>
      <c r="L711" t="inlineStr">
        <is>
          <t>APPUIS DIVERS</t>
        </is>
      </c>
      <c r="R711" s="22"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2" t="n">
        <v>332034.39</v>
      </c>
      <c r="K712" s="23" t="n">
        <v>45546</v>
      </c>
      <c r="M712" t="inlineStr">
        <is>
          <t>ENDUIT</t>
        </is>
      </c>
      <c r="N712" t="inlineStr">
        <is>
          <t>N/A</t>
        </is>
      </c>
      <c r="O712" t="inlineStr">
        <is>
          <t>N/A</t>
        </is>
      </c>
      <c r="P712" t="inlineStr">
        <is>
          <t>Convention minère et Code minier (Fond Social et Fond d'appui au developpement local)</t>
        </is>
      </c>
      <c r="Q712" t="inlineStr">
        <is>
          <t>NA</t>
        </is>
      </c>
      <c r="R712" s="22"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2" t="n">
        <v>1968401.77</v>
      </c>
      <c r="K713" s="23"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2"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2" t="n">
        <v>3300000</v>
      </c>
      <c r="K714" t="inlineStr">
        <is>
          <t>2024-06-30</t>
        </is>
      </c>
      <c r="L714" t="inlineStr">
        <is>
          <t>Appuis divers</t>
        </is>
      </c>
      <c r="R714" s="22"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2" t="n">
        <v>3299999.52</v>
      </c>
      <c r="K715" s="23" t="n">
        <v>44701</v>
      </c>
      <c r="L715" t="inlineStr">
        <is>
          <t>SF General</t>
        </is>
      </c>
      <c r="R715" s="22"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2" t="n">
        <v>1283450.56</v>
      </c>
      <c r="K716" s="23" t="n">
        <v>45546</v>
      </c>
      <c r="M716" t="inlineStr">
        <is>
          <t>PEINTURE</t>
        </is>
      </c>
      <c r="N716" t="inlineStr">
        <is>
          <t>N/A</t>
        </is>
      </c>
      <c r="O716" t="inlineStr">
        <is>
          <t>N/A</t>
        </is>
      </c>
      <c r="P716" t="inlineStr">
        <is>
          <t>Convention minère et Code minier (Fond Social et Fond d'appui au developpement local)</t>
        </is>
      </c>
      <c r="Q716" t="inlineStr">
        <is>
          <t>NA</t>
        </is>
      </c>
      <c r="R716" s="22"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2" t="n">
        <v>505401.42</v>
      </c>
      <c r="K717" s="23"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2"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2" t="n">
        <v>844551.04</v>
      </c>
      <c r="K718" s="23" t="n">
        <v>45546</v>
      </c>
      <c r="M718" t="inlineStr">
        <is>
          <t>ELECTRICITE</t>
        </is>
      </c>
      <c r="P718" t="inlineStr">
        <is>
          <t>Convention minère et Code minier (Fond Social et Fond d'appui au developpement local)</t>
        </is>
      </c>
      <c r="R718" s="22"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2" t="n">
        <v>465501.46</v>
      </c>
      <c r="K719" s="23"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2"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2" t="n">
        <v>500000</v>
      </c>
      <c r="K720" s="23"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2"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2" t="n">
        <v>36483326.3606453</v>
      </c>
      <c r="K721" s="23"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2"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2" t="n">
        <v>185000</v>
      </c>
      <c r="K722" s="23"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2"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2" t="n">
        <v>168000</v>
      </c>
      <c r="K723" s="23"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2"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2" t="n">
        <v>3200000</v>
      </c>
      <c r="K724" t="inlineStr">
        <is>
          <t>13/07/2023</t>
        </is>
      </c>
      <c r="L724" t="inlineStr">
        <is>
          <t>Appuis divers</t>
        </is>
      </c>
      <c r="R724" s="22"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2" t="n">
        <v>450000.43</v>
      </c>
      <c r="K725" s="23"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2"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2" t="n">
        <v>3199999.3</v>
      </c>
      <c r="K726" s="23" t="n">
        <v>44617</v>
      </c>
      <c r="L726" t="inlineStr">
        <is>
          <t>SF General</t>
        </is>
      </c>
      <c r="R726" s="22"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2" t="n">
        <v>2499998.44</v>
      </c>
      <c r="K727" s="23"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2"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2" t="n">
        <v>150000.14</v>
      </c>
      <c r="K728" s="23"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2"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2" t="n">
        <v>30001.02</v>
      </c>
      <c r="K729" s="23"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2"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2" t="n">
        <v>280001.42</v>
      </c>
      <c r="K730" s="23"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2"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2" t="n">
        <v>111602.33</v>
      </c>
      <c r="K731" s="23"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2"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2" t="n">
        <v>3192826.98</v>
      </c>
      <c r="K732" s="23" t="n">
        <v>45398</v>
      </c>
      <c r="M732" t="inlineStr">
        <is>
          <t>137382</t>
        </is>
      </c>
      <c r="N732" t="inlineStr">
        <is>
          <t>N/A</t>
        </is>
      </c>
      <c r="O732" t="inlineStr">
        <is>
          <t>N/A</t>
        </is>
      </c>
      <c r="P732" t="inlineStr">
        <is>
          <t>Convention minère et Code minier (Fond Social et Fond d'appui au developpement local)</t>
        </is>
      </c>
      <c r="Q732" t="inlineStr">
        <is>
          <t>NA</t>
        </is>
      </c>
      <c r="R732" s="22"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2" t="n">
        <v>7497.22</v>
      </c>
      <c r="K733" s="23"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2"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2" t="n">
        <v>30001.02</v>
      </c>
      <c r="K734" s="23"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2"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2" t="n">
        <v>49997.65</v>
      </c>
      <c r="K735" s="23"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2"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2" t="n">
        <v>9998.32</v>
      </c>
      <c r="K736" s="23"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2"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2" t="n">
        <v>3168000</v>
      </c>
      <c r="K737" s="23" t="n">
        <v>45322</v>
      </c>
      <c r="M737" t="inlineStr">
        <is>
          <t>135494</t>
        </is>
      </c>
      <c r="N737" t="inlineStr">
        <is>
          <t>N/A</t>
        </is>
      </c>
      <c r="O737" t="inlineStr">
        <is>
          <t>N/A</t>
        </is>
      </c>
      <c r="P737" t="inlineStr">
        <is>
          <t>Convention minère et Code minier (Fond Social et Fond d'appui au developpement local)</t>
        </is>
      </c>
      <c r="Q737" t="inlineStr">
        <is>
          <t>NA</t>
        </is>
      </c>
      <c r="R737" s="22"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2"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2" t="n">
        <v>3150000</v>
      </c>
      <c r="K739" s="23"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2"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2" t="n">
        <v>224000</v>
      </c>
      <c r="K740" s="23"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2"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2" t="n">
        <v>3098000</v>
      </c>
      <c r="K741" s="23" t="n">
        <v>45581</v>
      </c>
      <c r="R741" s="22"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2" t="n">
        <v>6194984</v>
      </c>
      <c r="K742" s="23"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2"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2" t="n">
        <v>3000000.12</v>
      </c>
      <c r="K743" s="23" t="n">
        <v>44701</v>
      </c>
      <c r="L743" t="inlineStr">
        <is>
          <t>SF General</t>
        </is>
      </c>
      <c r="R743" s="22"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2" t="n">
        <v>3856921.2</v>
      </c>
      <c r="K744" s="23"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2"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2" t="n">
        <v>599997.3</v>
      </c>
      <c r="K745" s="23" t="n">
        <v>45596</v>
      </c>
      <c r="M745" t="inlineStr">
        <is>
          <t>AMENE ET REPLI</t>
        </is>
      </c>
      <c r="N745" t="inlineStr">
        <is>
          <t>N/A</t>
        </is>
      </c>
      <c r="O745" t="inlineStr">
        <is>
          <t>N/A</t>
        </is>
      </c>
      <c r="P745" t="inlineStr">
        <is>
          <t>Convention minère et Code minier (Fond Social et Fond d'appui au developpement local)</t>
        </is>
      </c>
      <c r="Q745" t="inlineStr">
        <is>
          <t>NA</t>
        </is>
      </c>
      <c r="R745" s="22"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2" t="n">
        <v>2037731.81</v>
      </c>
      <c r="K746" s="23" t="n">
        <v>45596</v>
      </c>
      <c r="M746" t="inlineStr">
        <is>
          <t>FONDATION</t>
        </is>
      </c>
      <c r="N746" t="inlineStr">
        <is>
          <t>N/A</t>
        </is>
      </c>
      <c r="O746" t="inlineStr">
        <is>
          <t>N/A</t>
        </is>
      </c>
      <c r="P746" t="inlineStr">
        <is>
          <t>Convention minère et Code minier (Fond Social et Fond d'appui au developpement local)</t>
        </is>
      </c>
      <c r="Q746" t="inlineStr">
        <is>
          <t>NA</t>
        </is>
      </c>
      <c r="R746" s="22"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2" t="n">
        <v>3590734.14</v>
      </c>
      <c r="K747" s="23" t="n">
        <v>45596</v>
      </c>
      <c r="M747" t="inlineStr">
        <is>
          <t>ELEVATION</t>
        </is>
      </c>
      <c r="N747" t="inlineStr">
        <is>
          <t>N/A</t>
        </is>
      </c>
      <c r="O747" t="inlineStr">
        <is>
          <t>N/A</t>
        </is>
      </c>
      <c r="P747" t="inlineStr">
        <is>
          <t>Convention minère et Code minier (Fond Social et Fond d'appui au developpement local)</t>
        </is>
      </c>
      <c r="Q747" t="inlineStr">
        <is>
          <t>NA</t>
        </is>
      </c>
      <c r="R747" s="22"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2" t="n">
        <v>347999.76</v>
      </c>
      <c r="K748" s="23"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2"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2" t="n">
        <v>2468001.08</v>
      </c>
      <c r="K749" s="23"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2"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2" t="n">
        <v>100002.57</v>
      </c>
      <c r="K750" s="23" t="n">
        <v>45596</v>
      </c>
      <c r="M750" t="inlineStr">
        <is>
          <t>ELECTRICITE</t>
        </is>
      </c>
      <c r="N750" t="inlineStr">
        <is>
          <t>N/A</t>
        </is>
      </c>
      <c r="O750" t="inlineStr">
        <is>
          <t>N/A</t>
        </is>
      </c>
      <c r="P750" t="inlineStr">
        <is>
          <t>Convention minère et Code minier (Fond Social et Fond d'appui au developpement local)</t>
        </is>
      </c>
      <c r="Q750" t="inlineStr">
        <is>
          <t>NA</t>
        </is>
      </c>
      <c r="R750" s="22"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2" t="n">
        <v>436689.14</v>
      </c>
      <c r="K751" s="23" t="n">
        <v>45596</v>
      </c>
      <c r="M751" t="inlineStr">
        <is>
          <t>PEINTURE</t>
        </is>
      </c>
      <c r="N751" t="inlineStr">
        <is>
          <t>N/A</t>
        </is>
      </c>
      <c r="O751" t="inlineStr">
        <is>
          <t>N/A</t>
        </is>
      </c>
      <c r="P751" t="inlineStr">
        <is>
          <t>Convention minère et Code minier (Fond Social et Fond d'appui au developpement local)</t>
        </is>
      </c>
      <c r="Q751" t="inlineStr">
        <is>
          <t>NA</t>
        </is>
      </c>
      <c r="R751" s="22"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2" t="n">
        <v>21842489.2</v>
      </c>
      <c r="K752" s="23"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2"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2" t="n">
        <v>275597.32</v>
      </c>
      <c r="K753" s="23"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2"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2" t="n">
        <v>378000.52</v>
      </c>
      <c r="K754" s="23"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2"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2" t="n">
        <v>242002.16</v>
      </c>
      <c r="K755" s="23"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2"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2" t="n">
        <v>3000000</v>
      </c>
      <c r="K756" s="23"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2"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2" t="n">
        <v>3000000</v>
      </c>
      <c r="K757" t="inlineStr">
        <is>
          <t>2024-06-10</t>
        </is>
      </c>
      <c r="L757" t="inlineStr">
        <is>
          <t>Appuis divers</t>
        </is>
      </c>
      <c r="R757" s="22"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2" t="n">
        <v>3000000</v>
      </c>
      <c r="K758" t="inlineStr">
        <is>
          <t>2024-06-10</t>
        </is>
      </c>
      <c r="L758" t="inlineStr">
        <is>
          <t>Appuis divers</t>
        </is>
      </c>
      <c r="R758" s="22"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2" t="n">
        <v>3000000</v>
      </c>
      <c r="K759" s="23" t="n">
        <v>44999</v>
      </c>
      <c r="M759" t="inlineStr">
        <is>
          <t>microfinance</t>
        </is>
      </c>
      <c r="R759" s="22"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2" t="n">
        <v>3000000</v>
      </c>
      <c r="K760" t="inlineStr">
        <is>
          <t>16/10/2023</t>
        </is>
      </c>
      <c r="L760" t="inlineStr">
        <is>
          <t>Appuis divers</t>
        </is>
      </c>
      <c r="R760" s="22"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2" t="n">
        <v>3000000</v>
      </c>
      <c r="K761" t="inlineStr">
        <is>
          <t>31/10/2023</t>
        </is>
      </c>
      <c r="L761" t="inlineStr">
        <is>
          <t>Appuis divers</t>
        </is>
      </c>
      <c r="R761" s="22"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2" t="n">
        <v>3000000</v>
      </c>
      <c r="K762" s="23" t="n">
        <v>45097</v>
      </c>
      <c r="L762" t="inlineStr">
        <is>
          <t>RSE</t>
        </is>
      </c>
      <c r="R762" s="22"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2" t="n">
        <v>3000000</v>
      </c>
      <c r="K763" s="23" t="n">
        <v>44301</v>
      </c>
      <c r="L763" t="inlineStr">
        <is>
          <t>Appuis divers</t>
        </is>
      </c>
      <c r="M763" t="inlineStr">
        <is>
          <t>N/A</t>
        </is>
      </c>
      <c r="N763" t="inlineStr">
        <is>
          <t>N/A</t>
        </is>
      </c>
      <c r="O763" t="inlineStr">
        <is>
          <t>N/A</t>
        </is>
      </c>
      <c r="P763" t="inlineStr">
        <is>
          <t>Nc</t>
        </is>
      </c>
      <c r="R763" s="22"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2" t="n">
        <v>140001.88</v>
      </c>
      <c r="K764" s="23"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2"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2"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2" t="n">
        <v>2995300</v>
      </c>
      <c r="O766" t="inlineStr">
        <is>
          <t>SF General</t>
        </is>
      </c>
      <c r="P766" t="inlineStr">
        <is>
          <t>Obligation de développement social: art.15 de l'avenant 1 à la convention minière de Sabodala du 23 mars 2005</t>
        </is>
      </c>
      <c r="R766" s="22"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2" t="n">
        <v>4168452.8</v>
      </c>
      <c r="K767" s="23" t="n">
        <v>45626</v>
      </c>
      <c r="M767" t="inlineStr">
        <is>
          <t>Construction et Equipements d'une Salle d Classe à l'école</t>
        </is>
      </c>
      <c r="P767" t="inlineStr">
        <is>
          <t>Convention minère et Code minier (Fond Social et Fond d'appui au developpement local)</t>
        </is>
      </c>
      <c r="R767" s="22"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2" t="n">
        <v>4444919.13</v>
      </c>
      <c r="K768" s="23" t="n">
        <v>45626</v>
      </c>
      <c r="M768" t="inlineStr">
        <is>
          <t>Travaux d'achèvement construction de la case de santé</t>
        </is>
      </c>
      <c r="P768" t="inlineStr">
        <is>
          <t>Convention minère et Code minier (Fond Social et Fond d'appui au developpement local)</t>
        </is>
      </c>
      <c r="R768" s="22"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2" t="n">
        <v>467835.37</v>
      </c>
      <c r="K769" s="23" t="n">
        <v>45626</v>
      </c>
      <c r="M769" t="inlineStr">
        <is>
          <t>la toilette à Bérola dans la commune de KHOSSANTO</t>
        </is>
      </c>
      <c r="P769" t="inlineStr">
        <is>
          <t>Convention minère et Code minier (Fond Social et Fond d'appui au developpement local)</t>
        </is>
      </c>
      <c r="R769" s="22"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2" t="n">
        <v>2552500</v>
      </c>
      <c r="K770" s="23" t="n">
        <v>45626</v>
      </c>
      <c r="M770" t="inlineStr">
        <is>
          <t>Equipement de 01 Forage avec système de pompage Solaire</t>
        </is>
      </c>
      <c r="P770" t="inlineStr">
        <is>
          <t>Convention minère et Code minier (Fond Social et Fond d'appui au developpement local)</t>
        </is>
      </c>
      <c r="R770" s="22"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2" t="n">
        <v>2916585</v>
      </c>
      <c r="Q771" t="inlineStr">
        <is>
          <t>TOUS</t>
        </is>
      </c>
      <c r="R771" s="22"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2" t="n">
        <v>7226136</v>
      </c>
      <c r="K772" s="23" t="n">
        <v>45626</v>
      </c>
      <c r="M772" t="inlineStr">
        <is>
          <t>Projet de Construction d'un Mur de clôture de 400ml école</t>
        </is>
      </c>
      <c r="P772" t="inlineStr">
        <is>
          <t>Convention minère et Code minier (Fond Social et Fond d'appui au developpement local)</t>
        </is>
      </c>
      <c r="R772" s="22"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2" t="n">
        <v>2916584</v>
      </c>
      <c r="Q773" t="inlineStr">
        <is>
          <t>TOUS</t>
        </is>
      </c>
      <c r="R773" s="22"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2" t="n">
        <v>2890000</v>
      </c>
      <c r="O774" t="inlineStr">
        <is>
          <t>SF General</t>
        </is>
      </c>
      <c r="P774" t="inlineStr">
        <is>
          <t>Obligation de développement social: art.15 de l'avenant 1 à la convention minière de Sabodala du 23 mars 2005</t>
        </is>
      </c>
      <c r="R774" s="22"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2" t="n">
        <v>2885000</v>
      </c>
      <c r="L775" t="inlineStr">
        <is>
          <t>APPUIS DIVERS (INSTALLATION ELECTRIQUE DE FRIGO SOLAIRE)</t>
        </is>
      </c>
      <c r="R775" s="22"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2" t="n">
        <v>2821846</v>
      </c>
      <c r="R776" s="22"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2" t="n">
        <v>2821845</v>
      </c>
      <c r="R777" s="22"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2" t="n">
        <v>2762000</v>
      </c>
      <c r="L778" t="inlineStr">
        <is>
          <t>APPUIS DIVERS (VIVRES POUR LES MENAGES VULNERABLES DE KOULIMINDE)</t>
        </is>
      </c>
      <c r="R778" s="22"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2" t="n">
        <v>100000</v>
      </c>
      <c r="K779" s="23" t="n">
        <v>45645</v>
      </c>
      <c r="M779" t="inlineStr">
        <is>
          <t>Remboursement paiement du journaliste dans le cadre de la co</t>
        </is>
      </c>
      <c r="P779" t="inlineStr">
        <is>
          <t>Convention minère et Code minier (Fond Social et Fond d'appui au developpement local)</t>
        </is>
      </c>
      <c r="R779" s="22"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2" t="n">
        <v>2761200</v>
      </c>
      <c r="L780" t="inlineStr">
        <is>
          <t>APPUIS DIVERS</t>
        </is>
      </c>
      <c r="R780" s="22"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2" t="n">
        <v>-118000</v>
      </c>
      <c r="K781" s="23" t="n">
        <v>45645</v>
      </c>
      <c r="M781" t="inlineStr">
        <is>
          <t>Frais de transport de la victime de l'accident pour son</t>
        </is>
      </c>
      <c r="P781" t="inlineStr">
        <is>
          <t>Convention minère et Code minier (Fond Social et Fond d'appui au developpement local)</t>
        </is>
      </c>
      <c r="R781" s="22"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2" t="n">
        <v>300000</v>
      </c>
      <c r="K782" s="23" t="n">
        <v>45649</v>
      </c>
      <c r="M782" t="inlineStr">
        <is>
          <t>Budget frais de couverture mediatique de l'atelier de restit</t>
        </is>
      </c>
      <c r="P782" t="inlineStr">
        <is>
          <t>Convention minère et Code minier (Fond Social et Fond d'appui au developpement local)</t>
        </is>
      </c>
      <c r="R782" s="22"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2" t="n">
        <v>2750000</v>
      </c>
      <c r="K783" t="inlineStr">
        <is>
          <t>07/08/2023</t>
        </is>
      </c>
      <c r="L783" t="inlineStr">
        <is>
          <t>Appuis divers</t>
        </is>
      </c>
      <c r="R783" s="22"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2" t="n">
        <v>2700000</v>
      </c>
      <c r="K784" s="23" t="n">
        <v>44804</v>
      </c>
      <c r="L784" t="inlineStr">
        <is>
          <t>SF General</t>
        </is>
      </c>
      <c r="R784" s="22"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2" t="n">
        <v>3000000</v>
      </c>
      <c r="K785" s="23" t="n">
        <v>45657</v>
      </c>
      <c r="M785" t="inlineStr">
        <is>
          <t>Support to Cissokho to recover the lost crop</t>
        </is>
      </c>
      <c r="P785" t="inlineStr">
        <is>
          <t>Convention minère et Code minier (Fond Social et Fond d'appui au developpement local)</t>
        </is>
      </c>
      <c r="R785" s="22"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2" t="n">
        <v>2690393.5</v>
      </c>
      <c r="K786" s="23" t="n">
        <v>45184</v>
      </c>
      <c r="M786" t="inlineStr">
        <is>
          <t>Appuis divers</t>
        </is>
      </c>
      <c r="R786" s="22"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2" t="n">
        <v>6000000</v>
      </c>
      <c r="K787" s="23" t="n">
        <v>45657</v>
      </c>
      <c r="M787" t="inlineStr">
        <is>
          <t>Subvention d'un poullailer au GIE FANDOU ALMOUNDO</t>
        </is>
      </c>
      <c r="P787" t="inlineStr">
        <is>
          <t>Convention minère et Code minier (Fond Social et Fond d'appui au developpement local)</t>
        </is>
      </c>
      <c r="R787" s="22"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2" t="n">
        <v>13000000</v>
      </c>
      <c r="K788" s="23" t="n">
        <v>45657</v>
      </c>
      <c r="M788" t="inlineStr">
        <is>
          <t>Support to Saraya Health Center committee</t>
        </is>
      </c>
      <c r="P788" t="inlineStr">
        <is>
          <t>Convention minère et Code minier (Fond Social et Fond d'appui au developpement local)</t>
        </is>
      </c>
      <c r="R788" s="22"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2" t="n">
        <v>2649500</v>
      </c>
      <c r="K789" t="inlineStr">
        <is>
          <t>11/07/2023</t>
        </is>
      </c>
      <c r="L789" t="inlineStr">
        <is>
          <t>Appuis divers</t>
        </is>
      </c>
      <c r="R789" s="22"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2" t="n">
        <v>2636029.8</v>
      </c>
      <c r="L790" t="inlineStr">
        <is>
          <t>APPUIS DIVERS</t>
        </is>
      </c>
      <c r="R790" s="22"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2" t="n">
        <v>500000</v>
      </c>
      <c r="K791" s="23" t="n">
        <v>45350</v>
      </c>
      <c r="R791" s="22"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2" t="n">
        <v>2636029.8</v>
      </c>
      <c r="L792" t="inlineStr">
        <is>
          <t>APPUIS DIVERS</t>
        </is>
      </c>
      <c r="R792" s="22"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2" t="n">
        <v>3000000</v>
      </c>
      <c r="K793" s="23" t="n">
        <v>45362</v>
      </c>
      <c r="R793" s="22"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2" t="n">
        <v>3000000</v>
      </c>
      <c r="K794" s="23" t="n">
        <v>45362</v>
      </c>
      <c r="R794" s="22"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2" t="n">
        <v>3000000</v>
      </c>
      <c r="K795" s="23" t="n">
        <v>45362</v>
      </c>
      <c r="R795" s="22"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2" t="n">
        <v>3000000</v>
      </c>
      <c r="K796" s="23" t="n">
        <v>45362</v>
      </c>
      <c r="R796" s="22"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2" t="n">
        <v>2636029.8</v>
      </c>
      <c r="L797" t="inlineStr">
        <is>
          <t>APPUIS DIVERS</t>
        </is>
      </c>
      <c r="R797" s="22"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2" t="n">
        <v>2636029.8</v>
      </c>
      <c r="L798" t="inlineStr">
        <is>
          <t>APPUIS DIVERS</t>
        </is>
      </c>
      <c r="R798" s="22"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2" t="n">
        <v>44055</v>
      </c>
      <c r="K799" t="inlineStr">
        <is>
          <t>Donation</t>
        </is>
      </c>
      <c r="L799" t="inlineStr">
        <is>
          <t>Donation</t>
        </is>
      </c>
      <c r="M799" t="inlineStr">
        <is>
          <t>Néant</t>
        </is>
      </c>
      <c r="N799" t="inlineStr">
        <is>
          <t>Néant</t>
        </is>
      </c>
      <c r="O799" t="inlineStr">
        <is>
          <t>NC</t>
        </is>
      </c>
      <c r="R799" s="22"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2" t="n">
        <v>2600000</v>
      </c>
      <c r="K800" t="inlineStr">
        <is>
          <t>2024-06-30</t>
        </is>
      </c>
      <c r="L800" t="inlineStr">
        <is>
          <t>Appuis divers</t>
        </is>
      </c>
      <c r="R800" s="22"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2" t="n">
        <v>2600000</v>
      </c>
      <c r="Q801" t="inlineStr">
        <is>
          <t>TOUS</t>
        </is>
      </c>
      <c r="R801" s="22"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2" t="n">
        <v>2567500</v>
      </c>
      <c r="K802" s="23" t="n">
        <v>45391</v>
      </c>
      <c r="R802" s="22"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2" t="n">
        <v>2545136</v>
      </c>
      <c r="K803" t="inlineStr">
        <is>
          <t>27/12/2023</t>
        </is>
      </c>
      <c r="L803" t="inlineStr">
        <is>
          <t>Appuis divers</t>
        </is>
      </c>
      <c r="R803" s="22"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2" t="n">
        <v>400000</v>
      </c>
      <c r="K804" s="23" t="n">
        <v>45413</v>
      </c>
      <c r="R804" s="22"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2" t="n">
        <v>2516799.8</v>
      </c>
      <c r="K805" s="23" t="n">
        <v>44617</v>
      </c>
      <c r="L805" t="inlineStr">
        <is>
          <t>SF General</t>
        </is>
      </c>
      <c r="R805" s="22"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2" t="n">
        <v>2513250</v>
      </c>
      <c r="K806" s="23"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2"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2" t="n">
        <v>2000000</v>
      </c>
      <c r="K807" s="23" t="n">
        <v>45468</v>
      </c>
      <c r="R807" s="22"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2" t="n">
        <v>300000</v>
      </c>
      <c r="K808" s="23" t="n">
        <v>45293</v>
      </c>
      <c r="R808" s="22"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2" t="n">
        <v>100000</v>
      </c>
      <c r="K809" s="23" t="n">
        <v>45294</v>
      </c>
      <c r="R809" s="22"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2" t="n">
        <v>2500000</v>
      </c>
      <c r="K810" t="inlineStr">
        <is>
          <t>2024-04-05</t>
        </is>
      </c>
      <c r="L810" t="inlineStr">
        <is>
          <t>Appuis divers</t>
        </is>
      </c>
      <c r="R810" s="22"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2" t="n">
        <v>50000</v>
      </c>
      <c r="K811" s="23" t="n">
        <v>45300</v>
      </c>
      <c r="R811" s="22"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2" t="n">
        <v>2500000</v>
      </c>
      <c r="K812" t="inlineStr">
        <is>
          <t>2024-06-30</t>
        </is>
      </c>
      <c r="L812" t="inlineStr">
        <is>
          <t>Appuis divers</t>
        </is>
      </c>
      <c r="R812" s="22"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2" t="n">
        <v>2500000</v>
      </c>
      <c r="K813" s="23" t="n">
        <v>45454</v>
      </c>
      <c r="L813" t="inlineStr">
        <is>
          <t>APPUIS DIVERS</t>
        </is>
      </c>
      <c r="R813" s="22"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2" t="n">
        <v>100000</v>
      </c>
      <c r="K814" s="23" t="n">
        <v>45300</v>
      </c>
      <c r="R814" s="22"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2" t="n">
        <v>100000</v>
      </c>
      <c r="K815" s="23" t="n">
        <v>45301</v>
      </c>
      <c r="R815" s="22"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2" t="n">
        <v>100000</v>
      </c>
      <c r="K816" s="23" t="n">
        <v>45301</v>
      </c>
      <c r="R816" s="22"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2" t="n">
        <v>100000</v>
      </c>
      <c r="K817" s="23" t="n">
        <v>45301</v>
      </c>
      <c r="R817" s="22"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2" t="n">
        <v>100000</v>
      </c>
      <c r="K818" s="23" t="n">
        <v>45301</v>
      </c>
      <c r="R818" s="22"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2" t="n">
        <v>100000</v>
      </c>
      <c r="K819" s="23" t="n">
        <v>45310</v>
      </c>
      <c r="R819" s="22"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2"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2" t="n">
        <v>300000</v>
      </c>
      <c r="K821" s="23" t="n">
        <v>45313</v>
      </c>
      <c r="R821" s="22"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2" t="n">
        <v>150000</v>
      </c>
      <c r="K822" s="23" t="n">
        <v>45316</v>
      </c>
      <c r="R822" s="22"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2" t="n">
        <v>100000</v>
      </c>
      <c r="K823" s="23" t="n">
        <v>45328</v>
      </c>
      <c r="R823" s="22"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2" t="n">
        <v>100000</v>
      </c>
      <c r="K824" s="23" t="n">
        <v>45323</v>
      </c>
      <c r="R824" s="22"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2" t="n">
        <v>100000</v>
      </c>
      <c r="K825" s="23" t="n">
        <v>45323</v>
      </c>
      <c r="R825" s="22"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2" t="n">
        <v>2413477</v>
      </c>
      <c r="K826" t="inlineStr">
        <is>
          <t>28/12/2023</t>
        </is>
      </c>
      <c r="L826" t="inlineStr">
        <is>
          <t>Appuis divers</t>
        </is>
      </c>
      <c r="R826" s="22"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2" t="n">
        <v>2400000</v>
      </c>
      <c r="K827" s="23" t="n">
        <v>45373</v>
      </c>
      <c r="R827" s="22"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2"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2" t="n">
        <v>100000</v>
      </c>
      <c r="K829" s="23" t="n">
        <v>45328</v>
      </c>
      <c r="R829" s="22"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2" t="n">
        <v>100000</v>
      </c>
      <c r="K830" s="23" t="n">
        <v>45328</v>
      </c>
      <c r="R830" s="22"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2" t="n">
        <v>100000</v>
      </c>
      <c r="K831" s="23" t="n">
        <v>45328</v>
      </c>
      <c r="R831" s="22"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2" t="n">
        <v>100000</v>
      </c>
      <c r="K832" s="23" t="n">
        <v>45335</v>
      </c>
      <c r="R832" s="22"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2" t="n">
        <v>100000</v>
      </c>
      <c r="K833" s="23" t="n">
        <v>45335</v>
      </c>
      <c r="R833" s="22"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2" t="n">
        <v>2386000</v>
      </c>
      <c r="K834" s="23" t="n">
        <v>44236</v>
      </c>
      <c r="L834" t="inlineStr">
        <is>
          <t>Appuis divers</t>
        </is>
      </c>
      <c r="M834" t="inlineStr">
        <is>
          <t>N/A</t>
        </is>
      </c>
      <c r="N834" t="inlineStr">
        <is>
          <t>N/A</t>
        </is>
      </c>
      <c r="O834" t="inlineStr">
        <is>
          <t>N/A</t>
        </is>
      </c>
      <c r="P834" t="inlineStr">
        <is>
          <t>Nc</t>
        </is>
      </c>
      <c r="R834" s="22"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2" t="n">
        <v>189474</v>
      </c>
      <c r="K835" s="23" t="n">
        <v>45335</v>
      </c>
      <c r="R835" s="22"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2" t="n">
        <v>2330000</v>
      </c>
      <c r="L836" t="inlineStr">
        <is>
          <t>APPUIS DIVERS</t>
        </is>
      </c>
      <c r="R836" s="22"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2" t="n">
        <v>2251917</v>
      </c>
      <c r="K837" s="23" t="n">
        <v>45202</v>
      </c>
      <c r="M837" t="inlineStr">
        <is>
          <t>Appuis divers</t>
        </is>
      </c>
      <c r="R837" s="22"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2" t="n">
        <v>2250000</v>
      </c>
      <c r="K838" t="inlineStr">
        <is>
          <t>31/12/2023</t>
        </is>
      </c>
      <c r="L838" t="inlineStr">
        <is>
          <t>Appuis divers</t>
        </is>
      </c>
      <c r="R838" s="22"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2" t="n">
        <v>2250000</v>
      </c>
      <c r="K839" t="inlineStr">
        <is>
          <t>25/08/2023</t>
        </is>
      </c>
      <c r="L839" t="inlineStr">
        <is>
          <t>Appuis divers</t>
        </is>
      </c>
      <c r="R839" s="22"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2" t="n">
        <v>50000</v>
      </c>
      <c r="K840" s="23" t="n">
        <v>45335</v>
      </c>
      <c r="R840" s="22"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2" t="n">
        <v>100000</v>
      </c>
      <c r="K841" s="23" t="n">
        <v>45343</v>
      </c>
      <c r="R841" s="22"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2" t="n">
        <v>100000</v>
      </c>
      <c r="K842" s="23" t="n">
        <v>45343</v>
      </c>
      <c r="R842" s="22"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2" t="n">
        <v>50000</v>
      </c>
      <c r="K843" s="23" t="n">
        <v>45343</v>
      </c>
      <c r="R843" s="22"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2" t="n">
        <v>100000</v>
      </c>
      <c r="K844" s="23" t="n">
        <v>45343</v>
      </c>
      <c r="R844" s="22"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2" t="n">
        <v>100000</v>
      </c>
      <c r="K845" s="23" t="n">
        <v>45343</v>
      </c>
      <c r="R845" s="22"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2" t="n">
        <v>50000</v>
      </c>
      <c r="K846" s="23" t="n">
        <v>45343</v>
      </c>
      <c r="R846" s="22"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2" t="n">
        <v>200000</v>
      </c>
      <c r="K847" s="23" t="n">
        <v>45352</v>
      </c>
      <c r="R847" s="22"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2" t="n">
        <v>2230313</v>
      </c>
      <c r="K848" s="23"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2"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2" t="n">
        <v>2220000</v>
      </c>
      <c r="K849" s="23" t="n">
        <v>45279</v>
      </c>
      <c r="R849" s="22"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2"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2" t="n">
        <v>2180000</v>
      </c>
      <c r="K851" t="inlineStr">
        <is>
          <t>11/07/2023</t>
        </is>
      </c>
      <c r="L851" t="inlineStr">
        <is>
          <t>Appuis divers</t>
        </is>
      </c>
      <c r="R851" s="22"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2" t="n">
        <v>2138002.26</v>
      </c>
      <c r="K852" s="23"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2"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2" t="n">
        <v>100000</v>
      </c>
      <c r="K853" s="23" t="n">
        <v>45365</v>
      </c>
      <c r="R853" s="22"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2" t="n">
        <v>2138002</v>
      </c>
      <c r="K854" s="23"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2"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2" t="n">
        <v>50000</v>
      </c>
      <c r="K855" s="23" t="n">
        <v>45365</v>
      </c>
      <c r="R855" s="22"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2" t="n">
        <v>100000</v>
      </c>
      <c r="K856" s="23" t="n">
        <v>45366</v>
      </c>
      <c r="R856" s="22"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2" t="n">
        <v>2000259.12</v>
      </c>
      <c r="K857" s="23"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2"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2" t="n">
        <v>2000001.82</v>
      </c>
      <c r="K858" s="23"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2"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2" t="n">
        <v>63158</v>
      </c>
      <c r="K859" s="23" t="n">
        <v>45366</v>
      </c>
      <c r="R859" s="22"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2" t="n">
        <v>120800</v>
      </c>
      <c r="K860" s="23" t="n">
        <v>45366</v>
      </c>
      <c r="R860" s="22"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2" t="n">
        <v>120800</v>
      </c>
      <c r="K861" s="23" t="n">
        <v>45366</v>
      </c>
      <c r="R861" s="22"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2" t="n">
        <v>150800</v>
      </c>
      <c r="K862" s="23" t="n">
        <v>45366</v>
      </c>
      <c r="R862" s="22"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2" t="n">
        <v>2000000.31</v>
      </c>
      <c r="K863" s="23"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2"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2" t="n">
        <v>2000000</v>
      </c>
      <c r="K864" s="23"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2"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2" t="n">
        <v>50000</v>
      </c>
      <c r="K865" s="23" t="n">
        <v>45373</v>
      </c>
      <c r="R865" s="22"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2" t="n">
        <v>195000</v>
      </c>
      <c r="K866" s="23" t="n">
        <v>45373</v>
      </c>
      <c r="R866" s="22"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2" t="n">
        <v>195000</v>
      </c>
      <c r="K867" s="23" t="n">
        <v>45373</v>
      </c>
      <c r="R867" s="22"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2" t="n">
        <v>195000</v>
      </c>
      <c r="K868" s="23" t="n">
        <v>45373</v>
      </c>
      <c r="R868" s="22"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2" t="n">
        <v>195000</v>
      </c>
      <c r="K869" s="23" t="n">
        <v>45373</v>
      </c>
      <c r="R869" s="22"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2" t="n">
        <v>100000</v>
      </c>
      <c r="K870" s="23" t="n">
        <v>45385</v>
      </c>
      <c r="R870" s="22"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2" t="n">
        <v>2000000</v>
      </c>
      <c r="K871" s="23"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2"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2" t="n">
        <v>2000000</v>
      </c>
      <c r="K872" s="23" t="n">
        <v>45657</v>
      </c>
      <c r="M872" t="inlineStr">
        <is>
          <t>Subvention pour la prise en charge de la reparation de</t>
        </is>
      </c>
      <c r="P872" t="inlineStr">
        <is>
          <t>Convention minère et Code minier (Fond Social et Fond d'appui au developpement local)</t>
        </is>
      </c>
      <c r="R872" s="22"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2" t="n">
        <v>2000000</v>
      </c>
      <c r="K873" s="23" t="n">
        <v>45457</v>
      </c>
      <c r="R873" s="22"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2" t="n">
        <v>2000000</v>
      </c>
      <c r="K874" t="inlineStr">
        <is>
          <t>2024-06-10</t>
        </is>
      </c>
      <c r="L874" t="inlineStr">
        <is>
          <t>Appuis divers</t>
        </is>
      </c>
      <c r="R874" s="22"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2" t="n">
        <v>2000000</v>
      </c>
      <c r="K875" t="inlineStr">
        <is>
          <t>2024-05-31</t>
        </is>
      </c>
      <c r="L875" t="inlineStr">
        <is>
          <t>Appuis divers</t>
        </is>
      </c>
      <c r="R875" s="22"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2" t="n">
        <v>63158</v>
      </c>
      <c r="K876" s="23" t="n">
        <v>45386</v>
      </c>
      <c r="R876" s="22"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2" t="n">
        <v>50000</v>
      </c>
      <c r="K877" s="23" t="n">
        <v>45386</v>
      </c>
      <c r="R877" s="22"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2" t="n">
        <v>2000000</v>
      </c>
      <c r="K878" s="23" t="n">
        <v>45537</v>
      </c>
      <c r="R878" s="22"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2" t="n">
        <v>2000000</v>
      </c>
      <c r="K879" s="23" t="n">
        <v>45604</v>
      </c>
      <c r="R879" s="22"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2" t="n">
        <v>2000000</v>
      </c>
      <c r="K880" s="23" t="n">
        <v>44946</v>
      </c>
      <c r="M880" t="inlineStr">
        <is>
          <t>Appuis divers</t>
        </is>
      </c>
      <c r="R880" s="22"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2" t="n">
        <v>2000000</v>
      </c>
      <c r="K881" s="23" t="n">
        <v>44963</v>
      </c>
      <c r="M881" t="inlineStr">
        <is>
          <t>Appuis divers</t>
        </is>
      </c>
      <c r="R881" s="22"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2" t="n">
        <v>2000000</v>
      </c>
      <c r="K882" t="inlineStr">
        <is>
          <t>25/07/2023</t>
        </is>
      </c>
      <c r="L882" t="inlineStr">
        <is>
          <t>Appuis divers</t>
        </is>
      </c>
      <c r="R882" s="22"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2" t="n">
        <v>2000000</v>
      </c>
      <c r="K883" t="inlineStr">
        <is>
          <t>11/09/2023</t>
        </is>
      </c>
      <c r="L883" t="inlineStr">
        <is>
          <t>Appuis divers</t>
        </is>
      </c>
      <c r="R883" s="22"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2" t="n">
        <v>140000</v>
      </c>
      <c r="K884" s="23" t="n">
        <v>45390</v>
      </c>
      <c r="R884" s="22"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2" t="n">
        <v>100000</v>
      </c>
      <c r="K885" s="23" t="n">
        <v>45398</v>
      </c>
      <c r="R885" s="22"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2" t="n">
        <v>2000000</v>
      </c>
      <c r="K886" s="23" t="n">
        <v>44851</v>
      </c>
      <c r="L886" t="inlineStr">
        <is>
          <t>SF General</t>
        </is>
      </c>
      <c r="R886" s="22"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2" t="n">
        <v>293000</v>
      </c>
      <c r="K887" s="23" t="n">
        <v>45400</v>
      </c>
      <c r="R887" s="22"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2" t="n">
        <v>100000</v>
      </c>
      <c r="K888" s="23" t="n">
        <v>45400</v>
      </c>
      <c r="R888" s="22"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2" t="n">
        <v>100000</v>
      </c>
      <c r="K889" s="23" t="n">
        <v>45400</v>
      </c>
      <c r="R889" s="22"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2" t="n">
        <v>100000</v>
      </c>
      <c r="K890" s="23" t="n">
        <v>45400</v>
      </c>
      <c r="R890" s="22"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2" t="n">
        <v>100000</v>
      </c>
      <c r="K891" s="23" t="n">
        <v>45408</v>
      </c>
      <c r="R891" s="22"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2" t="n">
        <v>2000000</v>
      </c>
      <c r="O892" t="inlineStr">
        <is>
          <t>SF General</t>
        </is>
      </c>
      <c r="P892" t="inlineStr">
        <is>
          <t>Obligation de développement social: art.15 de l'avenant 1 à la convention minière de Sabodala du 23 mars 2005</t>
        </is>
      </c>
      <c r="R892" s="22"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2" t="n">
        <v>100000</v>
      </c>
      <c r="K893" s="23" t="n">
        <v>45408</v>
      </c>
      <c r="R893" s="22"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2" t="n">
        <v>2000000</v>
      </c>
      <c r="K894" s="23" t="n">
        <v>44307</v>
      </c>
      <c r="L894" t="inlineStr">
        <is>
          <t>Appuis divers</t>
        </is>
      </c>
      <c r="M894" t="inlineStr">
        <is>
          <t>N/A</t>
        </is>
      </c>
      <c r="N894" t="inlineStr">
        <is>
          <t>N/A</t>
        </is>
      </c>
      <c r="O894" t="inlineStr">
        <is>
          <t>N/A</t>
        </is>
      </c>
      <c r="P894" t="inlineStr">
        <is>
          <t>Nc</t>
        </is>
      </c>
      <c r="R894" s="22"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2" t="n">
        <v>100000</v>
      </c>
      <c r="K895" s="23" t="n">
        <v>45414</v>
      </c>
      <c r="R895" s="22"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2" t="n">
        <v>100000</v>
      </c>
      <c r="K896" s="23" t="n">
        <v>45414</v>
      </c>
      <c r="R896" s="22"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2"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2"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2" t="n">
        <v>100000</v>
      </c>
      <c r="K899" s="23" t="n">
        <v>45414</v>
      </c>
      <c r="R899" s="22"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2"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2" t="n">
        <v>1999998.02</v>
      </c>
      <c r="K901" s="23" t="n">
        <v>44701</v>
      </c>
      <c r="L901" t="inlineStr">
        <is>
          <t>SF General</t>
        </is>
      </c>
      <c r="R901" s="22"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2" t="n">
        <v>1989998.69</v>
      </c>
      <c r="K902" s="23"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2"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2" t="n">
        <v>100000</v>
      </c>
      <c r="K903" s="23" t="n">
        <v>45419</v>
      </c>
      <c r="R903" s="22"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2" t="n">
        <v>100000</v>
      </c>
      <c r="K904" s="23" t="n">
        <v>45419</v>
      </c>
      <c r="R904" s="22"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2" t="n">
        <v>100000</v>
      </c>
      <c r="K905" s="23" t="n">
        <v>45419</v>
      </c>
      <c r="R905" s="22"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2" t="n">
        <v>100000</v>
      </c>
      <c r="K906" s="23" t="n">
        <v>45419</v>
      </c>
      <c r="R906" s="22"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2" t="n">
        <v>44042</v>
      </c>
      <c r="K907" t="inlineStr">
        <is>
          <t>APPUI DIVERS</t>
        </is>
      </c>
      <c r="L907" t="inlineStr">
        <is>
          <t>ACHAT GASOIL</t>
        </is>
      </c>
      <c r="M907" t="inlineStr">
        <is>
          <t xml:space="preserve">Néant </t>
        </is>
      </c>
      <c r="N907" t="inlineStr">
        <is>
          <t xml:space="preserve">Néant </t>
        </is>
      </c>
      <c r="O907" t="inlineStr">
        <is>
          <t>NC</t>
        </is>
      </c>
      <c r="R907" s="22"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2" t="n">
        <v>1962217</v>
      </c>
      <c r="K908" s="23" t="n">
        <v>45321</v>
      </c>
      <c r="M908" t="inlineStr">
        <is>
          <t>130382AB</t>
        </is>
      </c>
      <c r="N908" t="inlineStr">
        <is>
          <t>N/A</t>
        </is>
      </c>
      <c r="O908" t="inlineStr">
        <is>
          <t>N/A</t>
        </is>
      </c>
      <c r="P908" t="inlineStr">
        <is>
          <t>Convention minère et Code minier (Fond Social et Fond d'appui au developpement local)</t>
        </is>
      </c>
      <c r="Q908" t="inlineStr">
        <is>
          <t>NA</t>
        </is>
      </c>
      <c r="R908" s="22"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2" t="n">
        <v>100000</v>
      </c>
      <c r="K909" s="23" t="n">
        <v>45420</v>
      </c>
      <c r="R909" s="22"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2" t="n">
        <v>100000</v>
      </c>
      <c r="K910" s="23" t="n">
        <v>45420</v>
      </c>
      <c r="R910" s="22"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2" t="n">
        <v>150000</v>
      </c>
      <c r="K911" s="23" t="n">
        <v>45420</v>
      </c>
      <c r="R911" s="22"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2" t="n">
        <v>100000</v>
      </c>
      <c r="K912" s="23" t="n">
        <v>45420</v>
      </c>
      <c r="R912" s="22"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2" t="n">
        <v>100000</v>
      </c>
      <c r="K913" s="23" t="n">
        <v>45420</v>
      </c>
      <c r="R913" s="22"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2" t="n">
        <v>50000</v>
      </c>
      <c r="K914" s="23" t="n">
        <v>45420</v>
      </c>
      <c r="R914" s="22"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2" t="n">
        <v>1955000</v>
      </c>
      <c r="K915" t="inlineStr">
        <is>
          <t>31/12/2023</t>
        </is>
      </c>
      <c r="L915" t="inlineStr">
        <is>
          <t>Appuis divers</t>
        </is>
      </c>
      <c r="R915" s="22"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2" t="n">
        <v>1928587.17</v>
      </c>
      <c r="K916" s="23"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2"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2" t="n">
        <v>1928209.97</v>
      </c>
      <c r="K917" s="23"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2"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2" t="n">
        <v>1911090.01</v>
      </c>
      <c r="K918" s="23"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2"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2" t="n">
        <v>63157.89</v>
      </c>
      <c r="K919" s="23" t="n">
        <v>45420</v>
      </c>
      <c r="R919" s="22"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2" t="n">
        <v>151000</v>
      </c>
      <c r="K920" s="23" t="n">
        <v>45420</v>
      </c>
      <c r="R920" s="22"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2" t="n">
        <v>1892500</v>
      </c>
      <c r="L921" t="inlineStr">
        <is>
          <t>APPUIS DIVERS</t>
        </is>
      </c>
      <c r="R921" s="22"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2" t="n">
        <v>100000</v>
      </c>
      <c r="K922" s="23" t="n">
        <v>45427</v>
      </c>
      <c r="R922" s="22"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2" t="n">
        <v>1883275.45</v>
      </c>
      <c r="K923" s="23" t="n">
        <v>44957</v>
      </c>
      <c r="M923" t="inlineStr">
        <is>
          <t>Appuis divers</t>
        </is>
      </c>
      <c r="R923" s="22"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2" t="n">
        <v>100000</v>
      </c>
      <c r="K924" s="23" t="n">
        <v>45427</v>
      </c>
      <c r="R924" s="22"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2" t="n">
        <v>100000</v>
      </c>
      <c r="K925" s="23" t="n">
        <v>45427</v>
      </c>
      <c r="R925" s="22"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2" t="n">
        <v>1858200</v>
      </c>
      <c r="K926" t="inlineStr">
        <is>
          <t>31/10/2023</t>
        </is>
      </c>
      <c r="L926" t="inlineStr">
        <is>
          <t>Appuis divers</t>
        </is>
      </c>
      <c r="R926" s="22"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2" t="n">
        <v>200000</v>
      </c>
      <c r="K927" s="23" t="n">
        <v>45427</v>
      </c>
      <c r="R927" s="22"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2" t="n">
        <v>100000</v>
      </c>
      <c r="K928" s="23" t="n">
        <v>45427</v>
      </c>
      <c r="R928" s="22"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2" t="n">
        <v>1854500</v>
      </c>
      <c r="L929" t="inlineStr">
        <is>
          <t>APPUIS DIVERS</t>
        </is>
      </c>
      <c r="R929" s="22"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2" t="n">
        <v>100000</v>
      </c>
      <c r="K930" s="23" t="n">
        <v>45427</v>
      </c>
      <c r="R930" s="22"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2" t="n">
        <v>300000</v>
      </c>
      <c r="K931" s="23" t="n">
        <v>45435</v>
      </c>
      <c r="R931" s="22"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2" t="n">
        <v>1819999.6</v>
      </c>
      <c r="K932" s="23"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2"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2" t="n">
        <v>1808000</v>
      </c>
      <c r="K933" s="23" t="n">
        <v>44358</v>
      </c>
      <c r="L933" t="inlineStr">
        <is>
          <t>Appuis divers</t>
        </is>
      </c>
      <c r="M933" t="inlineStr">
        <is>
          <t>N/A</t>
        </is>
      </c>
      <c r="N933" t="inlineStr">
        <is>
          <t>N/A</t>
        </is>
      </c>
      <c r="O933" t="inlineStr">
        <is>
          <t>N/A</t>
        </is>
      </c>
      <c r="P933" t="inlineStr">
        <is>
          <t>Nc</t>
        </is>
      </c>
      <c r="R933" s="22"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2" t="n">
        <v>1800000</v>
      </c>
      <c r="K934" t="inlineStr">
        <is>
          <t>08/12/2023</t>
        </is>
      </c>
      <c r="L934" t="inlineStr">
        <is>
          <t>Appuis divers</t>
        </is>
      </c>
      <c r="R934" s="22"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2" t="n">
        <v>1800000</v>
      </c>
      <c r="K935" t="inlineStr">
        <is>
          <t>27/03/2023</t>
        </is>
      </c>
      <c r="L935" t="inlineStr">
        <is>
          <t>Appuis divers</t>
        </is>
      </c>
      <c r="R935" s="22"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2" t="n">
        <v>100000</v>
      </c>
      <c r="K936" s="23" t="n">
        <v>45435</v>
      </c>
      <c r="R936" s="22"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2" t="n">
        <v>100000</v>
      </c>
      <c r="K937" s="23" t="n">
        <v>45435</v>
      </c>
      <c r="R937" s="22"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2" t="n">
        <v>1800000</v>
      </c>
      <c r="K938" t="inlineStr">
        <is>
          <t>31/12/2023</t>
        </is>
      </c>
      <c r="L938" t="inlineStr">
        <is>
          <t>Appuis divers</t>
        </is>
      </c>
      <c r="R938" s="22"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2" t="n">
        <v>100000</v>
      </c>
      <c r="K939" s="23" t="n">
        <v>45448</v>
      </c>
      <c r="R939" s="22"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2" t="n">
        <v>1800000</v>
      </c>
      <c r="O940" t="inlineStr">
        <is>
          <t>SF General</t>
        </is>
      </c>
      <c r="P940" t="inlineStr">
        <is>
          <t>Obligation de développement social: art.15 de l'avenant 1 à la convention minière de Sabodala du 23 mars 2005</t>
        </is>
      </c>
      <c r="R940" s="22"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2" t="n">
        <v>1800000</v>
      </c>
      <c r="K941" s="23" t="n">
        <v>44320</v>
      </c>
      <c r="L941" t="inlineStr">
        <is>
          <t>Appuis divers</t>
        </is>
      </c>
      <c r="M941" t="inlineStr">
        <is>
          <t>N/A</t>
        </is>
      </c>
      <c r="N941" t="inlineStr">
        <is>
          <t>N/A</t>
        </is>
      </c>
      <c r="O941" t="inlineStr">
        <is>
          <t>N/A</t>
        </is>
      </c>
      <c r="P941" t="inlineStr">
        <is>
          <t>Nc</t>
        </is>
      </c>
      <c r="R941" s="22"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2" t="n">
        <v>100000</v>
      </c>
      <c r="K942" s="23" t="n">
        <v>45448</v>
      </c>
      <c r="R942" s="22"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2" t="n">
        <v>1800000</v>
      </c>
      <c r="K943" s="23" t="n">
        <v>44309</v>
      </c>
      <c r="L943" t="inlineStr">
        <is>
          <t>Appuis divers</t>
        </is>
      </c>
      <c r="M943" t="inlineStr">
        <is>
          <t>N/A</t>
        </is>
      </c>
      <c r="N943" t="inlineStr">
        <is>
          <t>N/A</t>
        </is>
      </c>
      <c r="O943" t="inlineStr">
        <is>
          <t>N/A</t>
        </is>
      </c>
      <c r="P943" t="inlineStr">
        <is>
          <t>Nc</t>
        </is>
      </c>
      <c r="R943" s="22"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2"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2" t="n">
        <v>1799998.07</v>
      </c>
      <c r="K945" s="23" t="n">
        <v>45468</v>
      </c>
      <c r="M945" t="inlineStr">
        <is>
          <t>Analyse et interprétation</t>
        </is>
      </c>
      <c r="P945" t="inlineStr">
        <is>
          <t>Convention minère et Code minier (Fond Social et Fond d'appui au developpement local)</t>
        </is>
      </c>
      <c r="R945" s="22"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2" t="n">
        <v>1767520</v>
      </c>
      <c r="K946" s="23"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2"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2" t="n">
        <v>200000</v>
      </c>
      <c r="K947" s="23" t="n">
        <v>45453</v>
      </c>
      <c r="R947" s="22"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2" t="n">
        <v>1755462.65</v>
      </c>
      <c r="K948" s="23" t="n">
        <v>45372</v>
      </c>
      <c r="M948" t="inlineStr">
        <is>
          <t>134188AA</t>
        </is>
      </c>
      <c r="N948" t="inlineStr">
        <is>
          <t>N/A</t>
        </is>
      </c>
      <c r="O948" t="inlineStr">
        <is>
          <t>N/A</t>
        </is>
      </c>
      <c r="P948" t="inlineStr">
        <is>
          <t>Convention minère et Code minier (Fond Social et Fond d'appui au developpement local)</t>
        </is>
      </c>
      <c r="Q948" t="inlineStr">
        <is>
          <t>NA</t>
        </is>
      </c>
      <c r="R948" s="22"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2" t="n">
        <v>44165</v>
      </c>
      <c r="K949" t="inlineStr">
        <is>
          <t>NC</t>
        </is>
      </c>
      <c r="L949" t="inlineStr">
        <is>
          <t>NC</t>
        </is>
      </c>
      <c r="M949" t="inlineStr">
        <is>
          <t xml:space="preserve">Néant </t>
        </is>
      </c>
      <c r="N949" t="inlineStr">
        <is>
          <t xml:space="preserve">Néant </t>
        </is>
      </c>
      <c r="O949" t="inlineStr">
        <is>
          <t>NC</t>
        </is>
      </c>
      <c r="R949" s="22"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2" t="n">
        <v>200000</v>
      </c>
      <c r="K950" s="23" t="n">
        <v>45455</v>
      </c>
      <c r="R950" s="22"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2"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2" t="n">
        <v>1724608.04</v>
      </c>
      <c r="K952" s="23" t="n">
        <v>45626</v>
      </c>
      <c r="M952" t="inlineStr">
        <is>
          <t>132766AB</t>
        </is>
      </c>
      <c r="N952" t="inlineStr">
        <is>
          <t>N/A</t>
        </is>
      </c>
      <c r="O952" t="inlineStr">
        <is>
          <t>N/A</t>
        </is>
      </c>
      <c r="P952" t="inlineStr">
        <is>
          <t>Convention minère et Code minier (Fond Social et Fond d'appui au developpement local)</t>
        </is>
      </c>
      <c r="Q952" t="inlineStr">
        <is>
          <t>NA</t>
        </is>
      </c>
      <c r="R952" s="22"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2" t="n">
        <v>100000</v>
      </c>
      <c r="K953" s="23" t="n">
        <v>45455</v>
      </c>
      <c r="R953" s="22"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2" t="n">
        <v>1719999.36</v>
      </c>
      <c r="K954" s="23"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2"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2" t="n">
        <v>120600</v>
      </c>
      <c r="K955" s="23" t="n">
        <v>45456</v>
      </c>
      <c r="R955" s="22"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2" t="n">
        <v>70000</v>
      </c>
      <c r="K956" s="23" t="n">
        <v>45456</v>
      </c>
      <c r="R956" s="22"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2" t="n">
        <v>50000</v>
      </c>
      <c r="K957" s="23" t="n">
        <v>45456</v>
      </c>
      <c r="R957" s="22"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2" t="n">
        <v>1695647</v>
      </c>
      <c r="K958" s="23" t="n">
        <v>45398</v>
      </c>
      <c r="M958" t="inlineStr">
        <is>
          <t>134182AA</t>
        </is>
      </c>
      <c r="N958" t="inlineStr">
        <is>
          <t>N/A</t>
        </is>
      </c>
      <c r="O958" t="inlineStr">
        <is>
          <t>N/A</t>
        </is>
      </c>
      <c r="P958" t="inlineStr">
        <is>
          <t>Convention minère et Code minier (Fond Social et Fond d'appui au developpement local)</t>
        </is>
      </c>
      <c r="Q958" t="inlineStr">
        <is>
          <t>NA</t>
        </is>
      </c>
      <c r="R958" s="22"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2"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2" t="n">
        <v>63158</v>
      </c>
      <c r="K960" s="23" t="n">
        <v>45456</v>
      </c>
      <c r="R960" s="22"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2" t="n">
        <v>1652000</v>
      </c>
      <c r="K961" s="23" t="n">
        <v>44457</v>
      </c>
      <c r="L961" t="inlineStr">
        <is>
          <t>Appuis divers</t>
        </is>
      </c>
      <c r="M961" t="inlineStr">
        <is>
          <t>N/A</t>
        </is>
      </c>
      <c r="N961" t="inlineStr">
        <is>
          <t>N/A</t>
        </is>
      </c>
      <c r="O961" t="inlineStr">
        <is>
          <t>N/A</t>
        </is>
      </c>
      <c r="P961" t="inlineStr">
        <is>
          <t>Nc</t>
        </is>
      </c>
      <c r="R961" s="22"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2" t="n">
        <v>210000</v>
      </c>
      <c r="K962" s="23" t="n">
        <v>45457</v>
      </c>
      <c r="R962" s="22"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2" t="n">
        <v>100000</v>
      </c>
      <c r="K963" s="23" t="n">
        <v>45462</v>
      </c>
      <c r="R963" s="22"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2" t="n">
        <v>100000</v>
      </c>
      <c r="K964" s="23" t="n">
        <v>45462</v>
      </c>
      <c r="R964" s="22"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2" t="n">
        <v>100000</v>
      </c>
      <c r="K965" s="23" t="n">
        <v>45462</v>
      </c>
      <c r="R965" s="22"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2" t="n">
        <v>100000</v>
      </c>
      <c r="K966" s="23" t="n">
        <v>45462</v>
      </c>
      <c r="R966" s="22"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2" t="n">
        <v>100000</v>
      </c>
      <c r="K967" s="23" t="n">
        <v>45464</v>
      </c>
      <c r="R967" s="22"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2" t="n">
        <v>100000</v>
      </c>
      <c r="K968" s="23" t="n">
        <v>45464</v>
      </c>
      <c r="R968" s="22"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2" t="n">
        <v>100000</v>
      </c>
      <c r="K969" s="23" t="n">
        <v>45464</v>
      </c>
      <c r="R969" s="22"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2" t="n">
        <v>100000</v>
      </c>
      <c r="K970" s="23" t="n">
        <v>45464</v>
      </c>
      <c r="R970" s="22"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2" t="n">
        <v>150000</v>
      </c>
      <c r="K971" s="23" t="n">
        <v>45464</v>
      </c>
      <c r="R971" s="22"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2" t="n">
        <v>150000</v>
      </c>
      <c r="K972" s="23" t="n">
        <v>45464</v>
      </c>
      <c r="R972" s="22"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2" t="n">
        <v>92587500</v>
      </c>
      <c r="K973" s="23" t="n">
        <v>44929</v>
      </c>
      <c r="L973" t="inlineStr">
        <is>
          <t>Education</t>
        </is>
      </c>
      <c r="P973" t="inlineStr">
        <is>
          <t>UDO</t>
        </is>
      </c>
      <c r="R973" s="22"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2" t="n">
        <v>22932150</v>
      </c>
      <c r="L974" t="inlineStr">
        <is>
          <t>Installation de pompes solaires pour les forages réalisés dans le village de Tambanoumouya</t>
        </is>
      </c>
      <c r="R974" s="22"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2" t="n">
        <v>7954244</v>
      </c>
      <c r="L975" t="inlineStr">
        <is>
          <t xml:space="preserve">LOT N°2: Construction d'un block administratif, de toilettes garçons et filles et d'un mur de clôture </t>
        </is>
      </c>
      <c r="R975" s="22"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2" t="n">
        <v>1349400</v>
      </c>
      <c r="L976" t="inlineStr">
        <is>
          <t>Fonds social</t>
        </is>
      </c>
      <c r="R976" s="22"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2" t="n">
        <v>1650000</v>
      </c>
      <c r="K977" s="23" t="n">
        <v>45148</v>
      </c>
      <c r="M977" t="inlineStr">
        <is>
          <t>Appuis divers</t>
        </is>
      </c>
      <c r="R977" s="22"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2" t="n">
        <v>2066893</v>
      </c>
      <c r="L978" t="inlineStr">
        <is>
          <t>Réhabilitation du collège Annexe Bakhary Dansokho</t>
        </is>
      </c>
      <c r="R978" s="22"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2" t="n">
        <v>11000000</v>
      </c>
      <c r="L979" t="inlineStr">
        <is>
          <t>Appui aux projets et activités d'auto-emploi des femmes et des jeunes</t>
        </is>
      </c>
      <c r="R979" s="22"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2" t="n">
        <v>850000</v>
      </c>
      <c r="L980" t="inlineStr">
        <is>
          <t>Construire un bloc de deux salles de classe</t>
        </is>
      </c>
      <c r="R980" s="22"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2" t="n">
        <v>550000</v>
      </c>
      <c r="L981" t="inlineStr">
        <is>
          <t>Construction Mur de cloture Marougoukoto _5% TTC retenue de garantie</t>
        </is>
      </c>
      <c r="R981" s="22"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2" t="n">
        <v>950000</v>
      </c>
      <c r="L982" t="inlineStr">
        <is>
          <t>Constructions de murs de clôture à Kanouméry et achèvement mur de cloture Bantaco</t>
        </is>
      </c>
      <c r="R982" s="22"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2" t="n">
        <v>25000000</v>
      </c>
      <c r="L983" t="inlineStr">
        <is>
          <t>Appui aux projets et activités d'auto-emploi des femmes et des jeunes</t>
        </is>
      </c>
      <c r="R983" s="22"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2" t="n">
        <v>12000000</v>
      </c>
      <c r="L984" t="inlineStr">
        <is>
          <t>Appui aux activités culturelles, sportives et de loisirs</t>
        </is>
      </c>
      <c r="R984" s="22"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2" t="n">
        <v>5000000</v>
      </c>
      <c r="L985" t="inlineStr">
        <is>
          <t>Communication et suivi des projets</t>
        </is>
      </c>
      <c r="R985" s="22"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2" t="n">
        <v>17203220</v>
      </c>
      <c r="L986" t="inlineStr">
        <is>
          <t>Fonçage d'un forage avec pomme solaire à Fongolimbi dans le village de Nianguimoli</t>
        </is>
      </c>
      <c r="R986" s="22"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2" t="n">
        <v>1649996.33</v>
      </c>
      <c r="K987" s="23"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2"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2" t="n">
        <v>16886942</v>
      </c>
      <c r="L988" t="inlineStr">
        <is>
          <t>Construction d'un foyer des jeunes à Dindéfélo</t>
        </is>
      </c>
      <c r="R988" s="22"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2" t="n">
        <v>13291520</v>
      </c>
      <c r="L989" t="inlineStr">
        <is>
          <t>Equipements du nouveau college de Kédougou Commune.</t>
        </is>
      </c>
      <c r="R989" s="22"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2" t="n">
        <v>19200658</v>
      </c>
      <c r="L990" t="inlineStr">
        <is>
          <t>Construction d'un abri pour les accompagnant des malades  à l'hôpital régional de Kédougou</t>
        </is>
      </c>
      <c r="R990" s="22"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2" t="n">
        <v>10000000</v>
      </c>
      <c r="L991" t="inlineStr">
        <is>
          <t>Fonds d'appui fonctionnement de l'ambulance</t>
        </is>
      </c>
      <c r="R991" s="22"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2" t="n">
        <v>15000000</v>
      </c>
      <c r="L992" t="inlineStr">
        <is>
          <t>Dotation de médicaments aux 03 postes de santé</t>
        </is>
      </c>
      <c r="R992" s="22"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2" t="n">
        <v>15000000</v>
      </c>
      <c r="L993" t="inlineStr">
        <is>
          <t>Dotation en fournitures, matériel et équipements scolaires aux écoles de la commune</t>
        </is>
      </c>
      <c r="R993" s="22"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2" t="n">
        <v>13130000</v>
      </c>
      <c r="L994" t="inlineStr">
        <is>
          <t xml:space="preserve">Formation des jeunes </t>
        </is>
      </c>
      <c r="R994" s="22"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2" t="n">
        <v>5000000</v>
      </c>
      <c r="L995" t="inlineStr">
        <is>
          <t>Promotion des activités de jeunesse, sports et culture</t>
        </is>
      </c>
      <c r="R995" s="22"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2" t="n">
        <v>12367945</v>
      </c>
      <c r="L996" t="inlineStr">
        <is>
          <t>Finalisation de l'unité de production de savon de Tambanoumouya</t>
        </is>
      </c>
      <c r="R996" s="22"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2" t="n">
        <v>22900000</v>
      </c>
      <c r="L997" t="inlineStr">
        <is>
          <t>Achat de véhicule pour la commune</t>
        </is>
      </c>
      <c r="R997" s="22"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2" t="n">
        <v>1610694.32</v>
      </c>
      <c r="K998" s="23" t="n">
        <v>45377</v>
      </c>
      <c r="M998" t="inlineStr">
        <is>
          <t>LOGEMENTS</t>
        </is>
      </c>
      <c r="N998" t="inlineStr">
        <is>
          <t>N/A</t>
        </is>
      </c>
      <c r="O998" t="inlineStr">
        <is>
          <t>N/A</t>
        </is>
      </c>
      <c r="P998" t="inlineStr">
        <is>
          <t>Convention minère et Code minier (Fond Social et Fond d'appui au developpement local)</t>
        </is>
      </c>
      <c r="Q998" t="inlineStr">
        <is>
          <t>NA</t>
        </is>
      </c>
      <c r="R998" s="22"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2" t="n">
        <v>5352672</v>
      </c>
      <c r="L999" t="inlineStr">
        <is>
          <t>Prise en charge de l'attaché territorial</t>
        </is>
      </c>
      <c r="R999" s="22"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2" t="n">
        <v>7000000</v>
      </c>
      <c r="L1000" t="inlineStr">
        <is>
          <t>Fonds de Communication et de suivi des projets du FISE</t>
        </is>
      </c>
      <c r="R1000" s="22"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2" t="n">
        <v>44165</v>
      </c>
      <c r="K1001" t="inlineStr">
        <is>
          <t>NC</t>
        </is>
      </c>
      <c r="L1001" t="inlineStr">
        <is>
          <t>NC</t>
        </is>
      </c>
      <c r="M1001" t="inlineStr">
        <is>
          <t xml:space="preserve">Néant </t>
        </is>
      </c>
      <c r="N1001" t="inlineStr">
        <is>
          <t xml:space="preserve">Néant </t>
        </is>
      </c>
      <c r="O1001" t="inlineStr">
        <is>
          <t>NC</t>
        </is>
      </c>
      <c r="R1001" s="22"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2" t="n">
        <v>37417238</v>
      </c>
      <c r="L1002" t="inlineStr">
        <is>
          <t>Facture 25 % TTC du montant du contrat _Réalisation de forages a pompe solaire avec adduction d'eau a Mako et Marougouding</t>
        </is>
      </c>
      <c r="R1002" s="22"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2" t="n">
        <v>8479748</v>
      </c>
      <c r="L1003" t="inlineStr">
        <is>
          <t>Construction et équipement de deux salles de classe labo au Lycee Commune 1 de Kédougou</t>
        </is>
      </c>
      <c r="R1003" s="22"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2" t="n">
        <v>66845230</v>
      </c>
      <c r="L1004" t="inlineStr">
        <is>
          <t>Construction d'un ouvrage de franchissement (Dalot)</t>
        </is>
      </c>
      <c r="R1004" s="22"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2" t="n">
        <v>17002300</v>
      </c>
      <c r="L1005" t="inlineStr">
        <is>
          <t>Fonds d'appuis social</t>
        </is>
      </c>
      <c r="R1005" s="22"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2" t="n">
        <v>1608000</v>
      </c>
      <c r="K1006" s="23"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2"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2" t="n">
        <v>1599999.65</v>
      </c>
      <c r="K1007" s="23" t="n">
        <v>44617</v>
      </c>
      <c r="L1007" t="inlineStr">
        <is>
          <t>SF General</t>
        </is>
      </c>
      <c r="R1007" s="22"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2" t="n">
        <v>25753737</v>
      </c>
      <c r="L1008" t="inlineStr">
        <is>
          <t>Traveaux d'achevement de la constructiont d'un bloc de 04 salle de classe en R+1 dans le departement de Kedougou</t>
        </is>
      </c>
      <c r="R1008" s="22"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2" t="n">
        <v>4673000</v>
      </c>
      <c r="L1009" t="inlineStr">
        <is>
          <t>APPUIS DIVERS (APICULTURE)</t>
        </is>
      </c>
      <c r="P1009" t="inlineStr">
        <is>
          <t>UDO</t>
        </is>
      </c>
      <c r="R1009" s="22"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2" t="n">
        <v>1588491.49</v>
      </c>
      <c r="O1010" t="inlineStr">
        <is>
          <t>SF General</t>
        </is>
      </c>
      <c r="P1010" t="inlineStr">
        <is>
          <t>Obligation de développement social: art.15 de l'avenant 1 à la convention minière de Sabodala du 23 mars 2005</t>
        </is>
      </c>
      <c r="R1010" s="22"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2" t="n">
        <v>2133500</v>
      </c>
      <c r="L1011" t="inlineStr">
        <is>
          <t>APPUIS DIVERS (PANIERS RAMADAN)</t>
        </is>
      </c>
      <c r="R1011" s="22"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2" t="n">
        <v>2000000</v>
      </c>
      <c r="L1012" t="inlineStr">
        <is>
          <t>EDUCATION</t>
        </is>
      </c>
      <c r="R1012" s="22"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2" t="n">
        <v>1574998.89</v>
      </c>
      <c r="K1013" s="23" t="n">
        <v>45038</v>
      </c>
      <c r="L1013" t="inlineStr">
        <is>
          <t>Appui divers</t>
        </is>
      </c>
      <c r="M1013" t="inlineStr">
        <is>
          <t>N/A</t>
        </is>
      </c>
      <c r="N1013" t="inlineStr">
        <is>
          <t>N/A</t>
        </is>
      </c>
      <c r="O1013" t="inlineStr">
        <is>
          <t>N/A</t>
        </is>
      </c>
      <c r="R1013" s="22"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2" t="n">
        <v>4700000</v>
      </c>
      <c r="L1014" t="inlineStr">
        <is>
          <t>HYDRAULIQUE</t>
        </is>
      </c>
      <c r="R1014" s="22"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2" t="n">
        <v>10389995</v>
      </c>
      <c r="L1015" t="inlineStr">
        <is>
          <t>EDUCATION (ELECTRIFICATION)</t>
        </is>
      </c>
      <c r="R1015" s="22"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2" t="n">
        <v>17388000</v>
      </c>
      <c r="L1016" t="inlineStr">
        <is>
          <t>APPUIS DIVERS (ELECTRIFICATION)</t>
        </is>
      </c>
      <c r="R1016" s="22"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2" t="n">
        <v>7798268</v>
      </c>
      <c r="L1017" t="inlineStr">
        <is>
          <t>AGRICULTURE</t>
        </is>
      </c>
      <c r="R1017" s="22"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2" t="n">
        <v>1566000</v>
      </c>
      <c r="K1018" s="23" t="n">
        <v>44568</v>
      </c>
      <c r="L1018" t="inlineStr">
        <is>
          <t>Appuis divers</t>
        </is>
      </c>
      <c r="M1018" t="inlineStr">
        <is>
          <t>N/A</t>
        </is>
      </c>
      <c r="N1018" t="inlineStr">
        <is>
          <t>N/A</t>
        </is>
      </c>
      <c r="O1018" t="inlineStr">
        <is>
          <t>N/A</t>
        </is>
      </c>
      <c r="P1018" t="inlineStr">
        <is>
          <t>Nc</t>
        </is>
      </c>
      <c r="R1018" s="22"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2" t="n">
        <v>2840000</v>
      </c>
      <c r="L1019" t="inlineStr">
        <is>
          <t>APPUIS DIVERS (NOURRITURE, MATERIELS DE PRIERE)</t>
        </is>
      </c>
      <c r="R1019" s="22"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2" t="n">
        <v>1103500</v>
      </c>
      <c r="L1020" t="inlineStr">
        <is>
          <t>APPUIS DIVERS (RESTAURATION DES MOYENS DE SUBSISTANCES)</t>
        </is>
      </c>
      <c r="R1020" s="22"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2" t="n">
        <v>4937400</v>
      </c>
      <c r="L1021" t="inlineStr">
        <is>
          <t>CAPACITES DES FEMMES</t>
        </is>
      </c>
      <c r="R1021" s="22"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2" t="n">
        <v>1279800</v>
      </c>
      <c r="L1022" t="inlineStr">
        <is>
          <t>EDUCATION</t>
        </is>
      </c>
      <c r="R1022" s="22"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2" t="n">
        <v>5000000</v>
      </c>
      <c r="L1023" t="inlineStr">
        <is>
          <t>EDUCATION (ALPHABETISATION EN Français)</t>
        </is>
      </c>
      <c r="R1023" s="22"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2" t="n">
        <v>4004499</v>
      </c>
      <c r="L1024" t="inlineStr">
        <is>
          <t>SANTE</t>
        </is>
      </c>
      <c r="R1024" s="22"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2" t="n">
        <v>6723500</v>
      </c>
      <c r="L1025" t="inlineStr">
        <is>
          <t>SANTE ( SENSIBILISATION CONTRE LES MST/IST/CCU)</t>
        </is>
      </c>
      <c r="R1025" s="22"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2" t="n">
        <v>6072250</v>
      </c>
      <c r="L1026" t="inlineStr">
        <is>
          <t>EDUCATION</t>
        </is>
      </c>
      <c r="R1026" s="22"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2" t="n">
        <v>1869000</v>
      </c>
      <c r="L1027" t="inlineStr">
        <is>
          <t>EDUCATION</t>
        </is>
      </c>
      <c r="R1027" s="22"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2" t="n">
        <v>6821000</v>
      </c>
      <c r="L1028" t="inlineStr">
        <is>
          <t>EDUCATION (ELECTRIFICATION)</t>
        </is>
      </c>
      <c r="R1028" s="22"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2" t="n">
        <v>6947500</v>
      </c>
      <c r="L1029" t="inlineStr">
        <is>
          <t>EDUCATION (ELECTRIFICATION)</t>
        </is>
      </c>
      <c r="R1029" s="22"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2" t="n">
        <v>2079000</v>
      </c>
      <c r="L1030" t="inlineStr">
        <is>
          <t xml:space="preserve">EDUCATION </t>
        </is>
      </c>
      <c r="R1030" s="22"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2" t="n">
        <v>9802205</v>
      </c>
      <c r="L1031" t="inlineStr">
        <is>
          <t>EDUCATION</t>
        </is>
      </c>
      <c r="R1031" s="22"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2" t="n">
        <v>1408000</v>
      </c>
      <c r="L1032" t="inlineStr">
        <is>
          <t>EDUCATION</t>
        </is>
      </c>
      <c r="R1032" s="22"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2" t="n">
        <v>1563533</v>
      </c>
      <c r="K1033" s="23"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2"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2" t="n">
        <v>1530625.33</v>
      </c>
      <c r="K1034" s="23" t="n">
        <v>45465</v>
      </c>
      <c r="M1034" t="inlineStr">
        <is>
          <t>Management Head of Legacy</t>
        </is>
      </c>
      <c r="P1034" t="inlineStr">
        <is>
          <t>Convention minère et Code minier (Fond Social et Fond d'appui au developpement local)</t>
        </is>
      </c>
      <c r="R1034" s="22"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2" t="n">
        <v>4937400</v>
      </c>
      <c r="L1035" t="inlineStr">
        <is>
          <t>CAPACITES DES FEMMES</t>
        </is>
      </c>
      <c r="R1035" s="22"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2" t="n">
        <v>1530324.53</v>
      </c>
      <c r="K1036" s="23"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2"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2" t="n">
        <v>409900</v>
      </c>
      <c r="L1037" t="inlineStr">
        <is>
          <t>AGRICULTURE</t>
        </is>
      </c>
      <c r="R1037" s="22"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2" t="n">
        <v>4049996</v>
      </c>
      <c r="L1038" t="inlineStr">
        <is>
          <t>AGRICULTURE</t>
        </is>
      </c>
      <c r="R1038" s="22"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2" t="n">
        <v>8317000</v>
      </c>
      <c r="L1039" t="inlineStr">
        <is>
          <t>SANTE</t>
        </is>
      </c>
      <c r="R1039" s="22"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2" t="n">
        <v>6550000</v>
      </c>
      <c r="L1040" t="inlineStr">
        <is>
          <t>SANTE</t>
        </is>
      </c>
      <c r="R1040" s="22"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2" t="n">
        <v>1929100</v>
      </c>
      <c r="L1041" t="inlineStr">
        <is>
          <t>AGRICULTURE</t>
        </is>
      </c>
      <c r="R1041" s="22"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2" t="n">
        <v>15675000</v>
      </c>
      <c r="L1042" t="inlineStr">
        <is>
          <t>HYDRAULIQUE</t>
        </is>
      </c>
      <c r="R1042" s="22"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2" t="n">
        <v>2570000</v>
      </c>
      <c r="L1043" t="inlineStr">
        <is>
          <t>AGRICULTURE</t>
        </is>
      </c>
      <c r="R1043" s="22"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2" t="n">
        <v>15807500</v>
      </c>
      <c r="L1044" t="inlineStr">
        <is>
          <t>AGRICULTURE</t>
        </is>
      </c>
      <c r="R1044" s="22"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2" t="n">
        <v>275000</v>
      </c>
      <c r="L1045" t="inlineStr">
        <is>
          <t>APPUIS DIVERS (AMPLIFICATEUR MOSQUEE VILLAGE KOULIMINDE)</t>
        </is>
      </c>
      <c r="R1045" s="22"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2" t="n">
        <v>74183518</v>
      </c>
      <c r="L1046" t="inlineStr">
        <is>
          <t>APPUIS DIVERS (CONSTRUCTION)</t>
        </is>
      </c>
      <c r="R1046" s="22"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2" t="n">
        <v>2540000</v>
      </c>
      <c r="L1047" t="inlineStr">
        <is>
          <t>APPUIS DIVERS (ELECTRIFICATION BUREAU D'INFORMATION DE KOULIMINDE)</t>
        </is>
      </c>
      <c r="R1047" s="22"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2" t="n">
        <v>1517000</v>
      </c>
      <c r="K1048" t="inlineStr">
        <is>
          <t>Nc</t>
        </is>
      </c>
      <c r="L1048" t="inlineStr">
        <is>
          <t>APPUIS DIVERS</t>
        </is>
      </c>
      <c r="M1048" t="inlineStr">
        <is>
          <t>N/A</t>
        </is>
      </c>
      <c r="N1048" t="inlineStr">
        <is>
          <t>N/A</t>
        </is>
      </c>
      <c r="O1048" t="inlineStr">
        <is>
          <t>N/A</t>
        </is>
      </c>
      <c r="P1048" t="inlineStr">
        <is>
          <t>Nc</t>
        </is>
      </c>
      <c r="R1048" s="22"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2" t="n">
        <v>2000000</v>
      </c>
      <c r="L1049" t="inlineStr">
        <is>
          <t>EDUCATION</t>
        </is>
      </c>
      <c r="R1049" s="22"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2" t="n">
        <v>449000</v>
      </c>
      <c r="L1050" t="inlineStr">
        <is>
          <t>HYDRAULIQUE</t>
        </is>
      </c>
      <c r="R1050" s="22"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2" t="n">
        <v>17000000</v>
      </c>
      <c r="L1051" t="inlineStr">
        <is>
          <t>HYDRAULIQUE</t>
        </is>
      </c>
      <c r="R1051" s="22"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2" t="n">
        <v>5300000</v>
      </c>
      <c r="L1052" t="inlineStr">
        <is>
          <t>HYDRAULIQUE</t>
        </is>
      </c>
      <c r="R1052" s="22"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2" t="n">
        <v>581500</v>
      </c>
      <c r="L1053" t="inlineStr">
        <is>
          <t>APPUI DIVERS (Gamou annuel)</t>
        </is>
      </c>
      <c r="R1053" s="22"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2" t="n">
        <v>2540000</v>
      </c>
      <c r="L1054" t="inlineStr">
        <is>
          <t>APPUIS DIVERS (ELECTRIFICATION BUREAU D'INFORMATIONS)</t>
        </is>
      </c>
      <c r="R1054" s="22"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2" t="n">
        <v>2998500</v>
      </c>
      <c r="L1055" t="inlineStr">
        <is>
          <t>HYDRAULIQUE</t>
        </is>
      </c>
      <c r="R1055" s="22"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2" t="n">
        <v>3000000</v>
      </c>
      <c r="L1056" t="inlineStr">
        <is>
          <t>HYDRAULIQUE</t>
        </is>
      </c>
      <c r="R1056" s="22"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2" t="n">
        <v>2758500</v>
      </c>
      <c r="L1057" t="inlineStr">
        <is>
          <t>HYDRAULIQUE (RELOCALISATION KOULIMINDE)</t>
        </is>
      </c>
      <c r="R1057" s="22"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2" t="n">
        <v>5026650</v>
      </c>
      <c r="L1058" t="inlineStr">
        <is>
          <t>APPUIS DIVERS (RELOCALISATION KOULIMINDE)</t>
        </is>
      </c>
      <c r="R1058" s="22"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2" t="n">
        <v>9176000</v>
      </c>
      <c r="L1059" t="inlineStr">
        <is>
          <t>ELEVAGE (RELOCALISATION KOULIMINDE)</t>
        </is>
      </c>
      <c r="R1059" s="22"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2" t="n">
        <v>1516736.74</v>
      </c>
      <c r="K1060" s="23"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2"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2" t="n">
        <v>1500000</v>
      </c>
      <c r="L1061" t="inlineStr">
        <is>
          <t>HYDRAULIQUE</t>
        </is>
      </c>
      <c r="R1061" s="22"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2" t="n">
        <v>6945000</v>
      </c>
      <c r="L1062" t="inlineStr">
        <is>
          <t>CAPACITES DES FEMMES</t>
        </is>
      </c>
      <c r="R1062" s="22"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2" t="n">
        <v>9462500</v>
      </c>
      <c r="L1063" t="inlineStr">
        <is>
          <t>EDUCATION</t>
        </is>
      </c>
      <c r="R1063" s="22"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2" t="n">
        <v>3414778</v>
      </c>
      <c r="K1064" s="23" t="n">
        <v>45322</v>
      </c>
      <c r="L1064" t="inlineStr">
        <is>
          <t>AGRICULTURE</t>
        </is>
      </c>
      <c r="Q1064" t="inlineStr">
        <is>
          <t>F</t>
        </is>
      </c>
      <c r="R1064" s="22"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2" t="n">
        <v>3521000</v>
      </c>
      <c r="K1065" s="23" t="n">
        <v>45365</v>
      </c>
      <c r="L1065" t="inlineStr">
        <is>
          <t>AGRICULTURE</t>
        </is>
      </c>
      <c r="Q1065" t="inlineStr">
        <is>
          <t>M</t>
        </is>
      </c>
      <c r="R1065" s="22"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2" t="n">
        <v>4000000</v>
      </c>
      <c r="K1066" s="23" t="n">
        <v>45365</v>
      </c>
      <c r="L1066" t="inlineStr">
        <is>
          <t>AGRICULTURE</t>
        </is>
      </c>
      <c r="Q1066" t="inlineStr">
        <is>
          <t>M</t>
        </is>
      </c>
      <c r="R1066" s="22"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2" t="n">
        <v>3105000</v>
      </c>
      <c r="K1067" s="23" t="n">
        <v>45365</v>
      </c>
      <c r="L1067" t="inlineStr">
        <is>
          <t>AGRICULTURE</t>
        </is>
      </c>
      <c r="Q1067" t="inlineStr">
        <is>
          <t>M</t>
        </is>
      </c>
      <c r="R1067" s="22"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2" t="n">
        <v>2569500</v>
      </c>
      <c r="K1068" s="23" t="n">
        <v>45365</v>
      </c>
      <c r="L1068" t="inlineStr">
        <is>
          <t>AGRICULTURE</t>
        </is>
      </c>
      <c r="Q1068" t="inlineStr">
        <is>
          <t>M</t>
        </is>
      </c>
      <c r="R1068" s="22"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2" t="n">
        <v>1977000</v>
      </c>
      <c r="K1069" s="23" t="n">
        <v>45365</v>
      </c>
      <c r="L1069" t="inlineStr">
        <is>
          <t>AGRICULTURE</t>
        </is>
      </c>
      <c r="Q1069" t="inlineStr">
        <is>
          <t>M</t>
        </is>
      </c>
      <c r="R1069" s="22"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2" t="n">
        <v>2016000</v>
      </c>
      <c r="K1070" s="23" t="n">
        <v>45365</v>
      </c>
      <c r="L1070" t="inlineStr">
        <is>
          <t>AGRICULTURE</t>
        </is>
      </c>
      <c r="Q1070" t="inlineStr">
        <is>
          <t>M</t>
        </is>
      </c>
      <c r="R1070" s="22"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2" t="n">
        <v>199000</v>
      </c>
      <c r="K1071" s="23" t="n">
        <v>45365</v>
      </c>
      <c r="L1071" t="inlineStr">
        <is>
          <t>AGRICULTURE</t>
        </is>
      </c>
      <c r="Q1071" t="inlineStr">
        <is>
          <t>M</t>
        </is>
      </c>
      <c r="R1071" s="22"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2" t="n">
        <v>1950300</v>
      </c>
      <c r="K1072" s="23" t="n">
        <v>45365</v>
      </c>
      <c r="L1072" t="inlineStr">
        <is>
          <t>AGRICULTURE</t>
        </is>
      </c>
      <c r="Q1072" t="inlineStr">
        <is>
          <t>M</t>
        </is>
      </c>
      <c r="R1072" s="22"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2" t="n">
        <v>3225000</v>
      </c>
      <c r="K1073" s="23" t="n">
        <v>45372</v>
      </c>
      <c r="L1073" t="inlineStr">
        <is>
          <t>AGRICULTURE</t>
        </is>
      </c>
      <c r="Q1073" t="inlineStr">
        <is>
          <t>M</t>
        </is>
      </c>
      <c r="R1073" s="22"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2" t="n">
        <v>3677615</v>
      </c>
      <c r="K1074" s="23" t="n">
        <v>45385</v>
      </c>
      <c r="L1074" t="inlineStr">
        <is>
          <t>AGRICULTURE</t>
        </is>
      </c>
      <c r="Q1074" t="inlineStr">
        <is>
          <t>M</t>
        </is>
      </c>
      <c r="R1074" s="22"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2" t="n">
        <v>3339062</v>
      </c>
      <c r="K1075" s="23" t="n">
        <v>45385</v>
      </c>
      <c r="L1075" t="inlineStr">
        <is>
          <t>AGRICULTURE</t>
        </is>
      </c>
      <c r="Q1075" t="inlineStr">
        <is>
          <t>M</t>
        </is>
      </c>
      <c r="R1075" s="22"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2" t="n">
        <v>668500</v>
      </c>
      <c r="K1076" s="23" t="n">
        <v>45385</v>
      </c>
      <c r="L1076" t="inlineStr">
        <is>
          <t>AGRICULTURE</t>
        </is>
      </c>
      <c r="Q1076" t="inlineStr">
        <is>
          <t>M</t>
        </is>
      </c>
      <c r="R1076" s="22"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2" t="n">
        <v>2271544</v>
      </c>
      <c r="K1077" s="23" t="n">
        <v>45385</v>
      </c>
      <c r="L1077" t="inlineStr">
        <is>
          <t>AGRICULTURE</t>
        </is>
      </c>
      <c r="Q1077" t="inlineStr">
        <is>
          <t>M</t>
        </is>
      </c>
      <c r="R1077" s="22"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2" t="n">
        <v>3668648</v>
      </c>
      <c r="K1078" s="23" t="n">
        <v>45385</v>
      </c>
      <c r="L1078" t="inlineStr">
        <is>
          <t>AGRICULTURE</t>
        </is>
      </c>
      <c r="Q1078" t="inlineStr">
        <is>
          <t>M</t>
        </is>
      </c>
      <c r="R1078" s="22"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2" t="n">
        <v>2498998</v>
      </c>
      <c r="K1079" s="23" t="n">
        <v>45385</v>
      </c>
      <c r="L1079" t="inlineStr">
        <is>
          <t>AGRICULTURE</t>
        </is>
      </c>
      <c r="Q1079" t="inlineStr">
        <is>
          <t>M</t>
        </is>
      </c>
      <c r="R1079" s="22"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2" t="n">
        <v>3414778</v>
      </c>
      <c r="K1080" s="23" t="n">
        <v>45385</v>
      </c>
      <c r="L1080" t="inlineStr">
        <is>
          <t>AGRICULTURE</t>
        </is>
      </c>
      <c r="Q1080" t="inlineStr">
        <is>
          <t>M</t>
        </is>
      </c>
      <c r="R1080" s="22"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2" t="n">
        <v>1500000</v>
      </c>
      <c r="K1081" s="23" t="n">
        <v>45387</v>
      </c>
      <c r="L1081" t="inlineStr">
        <is>
          <t>AGRICULTURE</t>
        </is>
      </c>
      <c r="Q1081" t="inlineStr">
        <is>
          <t>M</t>
        </is>
      </c>
      <c r="R1081" s="22"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2" t="n">
        <v>1500000</v>
      </c>
      <c r="K1082" s="23" t="n">
        <v>45387</v>
      </c>
      <c r="L1082" t="inlineStr">
        <is>
          <t>AGRICULTURE</t>
        </is>
      </c>
      <c r="Q1082" t="inlineStr">
        <is>
          <t>M</t>
        </is>
      </c>
      <c r="R1082" s="22"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2" t="n">
        <v>1500000</v>
      </c>
      <c r="K1083" s="23" t="n">
        <v>45387</v>
      </c>
      <c r="L1083" t="inlineStr">
        <is>
          <t>AGRICULTURE</t>
        </is>
      </c>
      <c r="Q1083" t="inlineStr">
        <is>
          <t>M</t>
        </is>
      </c>
      <c r="R1083" s="22"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2" t="n">
        <v>1500000</v>
      </c>
      <c r="K1084" s="23" t="n">
        <v>45387</v>
      </c>
      <c r="L1084" t="inlineStr">
        <is>
          <t>AGRICULTURE</t>
        </is>
      </c>
      <c r="Q1084" t="inlineStr">
        <is>
          <t>M</t>
        </is>
      </c>
      <c r="R1084" s="22"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2" t="n">
        <v>1500000</v>
      </c>
      <c r="K1085" s="23" t="n">
        <v>45387</v>
      </c>
      <c r="L1085" t="inlineStr">
        <is>
          <t>AGRICULTURE</t>
        </is>
      </c>
      <c r="Q1085" t="inlineStr">
        <is>
          <t>M</t>
        </is>
      </c>
      <c r="R1085" s="22"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2" t="n">
        <v>1500000</v>
      </c>
      <c r="K1086" s="23" t="n">
        <v>45387</v>
      </c>
      <c r="L1086" t="inlineStr">
        <is>
          <t>AGRICULTURE</t>
        </is>
      </c>
      <c r="Q1086" t="inlineStr">
        <is>
          <t>M</t>
        </is>
      </c>
      <c r="R1086" s="22"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2" t="n">
        <v>1500000</v>
      </c>
      <c r="K1087" s="23" t="n">
        <v>45387</v>
      </c>
      <c r="L1087" t="inlineStr">
        <is>
          <t>AGRICULTURE</t>
        </is>
      </c>
      <c r="Q1087" t="inlineStr">
        <is>
          <t>M</t>
        </is>
      </c>
      <c r="R1087" s="22"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2" t="n">
        <v>1500000</v>
      </c>
      <c r="K1088" s="23" t="n">
        <v>45387</v>
      </c>
      <c r="L1088" t="inlineStr">
        <is>
          <t>AGRICULTURE</t>
        </is>
      </c>
      <c r="Q1088" t="inlineStr">
        <is>
          <t>M</t>
        </is>
      </c>
      <c r="R1088" s="22"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2" t="n">
        <v>1500000</v>
      </c>
      <c r="K1089" s="23" t="n">
        <v>45387</v>
      </c>
      <c r="L1089" t="inlineStr">
        <is>
          <t>AGRICULTURE</t>
        </is>
      </c>
      <c r="Q1089" t="inlineStr">
        <is>
          <t>M</t>
        </is>
      </c>
      <c r="R1089" s="22"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2" t="n">
        <v>1500000</v>
      </c>
      <c r="K1090" s="23" t="n">
        <v>45387</v>
      </c>
      <c r="L1090" t="inlineStr">
        <is>
          <t>AGRICULTURE</t>
        </is>
      </c>
      <c r="Q1090" t="inlineStr">
        <is>
          <t>M</t>
        </is>
      </c>
      <c r="R1090" s="22"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2" t="n">
        <v>1000000</v>
      </c>
      <c r="K1091" s="23" t="n">
        <v>45387</v>
      </c>
      <c r="L1091" t="inlineStr">
        <is>
          <t>AGRICULTURE</t>
        </is>
      </c>
      <c r="Q1091" t="inlineStr">
        <is>
          <t>M</t>
        </is>
      </c>
      <c r="R1091" s="22"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2" t="n">
        <v>1500000</v>
      </c>
      <c r="K1092" s="23" t="n">
        <v>45387</v>
      </c>
      <c r="L1092" t="inlineStr">
        <is>
          <t>AGRICULTURE</t>
        </is>
      </c>
      <c r="Q1092" t="inlineStr">
        <is>
          <t>M</t>
        </is>
      </c>
      <c r="R1092" s="22"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2" t="n">
        <v>1500000</v>
      </c>
      <c r="K1093" s="23" t="n">
        <v>45387</v>
      </c>
      <c r="L1093" t="inlineStr">
        <is>
          <t>AGRICULTURE</t>
        </is>
      </c>
      <c r="Q1093" t="inlineStr">
        <is>
          <t>M</t>
        </is>
      </c>
      <c r="R1093" s="22"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2" t="n">
        <v>1500000</v>
      </c>
      <c r="K1094" s="23" t="n">
        <v>45387</v>
      </c>
      <c r="L1094" t="inlineStr">
        <is>
          <t>AGRICULTURE</t>
        </is>
      </c>
      <c r="Q1094" t="inlineStr">
        <is>
          <t>M</t>
        </is>
      </c>
      <c r="R1094" s="22"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2" t="n">
        <v>1500000</v>
      </c>
      <c r="K1095" s="23" t="n">
        <v>45387</v>
      </c>
      <c r="L1095" t="inlineStr">
        <is>
          <t>AGRICULTURE</t>
        </is>
      </c>
      <c r="Q1095" t="inlineStr">
        <is>
          <t>M</t>
        </is>
      </c>
      <c r="R1095" s="22"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2" t="n">
        <v>1500000</v>
      </c>
      <c r="K1096" s="23" t="n">
        <v>45387</v>
      </c>
      <c r="L1096" t="inlineStr">
        <is>
          <t>AGRICULTURE</t>
        </is>
      </c>
      <c r="Q1096" t="inlineStr">
        <is>
          <t>M</t>
        </is>
      </c>
      <c r="R1096" s="22"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2" t="n">
        <v>3500000</v>
      </c>
      <c r="K1097" s="23" t="n">
        <v>45390</v>
      </c>
      <c r="L1097" t="inlineStr">
        <is>
          <t>AGRICULTURE</t>
        </is>
      </c>
      <c r="Q1097" t="inlineStr">
        <is>
          <t>M</t>
        </is>
      </c>
      <c r="R1097" s="22"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2" t="n">
        <v>3445000</v>
      </c>
      <c r="K1098" s="23" t="n">
        <v>45394</v>
      </c>
      <c r="L1098" t="inlineStr">
        <is>
          <t>AGRICULTURE</t>
        </is>
      </c>
      <c r="Q1098" t="inlineStr">
        <is>
          <t>M</t>
        </is>
      </c>
      <c r="R1098" s="22"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2" t="n">
        <v>4000000</v>
      </c>
      <c r="K1099" s="23" t="n">
        <v>45394</v>
      </c>
      <c r="L1099" t="inlineStr">
        <is>
          <t>AGRICULTURE</t>
        </is>
      </c>
      <c r="Q1099" t="inlineStr">
        <is>
          <t>M</t>
        </is>
      </c>
      <c r="R1099" s="22"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2" t="n">
        <v>4000000</v>
      </c>
      <c r="K1100" s="23" t="n">
        <v>45394</v>
      </c>
      <c r="L1100" t="inlineStr">
        <is>
          <t>AGRICULTURE</t>
        </is>
      </c>
      <c r="Q1100" t="inlineStr">
        <is>
          <t>M</t>
        </is>
      </c>
      <c r="R1100" s="22"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2" t="n">
        <v>2500000</v>
      </c>
      <c r="K1101" s="23" t="n">
        <v>45400</v>
      </c>
      <c r="L1101" t="inlineStr">
        <is>
          <t>AGRICULTURE</t>
        </is>
      </c>
      <c r="Q1101" t="inlineStr">
        <is>
          <t>M</t>
        </is>
      </c>
      <c r="R1101" s="22"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2" t="n">
        <v>2366454</v>
      </c>
      <c r="K1102" s="23" t="n">
        <v>45404</v>
      </c>
      <c r="L1102" t="inlineStr">
        <is>
          <t>AGRICULTURE</t>
        </is>
      </c>
      <c r="Q1102" t="inlineStr">
        <is>
          <t>F</t>
        </is>
      </c>
      <c r="R1102" s="22"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2" t="n">
        <v>2161217</v>
      </c>
      <c r="K1103" s="23" t="n">
        <v>45412</v>
      </c>
      <c r="L1103" t="inlineStr">
        <is>
          <t>AGRICULTURE</t>
        </is>
      </c>
      <c r="Q1103" t="inlineStr">
        <is>
          <t>M</t>
        </is>
      </c>
      <c r="R1103" s="22"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2" t="n">
        <v>3200000</v>
      </c>
      <c r="K1104" s="23" t="n">
        <v>45412</v>
      </c>
      <c r="L1104" t="inlineStr">
        <is>
          <t>AGRICULTURE</t>
        </is>
      </c>
      <c r="Q1104" t="inlineStr">
        <is>
          <t>M</t>
        </is>
      </c>
      <c r="R1104" s="22"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2" t="n">
        <v>3366130</v>
      </c>
      <c r="K1105" s="23" t="n">
        <v>45412</v>
      </c>
      <c r="L1105" t="inlineStr">
        <is>
          <t>AGRICULTURE</t>
        </is>
      </c>
      <c r="Q1105" t="inlineStr">
        <is>
          <t>M</t>
        </is>
      </c>
      <c r="R1105" s="22"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2" t="n">
        <v>2161000</v>
      </c>
      <c r="K1106" s="23" t="n">
        <v>45412</v>
      </c>
      <c r="L1106" t="inlineStr">
        <is>
          <t>AGRICULTURE</t>
        </is>
      </c>
      <c r="Q1106" t="inlineStr">
        <is>
          <t>M</t>
        </is>
      </c>
      <c r="R1106" s="22"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2" t="n">
        <v>2926485</v>
      </c>
      <c r="K1107" s="23" t="n">
        <v>45412</v>
      </c>
      <c r="L1107" t="inlineStr">
        <is>
          <t>AGRICULTURE</t>
        </is>
      </c>
      <c r="Q1107" t="inlineStr">
        <is>
          <t>M</t>
        </is>
      </c>
      <c r="R1107" s="22"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2" t="n">
        <v>2925000</v>
      </c>
      <c r="K1108" s="23" t="n">
        <v>45412</v>
      </c>
      <c r="L1108" t="inlineStr">
        <is>
          <t>AGRICULTURE</t>
        </is>
      </c>
      <c r="Q1108" t="inlineStr">
        <is>
          <t>M</t>
        </is>
      </c>
      <c r="R1108" s="22"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2" t="n">
        <v>3445000</v>
      </c>
      <c r="K1109" s="23" t="n">
        <v>45412</v>
      </c>
      <c r="L1109" t="inlineStr">
        <is>
          <t>AGRICULTURE</t>
        </is>
      </c>
      <c r="Q1109" t="inlineStr">
        <is>
          <t>M</t>
        </is>
      </c>
      <c r="R1109" s="22"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2" t="n">
        <v>3445000</v>
      </c>
      <c r="K1110" s="23" t="n">
        <v>45412</v>
      </c>
      <c r="L1110" t="inlineStr">
        <is>
          <t>AGRICULTURE</t>
        </is>
      </c>
      <c r="Q1110" t="inlineStr">
        <is>
          <t>M</t>
        </is>
      </c>
      <c r="R1110" s="22"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2" t="n">
        <v>3339062</v>
      </c>
      <c r="K1111" s="23" t="n">
        <v>45444</v>
      </c>
      <c r="L1111" t="inlineStr">
        <is>
          <t>AGRICULTURE</t>
        </is>
      </c>
      <c r="Q1111" t="inlineStr">
        <is>
          <t>M</t>
        </is>
      </c>
      <c r="R1111" s="22"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2" t="n">
        <v>2393796</v>
      </c>
      <c r="K1112" s="23" t="n">
        <v>45453</v>
      </c>
      <c r="L1112" t="inlineStr">
        <is>
          <t>AGRICULTURE</t>
        </is>
      </c>
      <c r="Q1112" t="inlineStr">
        <is>
          <t>M</t>
        </is>
      </c>
      <c r="R1112" s="22"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2" t="n">
        <v>3768371</v>
      </c>
      <c r="K1113" s="23" t="n">
        <v>45453</v>
      </c>
      <c r="L1113" t="inlineStr">
        <is>
          <t>AGRICULTURE</t>
        </is>
      </c>
      <c r="Q1113" t="inlineStr">
        <is>
          <t>M</t>
        </is>
      </c>
      <c r="R1113" s="22"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2" t="n">
        <v>4281248</v>
      </c>
      <c r="K1114" s="23" t="n">
        <v>45453</v>
      </c>
      <c r="L1114" t="inlineStr">
        <is>
          <t>AGRICULTURE</t>
        </is>
      </c>
      <c r="Q1114" t="inlineStr">
        <is>
          <t>M</t>
        </is>
      </c>
      <c r="R1114" s="22"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2" t="n">
        <v>2708519</v>
      </c>
      <c r="K1115" s="23" t="n">
        <v>45453</v>
      </c>
      <c r="L1115" t="inlineStr">
        <is>
          <t>AGRICULTURE</t>
        </is>
      </c>
      <c r="Q1115" t="inlineStr">
        <is>
          <t>M</t>
        </is>
      </c>
      <c r="R1115" s="22"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2" t="n">
        <v>3011965</v>
      </c>
      <c r="K1116" s="23" t="n">
        <v>45453</v>
      </c>
      <c r="L1116" t="inlineStr">
        <is>
          <t>AGRICULTURE</t>
        </is>
      </c>
      <c r="Q1116" t="inlineStr">
        <is>
          <t>M</t>
        </is>
      </c>
      <c r="R1116" s="22"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2" t="n">
        <v>2640883</v>
      </c>
      <c r="K1117" s="23" t="n">
        <v>45453</v>
      </c>
      <c r="L1117" t="inlineStr">
        <is>
          <t>AGRICULTURE</t>
        </is>
      </c>
      <c r="Q1117" t="inlineStr">
        <is>
          <t>M</t>
        </is>
      </c>
      <c r="R1117" s="22"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2" t="n">
        <v>17520951</v>
      </c>
      <c r="K1118" s="23" t="n">
        <v>45320</v>
      </c>
      <c r="L1118" t="inlineStr">
        <is>
          <t>RELOCALISATION</t>
        </is>
      </c>
      <c r="Q1118" t="inlineStr">
        <is>
          <t>M</t>
        </is>
      </c>
      <c r="R1118" s="22"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2" t="n">
        <v>4499710</v>
      </c>
      <c r="K1119" s="23" t="n">
        <v>45329</v>
      </c>
      <c r="R1119" s="22"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2" t="n">
        <v>1549000</v>
      </c>
      <c r="K1120" s="23" t="n">
        <v>45329</v>
      </c>
      <c r="R1120" s="22"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2" t="n">
        <v>1174504</v>
      </c>
      <c r="K1121" s="23" t="n">
        <v>45329</v>
      </c>
      <c r="R1121" s="22"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2" t="n">
        <v>2585480</v>
      </c>
      <c r="K1122" s="23" t="n">
        <v>45329</v>
      </c>
      <c r="R1122" s="22"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2" t="n">
        <v>376948</v>
      </c>
      <c r="K1123" s="23" t="n">
        <v>45329</v>
      </c>
      <c r="R1123" s="22"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2" t="n">
        <v>902272</v>
      </c>
      <c r="K1124" s="23" t="n">
        <v>45329</v>
      </c>
      <c r="R1124" s="22"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2" t="n">
        <v>733124</v>
      </c>
      <c r="K1125" s="23" t="n">
        <v>45329</v>
      </c>
      <c r="R1125" s="22"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2" t="n">
        <v>17713704</v>
      </c>
      <c r="K1126" s="23" t="n">
        <v>45329</v>
      </c>
      <c r="R1126" s="22"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2" t="n">
        <v>824476</v>
      </c>
      <c r="K1127" s="23" t="n">
        <v>45329</v>
      </c>
      <c r="R1127" s="22"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2" t="n">
        <v>348900</v>
      </c>
      <c r="K1128" s="23" t="n">
        <v>45329</v>
      </c>
      <c r="R1128" s="22"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2" t="n">
        <v>1419156</v>
      </c>
      <c r="K1129" s="23" t="n">
        <v>45329</v>
      </c>
      <c r="R1129" s="22"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2" t="n">
        <v>412280</v>
      </c>
      <c r="K1130" s="23" t="n">
        <v>45329</v>
      </c>
      <c r="R1130" s="22"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2" t="n">
        <v>1836220</v>
      </c>
      <c r="K1131" s="23" t="n">
        <v>45329</v>
      </c>
      <c r="R1131" s="22"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2" t="n">
        <v>3984408</v>
      </c>
      <c r="K1132" s="23" t="n">
        <v>45329</v>
      </c>
      <c r="R1132" s="22"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2" t="n">
        <v>3865744</v>
      </c>
      <c r="K1133" s="23" t="n">
        <v>45329</v>
      </c>
      <c r="R1133" s="22"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2" t="n">
        <v>809192</v>
      </c>
      <c r="K1134" s="23" t="n">
        <v>45329</v>
      </c>
      <c r="R1134" s="22"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2" t="n">
        <v>1791484</v>
      </c>
      <c r="K1135" s="23" t="n">
        <v>45329</v>
      </c>
      <c r="R1135" s="22"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2" t="n">
        <v>971312</v>
      </c>
      <c r="K1136" s="23" t="n">
        <v>45329</v>
      </c>
      <c r="R1136" s="22"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2" t="n">
        <v>3407092</v>
      </c>
      <c r="K1137" s="23" t="n">
        <v>45329</v>
      </c>
      <c r="R1137" s="22"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2" t="n">
        <v>1228136</v>
      </c>
      <c r="K1138" s="23" t="n">
        <v>45329</v>
      </c>
      <c r="R1138" s="22"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2" t="n">
        <v>850280</v>
      </c>
      <c r="K1139" s="23" t="n">
        <v>45329</v>
      </c>
      <c r="R1139" s="22"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2" t="n">
        <v>461684</v>
      </c>
      <c r="K1140" s="23" t="n">
        <v>45329</v>
      </c>
      <c r="R1140" s="22"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2" t="n">
        <v>966768</v>
      </c>
      <c r="K1141" s="23" t="n">
        <v>45329</v>
      </c>
      <c r="R1141" s="22"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2" t="n">
        <v>1591312</v>
      </c>
      <c r="K1142" s="23" t="n">
        <v>45329</v>
      </c>
      <c r="R1142" s="22"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2" t="n">
        <v>895036</v>
      </c>
      <c r="K1143" s="23" t="n">
        <v>45329</v>
      </c>
      <c r="R1143" s="22"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2" t="n">
        <v>1169320</v>
      </c>
      <c r="K1144" s="23" t="n">
        <v>45329</v>
      </c>
      <c r="R1144" s="22"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2" t="n">
        <v>1270600</v>
      </c>
      <c r="K1145" s="23" t="n">
        <v>45329</v>
      </c>
      <c r="R1145" s="22"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2" t="n">
        <v>698928</v>
      </c>
      <c r="K1146" s="23" t="n">
        <v>45329</v>
      </c>
      <c r="R1146" s="22"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2" t="n">
        <v>1097300</v>
      </c>
      <c r="K1147" s="23" t="n">
        <v>45329</v>
      </c>
      <c r="R1147" s="22"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2" t="n">
        <v>510592</v>
      </c>
      <c r="K1148" s="23" t="n">
        <v>45329</v>
      </c>
      <c r="R1148" s="22"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2" t="n">
        <v>1133920</v>
      </c>
      <c r="K1149" s="23" t="n">
        <v>45329</v>
      </c>
      <c r="R1149" s="22"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2" t="n">
        <v>978376</v>
      </c>
      <c r="K1150" s="23" t="n">
        <v>45329</v>
      </c>
      <c r="R1150" s="22"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2" t="n">
        <v>1489572</v>
      </c>
      <c r="K1151" s="23" t="n">
        <v>45329</v>
      </c>
      <c r="R1151" s="22"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2" t="n">
        <v>744904</v>
      </c>
      <c r="K1152" s="23" t="n">
        <v>45329</v>
      </c>
      <c r="R1152" s="22"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2" t="n">
        <v>1838836</v>
      </c>
      <c r="K1153" s="23" t="n">
        <v>45329</v>
      </c>
      <c r="R1153" s="22"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2" t="n">
        <v>2120872</v>
      </c>
      <c r="K1154" s="23" t="n">
        <v>45329</v>
      </c>
      <c r="R1154" s="22"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2" t="n">
        <v>2544868</v>
      </c>
      <c r="K1155" s="23" t="n">
        <v>45329</v>
      </c>
      <c r="R1155" s="22"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2" t="n">
        <v>1576256</v>
      </c>
      <c r="K1156" s="23" t="n">
        <v>45329</v>
      </c>
      <c r="R1156" s="22"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2" t="n">
        <v>2576256</v>
      </c>
      <c r="K1157" s="23" t="n">
        <v>45329</v>
      </c>
      <c r="R1157" s="22"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2" t="n">
        <v>1205320</v>
      </c>
      <c r="K1158" s="23" t="n">
        <v>45329</v>
      </c>
      <c r="R1158" s="22"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2" t="n">
        <v>1950816</v>
      </c>
      <c r="K1159" s="23" t="n">
        <v>45329</v>
      </c>
      <c r="R1159" s="22"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2" t="n">
        <v>1169672</v>
      </c>
      <c r="K1160" s="23" t="n">
        <v>45329</v>
      </c>
      <c r="R1160" s="22"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2" t="n">
        <v>726508</v>
      </c>
      <c r="K1161" s="23" t="n">
        <v>45329</v>
      </c>
      <c r="R1161" s="22"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2" t="n">
        <v>2388780</v>
      </c>
      <c r="K1162" s="23" t="n">
        <v>45329</v>
      </c>
      <c r="R1162" s="22"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2" t="n">
        <v>1738796</v>
      </c>
      <c r="K1163" s="23" t="n">
        <v>45329</v>
      </c>
      <c r="R1163" s="22"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2" t="n">
        <v>1329064</v>
      </c>
      <c r="K1164" s="23" t="n">
        <v>45329</v>
      </c>
      <c r="R1164" s="22"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2" t="n">
        <v>1049204</v>
      </c>
      <c r="K1165" s="23" t="n">
        <v>45337</v>
      </c>
      <c r="R1165" s="22"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2" t="n">
        <v>10000000</v>
      </c>
      <c r="K1166" s="23" t="n">
        <v>45348</v>
      </c>
      <c r="R1166" s="22"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2" t="n">
        <v>1510000</v>
      </c>
      <c r="K1167" s="23"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2"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2" t="n">
        <v>2999970</v>
      </c>
      <c r="K1168" s="23" t="n">
        <v>45435</v>
      </c>
      <c r="R1168" s="22"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2" t="n">
        <v>2999970</v>
      </c>
      <c r="K1169" s="23" t="n">
        <v>45474</v>
      </c>
      <c r="R1169" s="22"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2" t="n">
        <v>4558748</v>
      </c>
      <c r="K1170" s="23" t="n">
        <v>45498</v>
      </c>
      <c r="R1170" s="22"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2" t="n">
        <v>1240480</v>
      </c>
      <c r="K1171" s="23" t="n">
        <v>45498</v>
      </c>
      <c r="R1171" s="22"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2" t="n">
        <v>1372560</v>
      </c>
      <c r="K1172" s="23" t="n">
        <v>45498</v>
      </c>
      <c r="R1172" s="22"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2" t="n">
        <v>688656</v>
      </c>
      <c r="K1173" s="23" t="n">
        <v>45498</v>
      </c>
      <c r="R1173" s="22"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2" t="n">
        <v>1334956</v>
      </c>
      <c r="K1174" s="23" t="n">
        <v>45498</v>
      </c>
      <c r="R1174" s="22"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2" t="n">
        <v>1351240</v>
      </c>
      <c r="K1175" s="23" t="n">
        <v>45498</v>
      </c>
      <c r="R1175" s="22"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2" t="n">
        <v>1354260</v>
      </c>
      <c r="K1176" s="23" t="n">
        <v>45498</v>
      </c>
      <c r="R1176" s="22"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2" t="n">
        <v>2307980</v>
      </c>
      <c r="K1177" s="23" t="n">
        <v>45498</v>
      </c>
      <c r="R1177" s="22"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2" t="n">
        <v>1334248</v>
      </c>
      <c r="K1178" s="23" t="n">
        <v>45498</v>
      </c>
      <c r="R1178" s="22"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2" t="n">
        <v>1678680</v>
      </c>
      <c r="K1179" s="23" t="n">
        <v>45498</v>
      </c>
      <c r="R1179" s="22"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2" t="n">
        <v>3248680</v>
      </c>
      <c r="K1180" s="23" t="n">
        <v>45498</v>
      </c>
      <c r="R1180" s="22"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2" t="n">
        <v>1235336</v>
      </c>
      <c r="K1181" s="23" t="n">
        <v>45498</v>
      </c>
      <c r="R1181" s="22"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2" t="n">
        <v>719196</v>
      </c>
      <c r="K1182" s="23" t="n">
        <v>45498</v>
      </c>
      <c r="R1182" s="22"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2" t="n">
        <v>2082240</v>
      </c>
      <c r="K1183" s="23" t="n">
        <v>45498</v>
      </c>
      <c r="R1183" s="22"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2" t="n">
        <v>2328000</v>
      </c>
      <c r="K1184" s="23" t="n">
        <v>45498</v>
      </c>
      <c r="R1184" s="22"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2"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2" t="n">
        <v>1008000</v>
      </c>
      <c r="K1186" s="23" t="n">
        <v>45561</v>
      </c>
      <c r="R1186" s="22"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2" t="n">
        <v>1093900</v>
      </c>
      <c r="K1187" s="23" t="n">
        <v>45611</v>
      </c>
      <c r="R1187" s="22"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2" t="n">
        <v>4240000</v>
      </c>
      <c r="L1188" t="inlineStr">
        <is>
          <t>HYDRAULIQUE</t>
        </is>
      </c>
      <c r="R1188" s="22"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2" t="n">
        <v>7386000</v>
      </c>
      <c r="L1189" t="inlineStr">
        <is>
          <t>AGRICULTURE</t>
        </is>
      </c>
      <c r="R1189" s="22"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2" t="n">
        <v>8006720</v>
      </c>
      <c r="L1190" t="inlineStr">
        <is>
          <t>SANTE</t>
        </is>
      </c>
      <c r="R1190" s="22"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2" t="n">
        <v>1504500</v>
      </c>
      <c r="K1191" s="23" t="n">
        <v>45442</v>
      </c>
      <c r="L1191" t="inlineStr">
        <is>
          <t>DONS</t>
        </is>
      </c>
      <c r="R1191" s="22"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2" t="n">
        <v>591800</v>
      </c>
      <c r="L1192" t="inlineStr">
        <is>
          <t>APPUIS DIVERS (GAMOU)</t>
        </is>
      </c>
      <c r="R1192" s="22"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2" t="n">
        <v>14994030</v>
      </c>
      <c r="L1193" t="inlineStr">
        <is>
          <t>APPUIS DIVERS (CONSTRUCTION D'UN HOTEL DE VILLE)</t>
        </is>
      </c>
      <c r="R1193" s="22"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2" t="n">
        <v>2000000</v>
      </c>
      <c r="L1194" t="inlineStr">
        <is>
          <t>santé</t>
        </is>
      </c>
      <c r="M1194" t="inlineStr">
        <is>
          <t>don en materiel</t>
        </is>
      </c>
      <c r="P1194" t="inlineStr">
        <is>
          <t>UDO</t>
        </is>
      </c>
      <c r="R1194" s="22"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2" t="n">
        <v>2000000</v>
      </c>
      <c r="L1195" t="inlineStr">
        <is>
          <t>santé</t>
        </is>
      </c>
      <c r="M1195" t="inlineStr">
        <is>
          <t>don de medicament</t>
        </is>
      </c>
      <c r="R1195" s="22"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2" t="n">
        <v>6000000</v>
      </c>
      <c r="L1196" t="inlineStr">
        <is>
          <t>santé</t>
        </is>
      </c>
      <c r="M1196" t="inlineStr">
        <is>
          <t>don de medicament</t>
        </is>
      </c>
      <c r="R1196" s="22"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2" t="n">
        <v>1400000</v>
      </c>
      <c r="L1197" t="inlineStr">
        <is>
          <t>éducation</t>
        </is>
      </c>
      <c r="M1197" t="inlineStr">
        <is>
          <t>don de 40  table banc</t>
        </is>
      </c>
      <c r="R1197" s="22"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2" t="n">
        <v>2100000</v>
      </c>
      <c r="L1198" t="inlineStr">
        <is>
          <t>developpement économique</t>
        </is>
      </c>
      <c r="M1198" t="inlineStr">
        <is>
          <t>don de moulin à mil</t>
        </is>
      </c>
      <c r="R1198" s="22"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2" t="n">
        <v>2500000</v>
      </c>
      <c r="L1199" t="inlineStr">
        <is>
          <t>éducation</t>
        </is>
      </c>
      <c r="M1199" t="inlineStr">
        <is>
          <t>electrification (panneau solaire) de l'école</t>
        </is>
      </c>
      <c r="R1199" s="22"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2" t="n">
        <v>1400000</v>
      </c>
      <c r="L1200" t="inlineStr">
        <is>
          <t>éducation</t>
        </is>
      </c>
      <c r="M1200" t="inlineStr">
        <is>
          <t>don de 40  table banc</t>
        </is>
      </c>
      <c r="R1200" s="22"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2" t="n">
        <v>2100000</v>
      </c>
      <c r="L1201" t="inlineStr">
        <is>
          <t>developpement économique</t>
        </is>
      </c>
      <c r="M1201" t="inlineStr">
        <is>
          <t>don de moulin à mil</t>
        </is>
      </c>
      <c r="R1201" s="22"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2" t="n">
        <v>2500000</v>
      </c>
      <c r="L1202" t="inlineStr">
        <is>
          <t>éducation</t>
        </is>
      </c>
      <c r="M1202" t="inlineStr">
        <is>
          <t>electrification (panneau solaire) de l'école</t>
        </is>
      </c>
      <c r="R1202" s="22"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2" t="n">
        <v>2100000</v>
      </c>
      <c r="L1203" t="inlineStr">
        <is>
          <t>developpement économique</t>
        </is>
      </c>
      <c r="M1203" t="inlineStr">
        <is>
          <t>don de moulin arachide</t>
        </is>
      </c>
      <c r="R1203" s="22"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2" t="n">
        <v>2100000</v>
      </c>
      <c r="L1204" t="inlineStr">
        <is>
          <t>éducation</t>
        </is>
      </c>
      <c r="M1204" t="inlineStr">
        <is>
          <t>60 tables banc</t>
        </is>
      </c>
      <c r="R1204" s="22"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2" t="n">
        <v>6638000</v>
      </c>
      <c r="L1205" t="inlineStr">
        <is>
          <t>developpement économique</t>
        </is>
      </c>
      <c r="M1205" t="inlineStr">
        <is>
          <t>electrification forage</t>
        </is>
      </c>
      <c r="R1205" s="22"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2" t="n">
        <v>700000</v>
      </c>
      <c r="L1206" t="inlineStr">
        <is>
          <t>éducation</t>
        </is>
      </c>
      <c r="M1206" t="inlineStr">
        <is>
          <t>20 tables banc</t>
        </is>
      </c>
      <c r="R1206" s="22"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2" t="n">
        <v>2100000</v>
      </c>
      <c r="L1207" t="inlineStr">
        <is>
          <t>developpement économique</t>
        </is>
      </c>
      <c r="M1207" t="inlineStr">
        <is>
          <t>don de moulin à mil</t>
        </is>
      </c>
      <c r="R1207" s="22"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2" t="n">
        <v>8004000</v>
      </c>
      <c r="L1208" t="inlineStr">
        <is>
          <t>hydrolique</t>
        </is>
      </c>
      <c r="M1208" t="inlineStr">
        <is>
          <t>forage</t>
        </is>
      </c>
      <c r="R1208" s="22"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2" t="n">
        <v>735000</v>
      </c>
      <c r="L1209" t="inlineStr">
        <is>
          <t>éducation</t>
        </is>
      </c>
      <c r="M1209" t="inlineStr">
        <is>
          <t>21 tables banc</t>
        </is>
      </c>
      <c r="R1209" s="22"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2" t="n">
        <v>2100000</v>
      </c>
      <c r="L1210" t="inlineStr">
        <is>
          <t>developpement économique</t>
        </is>
      </c>
      <c r="M1210" t="inlineStr">
        <is>
          <t>moulin à mil</t>
        </is>
      </c>
      <c r="R1210" s="22"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2" t="n">
        <v>2328000</v>
      </c>
      <c r="L1211" t="inlineStr">
        <is>
          <t>developpement économique</t>
        </is>
      </c>
      <c r="M1211" t="inlineStr">
        <is>
          <t>perimetre maraicher</t>
        </is>
      </c>
      <c r="R1211" s="22"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2" t="n">
        <v>700000</v>
      </c>
      <c r="L1212" t="inlineStr">
        <is>
          <t>éducation</t>
        </is>
      </c>
      <c r="M1212" t="inlineStr">
        <is>
          <t>20 tables banc</t>
        </is>
      </c>
      <c r="R1212" s="22"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2" t="n">
        <v>2100000</v>
      </c>
      <c r="L1213" t="inlineStr">
        <is>
          <t>developpement économique</t>
        </is>
      </c>
      <c r="M1213" t="inlineStr">
        <is>
          <t>moulin à mil</t>
        </is>
      </c>
      <c r="R1213" s="22"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2" t="n">
        <v>8004000</v>
      </c>
      <c r="L1214" t="inlineStr">
        <is>
          <t>hydrolique</t>
        </is>
      </c>
      <c r="M1214" t="inlineStr">
        <is>
          <t>forage</t>
        </is>
      </c>
      <c r="R1214" s="22"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2" t="n">
        <v>1050000</v>
      </c>
      <c r="L1215" t="inlineStr">
        <is>
          <t>éducation</t>
        </is>
      </c>
      <c r="M1215" t="inlineStr">
        <is>
          <t>20 tables banc</t>
        </is>
      </c>
      <c r="R1215" s="22"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2" t="n">
        <v>2000000</v>
      </c>
      <c r="L1216" t="inlineStr">
        <is>
          <t>developpement économique</t>
        </is>
      </c>
      <c r="M1216" t="inlineStr">
        <is>
          <t>materiel elevage volaille</t>
        </is>
      </c>
      <c r="R1216" s="22"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2" t="n">
        <v>8004000</v>
      </c>
      <c r="L1217" t="inlineStr">
        <is>
          <t>developpement économique</t>
        </is>
      </c>
      <c r="M1217" t="inlineStr">
        <is>
          <t>forage</t>
        </is>
      </c>
      <c r="R1217" s="22"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2" t="n">
        <v>700000</v>
      </c>
      <c r="L1218" t="inlineStr">
        <is>
          <t>éducation</t>
        </is>
      </c>
      <c r="M1218" t="inlineStr">
        <is>
          <t>20 tables banc</t>
        </is>
      </c>
      <c r="R1218" s="22"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2" t="n">
        <v>1000000</v>
      </c>
      <c r="L1219" t="inlineStr">
        <is>
          <t>hydrolique</t>
        </is>
      </c>
      <c r="M1219" t="inlineStr">
        <is>
          <t xml:space="preserve">changement pompe manuelle </t>
        </is>
      </c>
      <c r="R1219" s="22"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2" t="n">
        <v>1400000</v>
      </c>
      <c r="L1220" t="inlineStr">
        <is>
          <t>éducation</t>
        </is>
      </c>
      <c r="M1220" t="inlineStr">
        <is>
          <t>40 tables bancs</t>
        </is>
      </c>
      <c r="R1220" s="22"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2" t="n">
        <v>1400000</v>
      </c>
      <c r="L1221" t="inlineStr">
        <is>
          <t>éducation</t>
        </is>
      </c>
      <c r="M1221" t="inlineStr">
        <is>
          <t>40 tables bancs</t>
        </is>
      </c>
      <c r="R1221" s="22"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2" t="n">
        <v>1400000</v>
      </c>
      <c r="L1222" t="inlineStr">
        <is>
          <t>éducation</t>
        </is>
      </c>
      <c r="M1222" t="inlineStr">
        <is>
          <t>40 tables bancs</t>
        </is>
      </c>
      <c r="R1222" s="22"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2" t="n">
        <v>1400000</v>
      </c>
      <c r="L1223" t="inlineStr">
        <is>
          <t>éducation</t>
        </is>
      </c>
      <c r="M1223" t="inlineStr">
        <is>
          <t>40 tables bancs</t>
        </is>
      </c>
      <c r="R1223" s="22"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2" t="n">
        <v>700000</v>
      </c>
      <c r="L1224" t="inlineStr">
        <is>
          <t>éducation</t>
        </is>
      </c>
      <c r="M1224" t="inlineStr">
        <is>
          <t>20 tables banc</t>
        </is>
      </c>
      <c r="R1224" s="22"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2" t="n">
        <v>2328000</v>
      </c>
      <c r="L1225" t="inlineStr">
        <is>
          <t>developpement économique</t>
        </is>
      </c>
      <c r="M1225" t="inlineStr">
        <is>
          <t>cloture perimetre maraicher</t>
        </is>
      </c>
      <c r="R1225" s="22"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2" t="n">
        <v>8004000</v>
      </c>
      <c r="L1226" t="inlineStr">
        <is>
          <t>hydrolique</t>
        </is>
      </c>
      <c r="M1226" t="inlineStr">
        <is>
          <t>forage</t>
        </is>
      </c>
      <c r="R1226" s="22"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2" t="n">
        <v>700000</v>
      </c>
      <c r="L1227" t="inlineStr">
        <is>
          <t>éducation</t>
        </is>
      </c>
      <c r="M1227" t="inlineStr">
        <is>
          <t>20 tables banc</t>
        </is>
      </c>
      <c r="R1227" s="22"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2" t="n">
        <v>12075000</v>
      </c>
      <c r="K1228" s="23" t="n">
        <v>45596</v>
      </c>
      <c r="L1228" t="inlineStr">
        <is>
          <t>APPUI INSTITUTIONNEL ANNEE 2024</t>
        </is>
      </c>
      <c r="R1228" s="22"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2" t="n">
        <v>1500001.77</v>
      </c>
      <c r="K1229" s="23"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2"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2" t="n">
        <v>20000</v>
      </c>
      <c r="K1230" s="23" t="n">
        <v>45429</v>
      </c>
      <c r="L1230" t="inlineStr">
        <is>
          <t>NEANT</t>
        </is>
      </c>
      <c r="M1230" t="n">
        <v>0</v>
      </c>
      <c r="N1230" s="22" t="n">
        <v>0</v>
      </c>
      <c r="O1230" t="inlineStr">
        <is>
          <t>NEANT</t>
        </is>
      </c>
      <c r="P1230" t="inlineStr">
        <is>
          <t>NEANT</t>
        </is>
      </c>
      <c r="Q1230" t="inlineStr">
        <is>
          <t>NEANT</t>
        </is>
      </c>
      <c r="R1230" s="22"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2" t="n">
        <v>35000</v>
      </c>
      <c r="K1231" s="23" t="n">
        <v>45429</v>
      </c>
      <c r="L1231" t="inlineStr">
        <is>
          <t>NEANT</t>
        </is>
      </c>
      <c r="M1231" t="n">
        <v>0</v>
      </c>
      <c r="N1231" s="22" t="n">
        <v>0</v>
      </c>
      <c r="O1231" t="inlineStr">
        <is>
          <t>NEANT</t>
        </is>
      </c>
      <c r="P1231" t="inlineStr">
        <is>
          <t>NEANT</t>
        </is>
      </c>
      <c r="Q1231" t="inlineStr">
        <is>
          <t>NEANT</t>
        </is>
      </c>
      <c r="R1231" s="22"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2" t="n">
        <v>140000</v>
      </c>
      <c r="K1232" s="23" t="n">
        <v>45428</v>
      </c>
      <c r="L1232" t="inlineStr">
        <is>
          <t>NEANT</t>
        </is>
      </c>
      <c r="M1232" t="n">
        <v>0</v>
      </c>
      <c r="N1232" s="22" t="n">
        <v>0</v>
      </c>
      <c r="O1232" t="inlineStr">
        <is>
          <t>NEANT</t>
        </is>
      </c>
      <c r="P1232" t="inlineStr">
        <is>
          <t>NEANT</t>
        </is>
      </c>
      <c r="Q1232" t="inlineStr">
        <is>
          <t>NEANT</t>
        </is>
      </c>
      <c r="R1232" s="22"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2" t="n">
        <v>1500001.38</v>
      </c>
      <c r="K1233" s="23"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2"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2" t="n">
        <v>47000</v>
      </c>
      <c r="K1234" s="23" t="n">
        <v>45407</v>
      </c>
      <c r="L1234" t="inlineStr">
        <is>
          <t>NEANT</t>
        </is>
      </c>
      <c r="M1234" t="n">
        <v>0</v>
      </c>
      <c r="N1234" s="22" t="n">
        <v>0</v>
      </c>
      <c r="O1234" t="inlineStr">
        <is>
          <t>NEANT</t>
        </is>
      </c>
      <c r="P1234" t="inlineStr">
        <is>
          <t>NEANT</t>
        </is>
      </c>
      <c r="Q1234" t="inlineStr">
        <is>
          <t>NEANT</t>
        </is>
      </c>
      <c r="R1234" s="22"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2" t="n">
        <v>45000</v>
      </c>
      <c r="K1235" s="23" t="n">
        <v>45407</v>
      </c>
      <c r="L1235" t="inlineStr">
        <is>
          <t>NEANT</t>
        </is>
      </c>
      <c r="M1235" t="n">
        <v>0</v>
      </c>
      <c r="N1235" s="22" t="n">
        <v>0</v>
      </c>
      <c r="O1235" t="inlineStr">
        <is>
          <t>NEANT</t>
        </is>
      </c>
      <c r="P1235" t="inlineStr">
        <is>
          <t>NEANT</t>
        </is>
      </c>
      <c r="Q1235" t="inlineStr">
        <is>
          <t>NEANT</t>
        </is>
      </c>
      <c r="R1235" s="22"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2" t="n">
        <v>14000</v>
      </c>
      <c r="K1236" s="23" t="n">
        <v>45406</v>
      </c>
      <c r="L1236" t="inlineStr">
        <is>
          <t>NEANT</t>
        </is>
      </c>
      <c r="M1236" t="n">
        <v>0</v>
      </c>
      <c r="N1236" s="22" t="n">
        <v>0</v>
      </c>
      <c r="O1236" t="inlineStr">
        <is>
          <t>NEANT</t>
        </is>
      </c>
      <c r="P1236" t="inlineStr">
        <is>
          <t>NEANT</t>
        </is>
      </c>
      <c r="Q1236" t="inlineStr">
        <is>
          <t>NEANT</t>
        </is>
      </c>
      <c r="R1236" s="22"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2" t="n">
        <v>1500000</v>
      </c>
      <c r="K1237" s="23"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2"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2" t="n">
        <v>1500000</v>
      </c>
      <c r="K1238" s="23"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2"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2" t="n">
        <v>1500000</v>
      </c>
      <c r="K1239" s="23"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2"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2" t="n">
        <v>1500000</v>
      </c>
      <c r="K1240" s="23" t="n">
        <v>45302</v>
      </c>
      <c r="R1240" s="22"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2" t="n">
        <v>1500000</v>
      </c>
      <c r="K1241" s="23" t="n">
        <v>45407</v>
      </c>
      <c r="R1241" s="22"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2" t="n">
        <v>1500000</v>
      </c>
      <c r="K1242" t="inlineStr">
        <is>
          <t>2024-02-12</t>
        </is>
      </c>
      <c r="L1242" t="inlineStr">
        <is>
          <t>Appuis divers</t>
        </is>
      </c>
      <c r="R1242" s="22"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2" t="n">
        <v>1500000</v>
      </c>
      <c r="K1243" t="inlineStr">
        <is>
          <t>2024-12-02</t>
        </is>
      </c>
      <c r="L1243" t="inlineStr">
        <is>
          <t>Appuis divers</t>
        </is>
      </c>
      <c r="R1243" s="22"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2" t="n">
        <v>3000000</v>
      </c>
      <c r="R1244" s="22"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2" t="n">
        <v>5000000</v>
      </c>
      <c r="R1245" s="22"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2" t="n">
        <v>1500000</v>
      </c>
      <c r="K1246" t="inlineStr">
        <is>
          <t>2024-12-30</t>
        </is>
      </c>
      <c r="L1246" t="inlineStr">
        <is>
          <t>Appuis divers</t>
        </is>
      </c>
      <c r="R1246" s="22"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2" t="n">
        <v>1500000</v>
      </c>
      <c r="K1247" s="23" t="n">
        <v>45049</v>
      </c>
      <c r="M1247" t="inlineStr">
        <is>
          <t>Appuis divers</t>
        </is>
      </c>
      <c r="R1247" s="22"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2" t="n">
        <v>830000</v>
      </c>
      <c r="R1248" s="22"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2" t="n">
        <v>54268763</v>
      </c>
      <c r="R1249" s="22"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2" t="n">
        <v>23967511</v>
      </c>
      <c r="R1250" s="22"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2" t="n">
        <v>78331043</v>
      </c>
      <c r="R1251" s="22"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2" t="n">
        <v>1500000</v>
      </c>
      <c r="K1252" t="inlineStr">
        <is>
          <t>18/12/2023</t>
        </is>
      </c>
      <c r="L1252" t="inlineStr">
        <is>
          <t>Appuis divers</t>
        </is>
      </c>
      <c r="R1252" s="22"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2" t="n">
        <v>1500000</v>
      </c>
      <c r="K1253" t="inlineStr">
        <is>
          <t>22/02/2023</t>
        </is>
      </c>
      <c r="L1253" t="inlineStr">
        <is>
          <t>Appuis divers</t>
        </is>
      </c>
      <c r="R1253" s="22"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2" t="n">
        <v>5005000</v>
      </c>
      <c r="R1254" s="22"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2" t="n">
        <v>1500000</v>
      </c>
      <c r="K1255" t="inlineStr">
        <is>
          <t>18/08/2023</t>
        </is>
      </c>
      <c r="L1255" t="inlineStr">
        <is>
          <t>Appuis divers</t>
        </is>
      </c>
      <c r="R1255" s="22"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2" t="n">
        <v>1500000</v>
      </c>
      <c r="K1256" t="inlineStr">
        <is>
          <t>31/12/2023</t>
        </is>
      </c>
      <c r="L1256" t="inlineStr">
        <is>
          <t>Appuis divers</t>
        </is>
      </c>
      <c r="R1256" s="22"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2" t="n">
        <v>96153108</v>
      </c>
      <c r="R1257" s="22"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2" t="n">
        <v>268600</v>
      </c>
      <c r="R1258" s="22"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2" t="n">
        <v>12802403</v>
      </c>
      <c r="R1259" s="22"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2" t="n">
        <v>767000</v>
      </c>
      <c r="R1260" s="22"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2" t="n">
        <v>258000</v>
      </c>
      <c r="R1261" s="22"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2" t="n">
        <v>3891805</v>
      </c>
      <c r="R1262" s="22"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2" t="n">
        <v>35193500</v>
      </c>
      <c r="R1263" s="22"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2" t="n">
        <v>9250000</v>
      </c>
      <c r="R1264" s="22"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2" t="n">
        <v>510619</v>
      </c>
      <c r="K1265" s="23" t="n">
        <v>45315</v>
      </c>
      <c r="L1265" t="inlineStr">
        <is>
          <t>Social</t>
        </is>
      </c>
      <c r="M1265" t="inlineStr">
        <is>
          <t>Caisse de solidarité SSPT</t>
        </is>
      </c>
      <c r="N1265" t="inlineStr">
        <is>
          <t>Récurrent</t>
        </is>
      </c>
      <c r="O1265" t="n">
        <v>45291</v>
      </c>
      <c r="R1265" s="22"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2" t="n">
        <v>844749</v>
      </c>
      <c r="K1266" s="23" t="n">
        <v>45369</v>
      </c>
      <c r="L1266" t="inlineStr">
        <is>
          <t>Social</t>
        </is>
      </c>
      <c r="M1266" t="inlineStr">
        <is>
          <t>Caisse de solidarité SSPT</t>
        </is>
      </c>
      <c r="N1266" t="inlineStr">
        <is>
          <t>Récurrent</t>
        </is>
      </c>
      <c r="O1266" t="n">
        <v>45322</v>
      </c>
      <c r="R1266" s="22"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2" t="n">
        <v>490550</v>
      </c>
      <c r="K1267" s="23" t="n">
        <v>45369</v>
      </c>
      <c r="L1267" t="inlineStr">
        <is>
          <t>Social</t>
        </is>
      </c>
      <c r="M1267" t="inlineStr">
        <is>
          <t>Caisse de solidarité SSPT</t>
        </is>
      </c>
      <c r="N1267" t="inlineStr">
        <is>
          <t>Récurrent</t>
        </is>
      </c>
      <c r="O1267" t="n">
        <v>45323</v>
      </c>
      <c r="R1267" s="22"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2" t="n">
        <v>1573816</v>
      </c>
      <c r="K1268" s="23" t="n">
        <v>45399</v>
      </c>
      <c r="L1268" t="inlineStr">
        <is>
          <t>Social</t>
        </is>
      </c>
      <c r="M1268" t="inlineStr">
        <is>
          <t>Caisse de solidarité SSPT</t>
        </is>
      </c>
      <c r="N1268" t="inlineStr">
        <is>
          <t>Récurrent</t>
        </is>
      </c>
      <c r="O1268" t="n">
        <v>45352</v>
      </c>
      <c r="R1268" s="22"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2" t="n">
        <v>1625772</v>
      </c>
      <c r="K1269" s="23" t="n">
        <v>45471</v>
      </c>
      <c r="L1269" t="inlineStr">
        <is>
          <t>Social</t>
        </is>
      </c>
      <c r="M1269" t="inlineStr">
        <is>
          <t>Caisse de solidarité SSPT</t>
        </is>
      </c>
      <c r="N1269" t="inlineStr">
        <is>
          <t>Récurrent</t>
        </is>
      </c>
      <c r="O1269" t="n">
        <v>45383</v>
      </c>
      <c r="R1269" s="22"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2" t="n">
        <v>1660066</v>
      </c>
      <c r="K1270" s="23" t="n">
        <v>45475</v>
      </c>
      <c r="L1270" t="inlineStr">
        <is>
          <t>Social</t>
        </is>
      </c>
      <c r="M1270" t="inlineStr">
        <is>
          <t>Caisse de solidarité SSPT</t>
        </is>
      </c>
      <c r="N1270" t="inlineStr">
        <is>
          <t>Récurrent</t>
        </is>
      </c>
      <c r="O1270" t="n">
        <v>45413</v>
      </c>
      <c r="R1270" s="22"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2" t="n">
        <v>1356541</v>
      </c>
      <c r="K1271" s="23" t="n">
        <v>45533</v>
      </c>
      <c r="L1271" t="inlineStr">
        <is>
          <t>Social</t>
        </is>
      </c>
      <c r="M1271" t="inlineStr">
        <is>
          <t>Caisse de solidarité SSPT</t>
        </is>
      </c>
      <c r="N1271" t="inlineStr">
        <is>
          <t>Récurrent</t>
        </is>
      </c>
      <c r="O1271" t="n">
        <v>45444</v>
      </c>
      <c r="R1271" s="22"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2" t="n">
        <v>1190162</v>
      </c>
      <c r="K1272" s="23" t="n">
        <v>45544</v>
      </c>
      <c r="L1272" t="inlineStr">
        <is>
          <t>Social</t>
        </is>
      </c>
      <c r="M1272" t="inlineStr">
        <is>
          <t>Caisse de solidarité SSPT</t>
        </is>
      </c>
      <c r="N1272" t="inlineStr">
        <is>
          <t>Récurrent</t>
        </is>
      </c>
      <c r="O1272" t="n">
        <v>45474</v>
      </c>
      <c r="R1272" s="22"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2" t="n">
        <v>1053804</v>
      </c>
      <c r="K1273" s="23" t="n">
        <v>45544</v>
      </c>
      <c r="L1273" t="inlineStr">
        <is>
          <t>Social</t>
        </is>
      </c>
      <c r="M1273" t="inlineStr">
        <is>
          <t>Caisse de solidarité SSPT</t>
        </is>
      </c>
      <c r="N1273" t="inlineStr">
        <is>
          <t>Récurrent</t>
        </is>
      </c>
      <c r="O1273" t="n">
        <v>45505</v>
      </c>
      <c r="R1273" s="22"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2" t="n">
        <v>1186714</v>
      </c>
      <c r="K1274" s="23" t="n">
        <v>45581</v>
      </c>
      <c r="L1274" t="inlineStr">
        <is>
          <t>Social</t>
        </is>
      </c>
      <c r="M1274" t="inlineStr">
        <is>
          <t>Caisse de solidarité SSPT</t>
        </is>
      </c>
      <c r="N1274" t="inlineStr">
        <is>
          <t>Récurrent</t>
        </is>
      </c>
      <c r="O1274" t="n">
        <v>45536</v>
      </c>
      <c r="R1274" s="22"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2" t="n">
        <v>1270262</v>
      </c>
      <c r="K1275" s="23" t="n">
        <v>45608</v>
      </c>
      <c r="L1275" t="inlineStr">
        <is>
          <t>Social</t>
        </is>
      </c>
      <c r="M1275" t="inlineStr">
        <is>
          <t>Caisse de solidarité SSPT</t>
        </is>
      </c>
      <c r="N1275" t="inlineStr">
        <is>
          <t>Récurrent</t>
        </is>
      </c>
      <c r="O1275" t="n">
        <v>45566</v>
      </c>
      <c r="R1275" s="22"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2" t="n">
        <v>1268031</v>
      </c>
      <c r="K1276" s="23" t="n">
        <v>45642</v>
      </c>
      <c r="L1276" t="inlineStr">
        <is>
          <t>Social</t>
        </is>
      </c>
      <c r="M1276" t="inlineStr">
        <is>
          <t>Caisse de solidarité SSPT</t>
        </is>
      </c>
      <c r="N1276" t="inlineStr">
        <is>
          <t>Récurrent</t>
        </is>
      </c>
      <c r="O1276" t="n">
        <v>45597</v>
      </c>
      <c r="R1276" s="22"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2" t="n">
        <v>1079426</v>
      </c>
      <c r="K1277" s="23" t="n">
        <v>45315</v>
      </c>
      <c r="L1277" t="inlineStr">
        <is>
          <t>Social</t>
        </is>
      </c>
      <c r="M1277" t="inlineStr">
        <is>
          <t>IPM SSPT</t>
        </is>
      </c>
      <c r="N1277" t="inlineStr">
        <is>
          <t>Récurrent</t>
        </is>
      </c>
      <c r="O1277" t="n">
        <v>45291</v>
      </c>
      <c r="R1277" s="22"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2" t="n">
        <v>1037880</v>
      </c>
      <c r="K1278" s="23" t="n">
        <v>45369</v>
      </c>
      <c r="L1278" t="inlineStr">
        <is>
          <t>Social</t>
        </is>
      </c>
      <c r="M1278" t="inlineStr">
        <is>
          <t>IPM SSPT</t>
        </is>
      </c>
      <c r="N1278" t="inlineStr">
        <is>
          <t>Récurrent</t>
        </is>
      </c>
      <c r="O1278" t="n">
        <v>45322</v>
      </c>
      <c r="R1278" s="22"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2" t="n">
        <v>1043818</v>
      </c>
      <c r="K1279" s="23" t="n">
        <v>45369</v>
      </c>
      <c r="L1279" t="inlineStr">
        <is>
          <t>Social</t>
        </is>
      </c>
      <c r="M1279" t="inlineStr">
        <is>
          <t>IPM SSPT</t>
        </is>
      </c>
      <c r="N1279" t="inlineStr">
        <is>
          <t>Récurrent</t>
        </is>
      </c>
      <c r="O1279" t="n">
        <v>45323</v>
      </c>
      <c r="R1279" s="22"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2" t="n">
        <v>1061004</v>
      </c>
      <c r="K1280" s="23" t="n">
        <v>45399</v>
      </c>
      <c r="L1280" t="inlineStr">
        <is>
          <t>Social</t>
        </is>
      </c>
      <c r="M1280" t="inlineStr">
        <is>
          <t>IPM SSPT</t>
        </is>
      </c>
      <c r="N1280" t="inlineStr">
        <is>
          <t>Récurrent</t>
        </is>
      </c>
      <c r="O1280" t="n">
        <v>45352</v>
      </c>
      <c r="R1280" s="22"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2" t="n">
        <v>1031698</v>
      </c>
      <c r="K1281" s="23" t="n">
        <v>45471</v>
      </c>
      <c r="L1281" t="inlineStr">
        <is>
          <t>Social</t>
        </is>
      </c>
      <c r="M1281" t="inlineStr">
        <is>
          <t>IPM SSPT</t>
        </is>
      </c>
      <c r="N1281" t="inlineStr">
        <is>
          <t>Récurrent</t>
        </is>
      </c>
      <c r="O1281" t="n">
        <v>45383</v>
      </c>
      <c r="R1281" s="22"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2" t="n">
        <v>1062806</v>
      </c>
      <c r="K1282" s="23" t="n">
        <v>45475</v>
      </c>
      <c r="L1282" t="inlineStr">
        <is>
          <t>Social</t>
        </is>
      </c>
      <c r="M1282" t="inlineStr">
        <is>
          <t>IPM SSPT</t>
        </is>
      </c>
      <c r="N1282" t="inlineStr">
        <is>
          <t>Récurrent</t>
        </is>
      </c>
      <c r="O1282" t="n">
        <v>45413</v>
      </c>
      <c r="R1282" s="22"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2" t="n">
        <v>1056282</v>
      </c>
      <c r="K1283" s="23" t="n">
        <v>45475</v>
      </c>
      <c r="L1283" t="inlineStr">
        <is>
          <t>Social</t>
        </is>
      </c>
      <c r="M1283" t="inlineStr">
        <is>
          <t>IPM SSPT</t>
        </is>
      </c>
      <c r="N1283" t="inlineStr">
        <is>
          <t>Récurrent</t>
        </is>
      </c>
      <c r="O1283" t="n">
        <v>45444</v>
      </c>
      <c r="R1283" s="22"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2" t="n">
        <v>998664</v>
      </c>
      <c r="K1284" s="23" t="n">
        <v>45545</v>
      </c>
      <c r="L1284" t="inlineStr">
        <is>
          <t>Social</t>
        </is>
      </c>
      <c r="M1284" t="inlineStr">
        <is>
          <t>IPM SSPT</t>
        </is>
      </c>
      <c r="N1284" t="inlineStr">
        <is>
          <t>Récurrent</t>
        </is>
      </c>
      <c r="O1284" t="n">
        <v>45474</v>
      </c>
      <c r="R1284" s="22"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2" t="n">
        <v>1057100</v>
      </c>
      <c r="K1285" s="23" t="n">
        <v>45545</v>
      </c>
      <c r="L1285" t="inlineStr">
        <is>
          <t>Social</t>
        </is>
      </c>
      <c r="M1285" t="inlineStr">
        <is>
          <t>IPM SSPT</t>
        </is>
      </c>
      <c r="N1285" t="inlineStr">
        <is>
          <t>Récurrent</t>
        </is>
      </c>
      <c r="O1285" t="n">
        <v>45505</v>
      </c>
      <c r="R1285" s="22"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2" t="n">
        <v>1026646</v>
      </c>
      <c r="K1286" s="23" t="n">
        <v>45581</v>
      </c>
      <c r="L1286" t="inlineStr">
        <is>
          <t>Social</t>
        </is>
      </c>
      <c r="M1286" t="inlineStr">
        <is>
          <t>IPM SSPT</t>
        </is>
      </c>
      <c r="N1286" t="inlineStr">
        <is>
          <t>Récurrent</t>
        </is>
      </c>
      <c r="O1286" t="n">
        <v>45536</v>
      </c>
      <c r="R1286" s="22"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2" t="n">
        <v>1051512</v>
      </c>
      <c r="K1287" s="23" t="n">
        <v>45608</v>
      </c>
      <c r="L1287" t="inlineStr">
        <is>
          <t>Social</t>
        </is>
      </c>
      <c r="M1287" t="inlineStr">
        <is>
          <t>IPM SSPT</t>
        </is>
      </c>
      <c r="N1287" t="inlineStr">
        <is>
          <t>Récurrent</t>
        </is>
      </c>
      <c r="O1287" t="n">
        <v>45566</v>
      </c>
      <c r="R1287" s="22"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2" t="n">
        <v>1027002</v>
      </c>
      <c r="K1288" s="23" t="n">
        <v>45642</v>
      </c>
      <c r="L1288" t="inlineStr">
        <is>
          <t>Social</t>
        </is>
      </c>
      <c r="M1288" t="inlineStr">
        <is>
          <t>IPM SSPT</t>
        </is>
      </c>
      <c r="N1288" t="inlineStr">
        <is>
          <t>Récurrent</t>
        </is>
      </c>
      <c r="O1288" t="n">
        <v>45597</v>
      </c>
      <c r="R1288" s="22"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2" t="n">
        <v>1747557</v>
      </c>
      <c r="K1289" s="23" t="n">
        <v>45323</v>
      </c>
      <c r="L1289" t="inlineStr">
        <is>
          <t>Social</t>
        </is>
      </c>
      <c r="M1289" t="inlineStr">
        <is>
          <t>Caisse de solidarité SSPT</t>
        </is>
      </c>
      <c r="N1289" t="inlineStr">
        <is>
          <t>Récurrent</t>
        </is>
      </c>
      <c r="O1289" t="n">
        <v>45291</v>
      </c>
      <c r="R1289" s="22"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2" t="n">
        <v>1740811</v>
      </c>
      <c r="K1290" s="23" t="n">
        <v>45366</v>
      </c>
      <c r="L1290" t="inlineStr">
        <is>
          <t>Social</t>
        </is>
      </c>
      <c r="M1290" t="inlineStr">
        <is>
          <t>Caisse de solidarité SSPT</t>
        </is>
      </c>
      <c r="N1290" t="inlineStr">
        <is>
          <t>Récurrent</t>
        </is>
      </c>
      <c r="O1290" t="n">
        <v>45322</v>
      </c>
      <c r="R1290" s="22"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2" t="n">
        <v>1757245</v>
      </c>
      <c r="K1291" s="23" t="n">
        <v>45400</v>
      </c>
      <c r="L1291" t="inlineStr">
        <is>
          <t>Social</t>
        </is>
      </c>
      <c r="M1291" t="inlineStr">
        <is>
          <t>Caisse de solidarité SSPT</t>
        </is>
      </c>
      <c r="N1291" t="inlineStr">
        <is>
          <t>Récurrent</t>
        </is>
      </c>
      <c r="O1291" t="n">
        <v>45323</v>
      </c>
      <c r="R1291" s="22"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2" t="n">
        <v>1728633</v>
      </c>
      <c r="K1292" s="23" t="n">
        <v>45441</v>
      </c>
      <c r="L1292" t="inlineStr">
        <is>
          <t>Social</t>
        </is>
      </c>
      <c r="M1292" t="inlineStr">
        <is>
          <t>Caisse de solidarité SSPT</t>
        </is>
      </c>
      <c r="N1292" t="inlineStr">
        <is>
          <t>Récurrent</t>
        </is>
      </c>
      <c r="O1292" t="n">
        <v>45352</v>
      </c>
      <c r="R1292" s="22"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2" t="n">
        <v>1788211</v>
      </c>
      <c r="K1293" s="23" t="n">
        <v>45471</v>
      </c>
      <c r="L1293" t="inlineStr">
        <is>
          <t>Social</t>
        </is>
      </c>
      <c r="M1293" t="inlineStr">
        <is>
          <t>Caisse de solidarité SSPT</t>
        </is>
      </c>
      <c r="N1293" t="inlineStr">
        <is>
          <t>Récurrent</t>
        </is>
      </c>
      <c r="O1293" t="n">
        <v>45383</v>
      </c>
      <c r="R1293" s="22"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2" t="n">
        <v>1691303</v>
      </c>
      <c r="K1294" s="23" t="n">
        <v>45502</v>
      </c>
      <c r="L1294" t="inlineStr">
        <is>
          <t>Social</t>
        </is>
      </c>
      <c r="M1294" t="inlineStr">
        <is>
          <t>Caisse de solidarité SSPT</t>
        </is>
      </c>
      <c r="N1294" t="inlineStr">
        <is>
          <t>Récurrent</t>
        </is>
      </c>
      <c r="O1294" t="n">
        <v>45413</v>
      </c>
      <c r="R1294" s="22"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2" t="n">
        <v>1862913</v>
      </c>
      <c r="K1295" s="23" t="n">
        <v>45531</v>
      </c>
      <c r="L1295" t="inlineStr">
        <is>
          <t>Social</t>
        </is>
      </c>
      <c r="M1295" t="inlineStr">
        <is>
          <t>Caisse de solidarité SSPT</t>
        </is>
      </c>
      <c r="N1295" t="inlineStr">
        <is>
          <t>Récurrent</t>
        </is>
      </c>
      <c r="O1295" t="n">
        <v>45444</v>
      </c>
      <c r="R1295" s="22"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2" t="n">
        <v>1844285</v>
      </c>
      <c r="K1296" s="23" t="n">
        <v>45544</v>
      </c>
      <c r="L1296" t="inlineStr">
        <is>
          <t>Social</t>
        </is>
      </c>
      <c r="M1296" t="inlineStr">
        <is>
          <t>Caisse de solidarité SSPT</t>
        </is>
      </c>
      <c r="N1296" t="inlineStr">
        <is>
          <t>Récurrent</t>
        </is>
      </c>
      <c r="O1296" t="n">
        <v>45474</v>
      </c>
      <c r="R1296" s="22"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2" t="n">
        <v>1822091</v>
      </c>
      <c r="K1297" s="23" t="n">
        <v>45544</v>
      </c>
      <c r="L1297" t="inlineStr">
        <is>
          <t>Social</t>
        </is>
      </c>
      <c r="M1297" t="inlineStr">
        <is>
          <t>Caisse de solidarité SSPT</t>
        </is>
      </c>
      <c r="N1297" t="inlineStr">
        <is>
          <t>Récurrent</t>
        </is>
      </c>
      <c r="O1297" t="n">
        <v>45505</v>
      </c>
      <c r="R1297" s="22"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2" t="n">
        <v>1805024</v>
      </c>
      <c r="K1298" s="23" t="n">
        <v>45595</v>
      </c>
      <c r="L1298" t="inlineStr">
        <is>
          <t>Social</t>
        </is>
      </c>
      <c r="M1298" t="inlineStr">
        <is>
          <t>Caisse de solidarité SSPT</t>
        </is>
      </c>
      <c r="N1298" t="inlineStr">
        <is>
          <t>Récurrent</t>
        </is>
      </c>
      <c r="O1298" t="n">
        <v>45536</v>
      </c>
      <c r="R1298" s="22"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2" t="n">
        <v>1817291</v>
      </c>
      <c r="K1299" s="23" t="n">
        <v>45626</v>
      </c>
      <c r="L1299" t="inlineStr">
        <is>
          <t>Social</t>
        </is>
      </c>
      <c r="M1299" t="inlineStr">
        <is>
          <t>Caisse de solidarité SSPT</t>
        </is>
      </c>
      <c r="N1299" t="inlineStr">
        <is>
          <t>Récurrent</t>
        </is>
      </c>
      <c r="O1299" t="n">
        <v>45566</v>
      </c>
      <c r="R1299" s="22"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2" t="n">
        <v>1826756</v>
      </c>
      <c r="K1300" s="23" t="n">
        <v>45642</v>
      </c>
      <c r="L1300" t="inlineStr">
        <is>
          <t>Social</t>
        </is>
      </c>
      <c r="M1300" t="inlineStr">
        <is>
          <t>Caisse de solidarité SSPT</t>
        </is>
      </c>
      <c r="N1300" t="inlineStr">
        <is>
          <t>Récurrent</t>
        </is>
      </c>
      <c r="O1300" t="n">
        <v>45597</v>
      </c>
      <c r="R1300" s="22"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2" t="n">
        <v>65000</v>
      </c>
      <c r="K1301" t="inlineStr">
        <is>
          <t>2024-01-08</t>
        </is>
      </c>
      <c r="L1301" t="inlineStr">
        <is>
          <t>Education</t>
        </is>
      </c>
      <c r="R1301" s="22"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2" t="n">
        <v>10536572</v>
      </c>
      <c r="K1302" t="inlineStr">
        <is>
          <t>2024-02-22</t>
        </is>
      </c>
      <c r="L1302" t="inlineStr">
        <is>
          <t>Education</t>
        </is>
      </c>
      <c r="R1302" s="22"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2" t="n">
        <v>5635921</v>
      </c>
      <c r="K1303" t="inlineStr">
        <is>
          <t>2024-02-22</t>
        </is>
      </c>
      <c r="L1303" t="inlineStr">
        <is>
          <t>Education</t>
        </is>
      </c>
      <c r="R1303" s="22"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2" t="n">
        <v>2413477</v>
      </c>
      <c r="K1304" t="inlineStr">
        <is>
          <t>2024-02-22</t>
        </is>
      </c>
      <c r="L1304" t="inlineStr">
        <is>
          <t>Education</t>
        </is>
      </c>
      <c r="R1304" s="22"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2" t="n">
        <v>-7526123</v>
      </c>
      <c r="K1305" t="inlineStr">
        <is>
          <t>2024-02-29</t>
        </is>
      </c>
      <c r="L1305" t="inlineStr">
        <is>
          <t>Education</t>
        </is>
      </c>
      <c r="R1305" s="22"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2" t="n">
        <v>-7526122</v>
      </c>
      <c r="K1306" t="inlineStr">
        <is>
          <t>2024-02-29</t>
        </is>
      </c>
      <c r="L1306" t="inlineStr">
        <is>
          <t>Education</t>
        </is>
      </c>
      <c r="R1306" s="22"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2" t="n">
        <v>240000</v>
      </c>
      <c r="K1307" t="inlineStr">
        <is>
          <t>2024-02-12</t>
        </is>
      </c>
      <c r="L1307" t="inlineStr">
        <is>
          <t>Education</t>
        </is>
      </c>
      <c r="R1307" s="22"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2" t="n">
        <v>65000</v>
      </c>
      <c r="K1308" t="inlineStr">
        <is>
          <t>2024-02-12</t>
        </is>
      </c>
      <c r="L1308" t="inlineStr">
        <is>
          <t>Education</t>
        </is>
      </c>
      <c r="R1308" s="22"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2" t="n">
        <v>4129333</v>
      </c>
      <c r="K1309" t="inlineStr">
        <is>
          <t>2024-03-21</t>
        </is>
      </c>
      <c r="L1309" t="inlineStr">
        <is>
          <t>Education</t>
        </is>
      </c>
      <c r="R1309" s="22"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2" t="n">
        <v>1295000</v>
      </c>
      <c r="K1310" t="inlineStr">
        <is>
          <t>2024-03-21</t>
        </is>
      </c>
      <c r="L1310" t="inlineStr">
        <is>
          <t>Education</t>
        </is>
      </c>
      <c r="R1310" s="22"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2" t="n">
        <v>24700000</v>
      </c>
      <c r="K1311" t="inlineStr">
        <is>
          <t>2024-03-21</t>
        </is>
      </c>
      <c r="L1311" t="inlineStr">
        <is>
          <t>Education</t>
        </is>
      </c>
      <c r="R1311" s="22"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2" t="n">
        <v>4129333</v>
      </c>
      <c r="K1312" t="inlineStr">
        <is>
          <t>2024-03-21</t>
        </is>
      </c>
      <c r="L1312" t="inlineStr">
        <is>
          <t>Education</t>
        </is>
      </c>
      <c r="R1312" s="22"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2" t="n">
        <v>4129333</v>
      </c>
      <c r="K1313" t="inlineStr">
        <is>
          <t>2024-03-21</t>
        </is>
      </c>
      <c r="L1313" t="inlineStr">
        <is>
          <t>Education</t>
        </is>
      </c>
      <c r="R1313" s="22"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2" t="n">
        <v>4129333</v>
      </c>
      <c r="K1314" t="inlineStr">
        <is>
          <t>2024-03-21</t>
        </is>
      </c>
      <c r="L1314" t="inlineStr">
        <is>
          <t>Education</t>
        </is>
      </c>
      <c r="R1314" s="22"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2" t="n">
        <v>4129333</v>
      </c>
      <c r="K1315" t="inlineStr">
        <is>
          <t>2024-03-21</t>
        </is>
      </c>
      <c r="L1315" t="inlineStr">
        <is>
          <t>Education</t>
        </is>
      </c>
      <c r="R1315" s="22"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2" t="n">
        <v>3281088</v>
      </c>
      <c r="K1316" t="inlineStr">
        <is>
          <t>2024-03-21</t>
        </is>
      </c>
      <c r="L1316" t="inlineStr">
        <is>
          <t>Education</t>
        </is>
      </c>
      <c r="R1316" s="22"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2" t="n">
        <v>3281088</v>
      </c>
      <c r="K1317" t="inlineStr">
        <is>
          <t>2024-03-21</t>
        </is>
      </c>
      <c r="L1317" t="inlineStr">
        <is>
          <t>Education</t>
        </is>
      </c>
      <c r="R1317" s="22"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2" t="n">
        <v>1895514</v>
      </c>
      <c r="K1318" t="inlineStr">
        <is>
          <t>2024-03-21</t>
        </is>
      </c>
      <c r="L1318" t="inlineStr">
        <is>
          <t>Education</t>
        </is>
      </c>
      <c r="R1318" s="22"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2" t="n">
        <v>65000</v>
      </c>
      <c r="K1319" t="inlineStr">
        <is>
          <t>2024-03-06</t>
        </is>
      </c>
      <c r="L1319" t="inlineStr">
        <is>
          <t>Education</t>
        </is>
      </c>
      <c r="R1319" s="22"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2" t="n">
        <v>220000</v>
      </c>
      <c r="K1320" t="inlineStr">
        <is>
          <t>2024-04-05</t>
        </is>
      </c>
      <c r="L1320" t="inlineStr">
        <is>
          <t>Education</t>
        </is>
      </c>
      <c r="R1320" s="22"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2" t="n">
        <v>97000</v>
      </c>
      <c r="K1321" t="inlineStr">
        <is>
          <t>2024-04-05</t>
        </is>
      </c>
      <c r="L1321" t="inlineStr">
        <is>
          <t>Education</t>
        </is>
      </c>
      <c r="R1321" s="22"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2" t="n">
        <v>87200</v>
      </c>
      <c r="K1322" t="inlineStr">
        <is>
          <t>2024-04-05</t>
        </is>
      </c>
      <c r="L1322" t="inlineStr">
        <is>
          <t>Education</t>
        </is>
      </c>
      <c r="R1322" s="22"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2" t="n">
        <v>55000</v>
      </c>
      <c r="K1323" t="inlineStr">
        <is>
          <t>2024-04-05</t>
        </is>
      </c>
      <c r="L1323" t="inlineStr">
        <is>
          <t>Education</t>
        </is>
      </c>
      <c r="R1323" s="22"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2" t="n">
        <v>57630</v>
      </c>
      <c r="K1324" t="inlineStr">
        <is>
          <t>2024-04-25</t>
        </is>
      </c>
      <c r="L1324" t="inlineStr">
        <is>
          <t>Education</t>
        </is>
      </c>
      <c r="R1324" s="22"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2" t="n">
        <v>65000</v>
      </c>
      <c r="K1325" t="inlineStr">
        <is>
          <t>2024-04-25</t>
        </is>
      </c>
      <c r="L1325" t="inlineStr">
        <is>
          <t>Education</t>
        </is>
      </c>
      <c r="R1325" s="22"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2" t="n">
        <v>300000</v>
      </c>
      <c r="K1326" t="inlineStr">
        <is>
          <t>2024-08-13</t>
        </is>
      </c>
      <c r="L1326" t="inlineStr">
        <is>
          <t>Education</t>
        </is>
      </c>
      <c r="R1326" s="22"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2" t="n">
        <v>952000</v>
      </c>
      <c r="K1327" t="inlineStr">
        <is>
          <t>2024-09-14</t>
        </is>
      </c>
      <c r="L1327" t="inlineStr">
        <is>
          <t>Education</t>
        </is>
      </c>
      <c r="R1327" s="22"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2" t="n">
        <v>55000</v>
      </c>
      <c r="K1328" t="inlineStr">
        <is>
          <t>2024-09-14</t>
        </is>
      </c>
      <c r="L1328" t="inlineStr">
        <is>
          <t>Education</t>
        </is>
      </c>
      <c r="R1328" s="22"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2" t="n">
        <v>268500</v>
      </c>
      <c r="K1329" t="inlineStr">
        <is>
          <t>2024-09-14</t>
        </is>
      </c>
      <c r="L1329" t="inlineStr">
        <is>
          <t>Education</t>
        </is>
      </c>
      <c r="R1329" s="22"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2" t="n">
        <v>239300</v>
      </c>
      <c r="K1330" t="inlineStr">
        <is>
          <t>2024-09-14</t>
        </is>
      </c>
      <c r="L1330" t="inlineStr">
        <is>
          <t>Education</t>
        </is>
      </c>
      <c r="R1330" s="22"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2" t="n">
        <v>11930</v>
      </c>
      <c r="K1331" t="inlineStr">
        <is>
          <t>2024-10-04</t>
        </is>
      </c>
      <c r="L1331" t="inlineStr">
        <is>
          <t>Education</t>
        </is>
      </c>
      <c r="R1331" s="22"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2" t="n">
        <v>500000</v>
      </c>
      <c r="K1332" t="inlineStr">
        <is>
          <t>2024-10-04</t>
        </is>
      </c>
      <c r="L1332" t="inlineStr">
        <is>
          <t>Education</t>
        </is>
      </c>
      <c r="R1332" s="22"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2" t="n">
        <v>4283628</v>
      </c>
      <c r="K1333" t="inlineStr">
        <is>
          <t>2024-01-16</t>
        </is>
      </c>
      <c r="L1333" t="inlineStr">
        <is>
          <t>Hydraulique</t>
        </is>
      </c>
      <c r="R1333" s="22"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2" t="n">
        <v>-439964</v>
      </c>
      <c r="K1334" t="inlineStr">
        <is>
          <t>2024-01-16</t>
        </is>
      </c>
      <c r="L1334" t="inlineStr">
        <is>
          <t>Hydraulique</t>
        </is>
      </c>
      <c r="R1334" s="22"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2" t="n">
        <v>-3843664</v>
      </c>
      <c r="K1335" t="inlineStr">
        <is>
          <t>2024-02-28</t>
        </is>
      </c>
      <c r="L1335" t="inlineStr">
        <is>
          <t>Hydraulique</t>
        </is>
      </c>
      <c r="R1335" s="22"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2" t="n">
        <v>4501177</v>
      </c>
      <c r="K1336" t="inlineStr">
        <is>
          <t>2024-03-01</t>
        </is>
      </c>
      <c r="L1336" t="inlineStr">
        <is>
          <t>Hydraulique</t>
        </is>
      </c>
      <c r="R1336" s="22"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2" t="n">
        <v>-462308</v>
      </c>
      <c r="K1337" t="inlineStr">
        <is>
          <t>2024-03-01</t>
        </is>
      </c>
      <c r="L1337" t="inlineStr">
        <is>
          <t>Hydraulique</t>
        </is>
      </c>
      <c r="R1337" s="22"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2" t="n">
        <v>4249590</v>
      </c>
      <c r="K1338" t="inlineStr">
        <is>
          <t>2024-04-05</t>
        </is>
      </c>
      <c r="L1338" t="inlineStr">
        <is>
          <t>Hydraulique</t>
        </is>
      </c>
      <c r="R1338" s="22"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2" t="n">
        <v>-436468</v>
      </c>
      <c r="K1339" t="inlineStr">
        <is>
          <t>2024-04-05</t>
        </is>
      </c>
      <c r="L1339" t="inlineStr">
        <is>
          <t>Hydraulique</t>
        </is>
      </c>
      <c r="R1339" s="22"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2" t="n">
        <v>3718176</v>
      </c>
      <c r="K1340" t="inlineStr">
        <is>
          <t>2024-04-15</t>
        </is>
      </c>
      <c r="L1340" t="inlineStr">
        <is>
          <t>Hydraulique</t>
        </is>
      </c>
      <c r="R1340" s="22"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2" t="n">
        <v>4143776</v>
      </c>
      <c r="K1341" t="inlineStr">
        <is>
          <t>2024-04-25</t>
        </is>
      </c>
      <c r="L1341" t="inlineStr">
        <is>
          <t>Hydraulique</t>
        </is>
      </c>
      <c r="R1341" s="22"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2" t="n">
        <v>-425600</v>
      </c>
      <c r="K1342" t="inlineStr">
        <is>
          <t>2024-04-25</t>
        </is>
      </c>
      <c r="L1342" t="inlineStr">
        <is>
          <t>Hydraulique</t>
        </is>
      </c>
      <c r="R1342" s="22"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2" t="n">
        <v>-3718176</v>
      </c>
      <c r="K1343" t="inlineStr">
        <is>
          <t>2024-05-04</t>
        </is>
      </c>
      <c r="L1343" t="inlineStr">
        <is>
          <t>Hydraulique</t>
        </is>
      </c>
      <c r="R1343" s="22"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2" t="n">
        <v>2653848</v>
      </c>
      <c r="K1344" t="inlineStr">
        <is>
          <t>2024-05-07</t>
        </is>
      </c>
      <c r="L1344" t="inlineStr">
        <is>
          <t>Hydraulique</t>
        </is>
      </c>
      <c r="R1344" s="22"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2" t="n">
        <v>-2653848</v>
      </c>
      <c r="K1345" t="inlineStr">
        <is>
          <t>2024-05-15</t>
        </is>
      </c>
      <c r="L1345" t="inlineStr">
        <is>
          <t>Hydraulique</t>
        </is>
      </c>
      <c r="R1345" s="22"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2" t="n">
        <v>2957620</v>
      </c>
      <c r="K1346" t="inlineStr">
        <is>
          <t>2024-05-31</t>
        </is>
      </c>
      <c r="L1346" t="inlineStr">
        <is>
          <t>Hydraulique</t>
        </is>
      </c>
      <c r="R1346" s="22"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2" t="n">
        <v>-303772</v>
      </c>
      <c r="K1347" t="inlineStr">
        <is>
          <t>2024-05-31</t>
        </is>
      </c>
      <c r="L1347" t="inlineStr">
        <is>
          <t>Hydraulique</t>
        </is>
      </c>
      <c r="R1347" s="22"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2" t="n">
        <v>4489034</v>
      </c>
      <c r="K1348" t="inlineStr">
        <is>
          <t>2024-06-06</t>
        </is>
      </c>
      <c r="L1348" t="inlineStr">
        <is>
          <t>Hydraulique</t>
        </is>
      </c>
      <c r="R1348" s="22"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2" t="n">
        <v>-513836</v>
      </c>
      <c r="K1349" t="inlineStr">
        <is>
          <t>2024-06-30</t>
        </is>
      </c>
      <c r="L1349" t="inlineStr">
        <is>
          <t>Hydraulique</t>
        </is>
      </c>
      <c r="R1349" s="22"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2" t="n">
        <v>5002870</v>
      </c>
      <c r="K1350" t="inlineStr">
        <is>
          <t>2024-06-30</t>
        </is>
      </c>
      <c r="L1350" t="inlineStr">
        <is>
          <t>Hydraulique</t>
        </is>
      </c>
      <c r="R1350" s="22"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2" t="n">
        <v>-4489034</v>
      </c>
      <c r="K1351" t="inlineStr">
        <is>
          <t>2024-07-01</t>
        </is>
      </c>
      <c r="L1351" t="inlineStr">
        <is>
          <t>Hydraulique</t>
        </is>
      </c>
      <c r="R1351" s="22"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2" t="n">
        <v>4805079</v>
      </c>
      <c r="K1352" t="inlineStr">
        <is>
          <t>2024-07-08</t>
        </is>
      </c>
      <c r="L1352" t="inlineStr">
        <is>
          <t>Hydraulique</t>
        </is>
      </c>
      <c r="R1352" s="22"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2" t="n">
        <v>5355091</v>
      </c>
      <c r="K1353" t="inlineStr">
        <is>
          <t>2024-07-22</t>
        </is>
      </c>
      <c r="L1353" t="inlineStr">
        <is>
          <t>Hydraulique</t>
        </is>
      </c>
      <c r="R1353" s="22"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2" t="n">
        <v>-550012</v>
      </c>
      <c r="K1354" t="inlineStr">
        <is>
          <t>2024-07-22</t>
        </is>
      </c>
      <c r="L1354" t="inlineStr">
        <is>
          <t>Hydraulique</t>
        </is>
      </c>
      <c r="R1354" s="22"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2" t="n">
        <v>-4805079</v>
      </c>
      <c r="K1355" t="inlineStr">
        <is>
          <t>2024-08-01</t>
        </is>
      </c>
      <c r="L1355" t="inlineStr">
        <is>
          <t>Hydraulique</t>
        </is>
      </c>
      <c r="R1355" s="22"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2" t="n">
        <v>5506884</v>
      </c>
      <c r="K1356" t="inlineStr">
        <is>
          <t>2024-08-12</t>
        </is>
      </c>
      <c r="L1356" t="inlineStr">
        <is>
          <t>Hydraulique</t>
        </is>
      </c>
      <c r="R1356" s="22"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2" t="n">
        <v>6137228</v>
      </c>
      <c r="K1357" t="inlineStr">
        <is>
          <t>2024-09-02</t>
        </is>
      </c>
      <c r="L1357" t="inlineStr">
        <is>
          <t>Hydraulique</t>
        </is>
      </c>
      <c r="R1357" s="22"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2" t="n">
        <v>-630344</v>
      </c>
      <c r="K1358" t="inlineStr">
        <is>
          <t>2024-09-02</t>
        </is>
      </c>
      <c r="L1358" t="inlineStr">
        <is>
          <t>Hydraulique</t>
        </is>
      </c>
      <c r="R1358" s="22"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2" t="n">
        <v>-5506884</v>
      </c>
      <c r="K1359" t="inlineStr">
        <is>
          <t>2024-09-01</t>
        </is>
      </c>
      <c r="L1359" t="inlineStr">
        <is>
          <t>Hydraulique</t>
        </is>
      </c>
      <c r="R1359" s="22"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2" t="n">
        <v>4474426</v>
      </c>
      <c r="K1360" t="inlineStr">
        <is>
          <t>2024-09-16</t>
        </is>
      </c>
      <c r="L1360" t="inlineStr">
        <is>
          <t>Hydraulique</t>
        </is>
      </c>
      <c r="R1360" s="22"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2" t="n">
        <v>4986590</v>
      </c>
      <c r="K1361" t="inlineStr">
        <is>
          <t>2024-10-04</t>
        </is>
      </c>
      <c r="L1361" t="inlineStr">
        <is>
          <t>Hydraulique</t>
        </is>
      </c>
      <c r="R1361" s="22"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2" t="n">
        <v>-512164</v>
      </c>
      <c r="K1362" t="inlineStr">
        <is>
          <t>2024-10-04</t>
        </is>
      </c>
      <c r="L1362" t="inlineStr">
        <is>
          <t>Hydraulique</t>
        </is>
      </c>
      <c r="R1362" s="22"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2" t="n">
        <v>-4474426</v>
      </c>
      <c r="K1363" t="inlineStr">
        <is>
          <t>2024-10-01</t>
        </is>
      </c>
      <c r="L1363" t="inlineStr">
        <is>
          <t>Hydraulique</t>
        </is>
      </c>
      <c r="R1363" s="22"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2" t="n">
        <v>3909396</v>
      </c>
      <c r="K1364" t="inlineStr">
        <is>
          <t>2024-10-09</t>
        </is>
      </c>
      <c r="L1364" t="inlineStr">
        <is>
          <t>Hydraulique</t>
        </is>
      </c>
      <c r="R1364" s="22"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2" t="n">
        <v>160000</v>
      </c>
      <c r="K1365" t="inlineStr">
        <is>
          <t>2024-07-06</t>
        </is>
      </c>
      <c r="L1365" t="inlineStr">
        <is>
          <t>SPORTS</t>
        </is>
      </c>
      <c r="R1365" s="22"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2" t="n">
        <v>5000000</v>
      </c>
      <c r="K1366" t="inlineStr">
        <is>
          <t>2024-07-22</t>
        </is>
      </c>
      <c r="L1366" t="inlineStr">
        <is>
          <t>SPORTS</t>
        </is>
      </c>
      <c r="R1366" s="22"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2" t="n">
        <v>629000</v>
      </c>
      <c r="K1367" t="inlineStr">
        <is>
          <t>2024-08-13</t>
        </is>
      </c>
      <c r="L1367" t="inlineStr">
        <is>
          <t>SPORTS</t>
        </is>
      </c>
      <c r="R1367" s="22"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2" t="n">
        <v>720000</v>
      </c>
      <c r="K1368" t="inlineStr">
        <is>
          <t>2024-08-13</t>
        </is>
      </c>
      <c r="L1368" t="inlineStr">
        <is>
          <t>SPORTS</t>
        </is>
      </c>
      <c r="R1368" s="22"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2" t="n">
        <v>2180000</v>
      </c>
      <c r="K1369" t="inlineStr">
        <is>
          <t>2024-08-13</t>
        </is>
      </c>
      <c r="L1369" t="inlineStr">
        <is>
          <t>SPORTS</t>
        </is>
      </c>
      <c r="R1369" s="22"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2" t="n">
        <v>3000000</v>
      </c>
      <c r="K1370" t="inlineStr">
        <is>
          <t>2024-09-07</t>
        </is>
      </c>
      <c r="L1370" t="inlineStr">
        <is>
          <t>SPORTS</t>
        </is>
      </c>
      <c r="R1370" s="22"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2" t="n">
        <v>5440000</v>
      </c>
      <c r="K1371" t="inlineStr">
        <is>
          <t>2024-09-14</t>
        </is>
      </c>
      <c r="L1371" t="inlineStr">
        <is>
          <t>SPORTS</t>
        </is>
      </c>
      <c r="R1371" s="22"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2" t="n">
        <v>500230</v>
      </c>
      <c r="K1372" t="inlineStr">
        <is>
          <t>2024-07-22</t>
        </is>
      </c>
      <c r="L1372" t="inlineStr">
        <is>
          <t>SPORTS</t>
        </is>
      </c>
      <c r="R1372" s="22"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2"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2" t="n">
        <v>1500000</v>
      </c>
      <c r="K1374" s="23"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2"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2" t="n">
        <v>7640</v>
      </c>
      <c r="K1375" t="inlineStr">
        <is>
          <t>Appuis divers</t>
        </is>
      </c>
      <c r="L1375" t="inlineStr">
        <is>
          <t>Appuis divers</t>
        </is>
      </c>
      <c r="M1375" t="inlineStr">
        <is>
          <t xml:space="preserve">Néant </t>
        </is>
      </c>
      <c r="N1375" t="inlineStr">
        <is>
          <t xml:space="preserve">Néant </t>
        </is>
      </c>
      <c r="O1375" t="inlineStr">
        <is>
          <t>Nc</t>
        </is>
      </c>
      <c r="R1375" s="22"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2" t="n">
        <v>1499995.23</v>
      </c>
      <c r="K1376" s="23"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2"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2"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2" t="n">
        <v>1474002.83</v>
      </c>
      <c r="K1378" s="23"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2"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2" t="n">
        <v>1460929.51</v>
      </c>
      <c r="K1379" s="23"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2"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2" t="n">
        <v>1450000</v>
      </c>
      <c r="K1380" t="inlineStr">
        <is>
          <t>13/12/2023</t>
        </is>
      </c>
      <c r="L1380" t="inlineStr">
        <is>
          <t>Appuis divers</t>
        </is>
      </c>
      <c r="R1380" s="22"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2" t="n">
        <v>1429000</v>
      </c>
      <c r="K1381" t="inlineStr">
        <is>
          <t>12/10/2023</t>
        </is>
      </c>
      <c r="L1381" t="inlineStr">
        <is>
          <t>Appuis divers</t>
        </is>
      </c>
      <c r="R1381" s="22"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2" t="n">
        <v>1424000</v>
      </c>
      <c r="K1382" t="inlineStr">
        <is>
          <t>2024-11-04</t>
        </is>
      </c>
      <c r="L1382" t="inlineStr">
        <is>
          <t>Appuis divers</t>
        </is>
      </c>
      <c r="R1382" s="22"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2" t="n">
        <v>1405000</v>
      </c>
      <c r="K1383" t="inlineStr">
        <is>
          <t>2024-10-04</t>
        </is>
      </c>
      <c r="L1383" t="inlineStr">
        <is>
          <t>Appuis divers</t>
        </is>
      </c>
      <c r="R1383" s="22"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2" t="n">
        <v>1400000.94</v>
      </c>
      <c r="K1384" s="23" t="n">
        <v>45529</v>
      </c>
      <c r="M1384" t="inlineStr">
        <is>
          <t>Brouettes</t>
        </is>
      </c>
      <c r="N1384" t="inlineStr">
        <is>
          <t>N/A</t>
        </is>
      </c>
      <c r="O1384" t="inlineStr">
        <is>
          <t>N/A</t>
        </is>
      </c>
      <c r="P1384" t="inlineStr">
        <is>
          <t>Convention minère et Code minier (Fond Social et Fond d'appui au developpement local)</t>
        </is>
      </c>
      <c r="Q1384" t="inlineStr">
        <is>
          <t>NA</t>
        </is>
      </c>
      <c r="R1384" s="22"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2" t="n">
        <v>1375001.52</v>
      </c>
      <c r="K1385" s="23" t="n">
        <v>44617</v>
      </c>
      <c r="L1385" t="inlineStr">
        <is>
          <t>SF General</t>
        </is>
      </c>
      <c r="R1385" s="22"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2" t="n">
        <v>1375000</v>
      </c>
      <c r="K1386" s="23" t="n">
        <v>45401</v>
      </c>
      <c r="L1386" t="inlineStr">
        <is>
          <t>NEANT</t>
        </is>
      </c>
      <c r="M1386" t="n">
        <v>0</v>
      </c>
      <c r="N1386" s="22" t="n">
        <v>0</v>
      </c>
      <c r="O1386" t="inlineStr">
        <is>
          <t>NEANT</t>
        </is>
      </c>
      <c r="P1386" t="inlineStr">
        <is>
          <t>NEANT</t>
        </is>
      </c>
      <c r="Q1386" t="inlineStr">
        <is>
          <t>NEANT</t>
        </is>
      </c>
      <c r="R1386" s="22"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2" t="n">
        <v>1368230</v>
      </c>
      <c r="K1387" s="23" t="n">
        <v>45391</v>
      </c>
      <c r="R1387" s="22"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2" t="n">
        <v>1350000</v>
      </c>
      <c r="K1388" t="inlineStr">
        <is>
          <t>18/04/2023</t>
        </is>
      </c>
      <c r="L1388" t="inlineStr">
        <is>
          <t>Appuis divers</t>
        </is>
      </c>
      <c r="R1388" s="22"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2" t="n">
        <v>1350000</v>
      </c>
      <c r="L1389" t="inlineStr">
        <is>
          <t>APPUIS DIVERS</t>
        </is>
      </c>
      <c r="R1389" s="22"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2"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2" t="n">
        <v>44042</v>
      </c>
      <c r="K1391" t="inlineStr">
        <is>
          <t>APPUI DIVERS</t>
        </is>
      </c>
      <c r="L1391" t="inlineStr">
        <is>
          <t>ACHAT GASOIL</t>
        </is>
      </c>
      <c r="M1391" t="inlineStr">
        <is>
          <t xml:space="preserve">Néant </t>
        </is>
      </c>
      <c r="N1391" t="inlineStr">
        <is>
          <t xml:space="preserve">Néant </t>
        </is>
      </c>
      <c r="O1391" t="inlineStr">
        <is>
          <t>NC</t>
        </is>
      </c>
      <c r="R1391" s="22"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2" t="n">
        <v>1300704</v>
      </c>
      <c r="K1392" s="23" t="n">
        <v>45626</v>
      </c>
      <c r="M1392" t="inlineStr">
        <is>
          <t>139020</t>
        </is>
      </c>
      <c r="N1392" t="inlineStr">
        <is>
          <t>N/A</t>
        </is>
      </c>
      <c r="O1392" t="inlineStr">
        <is>
          <t>N/A</t>
        </is>
      </c>
      <c r="P1392" t="inlineStr">
        <is>
          <t>Convention minère et Code minier (Fond Social et Fond d'appui au developpement local)</t>
        </is>
      </c>
      <c r="Q1392" t="inlineStr">
        <is>
          <t>NA</t>
        </is>
      </c>
      <c r="R1392" s="22"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2" t="n">
        <v>1300000</v>
      </c>
      <c r="K1393" t="inlineStr">
        <is>
          <t>2024-04-05</t>
        </is>
      </c>
      <c r="L1393" t="inlineStr">
        <is>
          <t>Appuis divers</t>
        </is>
      </c>
      <c r="R1393" s="22"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2" t="n">
        <v>1299998.25</v>
      </c>
      <c r="K1394" s="23" t="n">
        <v>44617</v>
      </c>
      <c r="L1394" t="inlineStr">
        <is>
          <t>SF General</t>
        </is>
      </c>
      <c r="R1394" s="22"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2" t="n">
        <v>1296000</v>
      </c>
      <c r="K1395" t="inlineStr">
        <is>
          <t>Nc</t>
        </is>
      </c>
      <c r="L1395" t="inlineStr">
        <is>
          <t>APPUIS DIVERS</t>
        </is>
      </c>
      <c r="M1395" t="inlineStr">
        <is>
          <t>N/A</t>
        </is>
      </c>
      <c r="N1395" t="inlineStr">
        <is>
          <t>N/A</t>
        </is>
      </c>
      <c r="O1395" t="inlineStr">
        <is>
          <t>N/A</t>
        </is>
      </c>
      <c r="P1395" t="inlineStr">
        <is>
          <t>Nc</t>
        </is>
      </c>
      <c r="R1395" s="22"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2" t="n">
        <v>1260000</v>
      </c>
      <c r="K1396" t="inlineStr">
        <is>
          <t>17/07/2023</t>
        </is>
      </c>
      <c r="L1396" t="inlineStr">
        <is>
          <t>Appuis divers</t>
        </is>
      </c>
      <c r="R1396" s="22"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2" t="n">
        <v>1259091.67</v>
      </c>
      <c r="K1397" s="23" t="n">
        <v>45498</v>
      </c>
      <c r="M1397" t="inlineStr">
        <is>
          <t>134589AB</t>
        </is>
      </c>
      <c r="N1397" t="inlineStr">
        <is>
          <t>N/A</t>
        </is>
      </c>
      <c r="O1397" t="inlineStr">
        <is>
          <t>N/A</t>
        </is>
      </c>
      <c r="P1397" t="inlineStr">
        <is>
          <t>Convention minère et Code minier (Fond Social et Fond d'appui au developpement local)</t>
        </is>
      </c>
      <c r="Q1397" t="inlineStr">
        <is>
          <t>NA</t>
        </is>
      </c>
      <c r="R1397" s="22"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2"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2" t="n">
        <v>1227200</v>
      </c>
      <c r="K1399" s="23"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2"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2" t="n">
        <v>1202640.94</v>
      </c>
      <c r="K1400" s="23"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2"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2" t="n">
        <v>1175750</v>
      </c>
      <c r="K1401" s="23"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2"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2" t="n">
        <v>1170308.43</v>
      </c>
      <c r="K1402" s="23" t="n">
        <v>45372</v>
      </c>
      <c r="M1402" t="inlineStr">
        <is>
          <t>134188AB</t>
        </is>
      </c>
      <c r="N1402" t="inlineStr">
        <is>
          <t>N/A</t>
        </is>
      </c>
      <c r="O1402" t="inlineStr">
        <is>
          <t>N/A</t>
        </is>
      </c>
      <c r="P1402" t="inlineStr">
        <is>
          <t>Convention minère et Code minier (Fond Social et Fond d'appui au developpement local)</t>
        </is>
      </c>
      <c r="Q1402" t="inlineStr">
        <is>
          <t>NA</t>
        </is>
      </c>
      <c r="R1402" s="22"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2" t="n">
        <v>1170000</v>
      </c>
      <c r="K1403" t="inlineStr">
        <is>
          <t>01/08/2023</t>
        </is>
      </c>
      <c r="L1403" t="inlineStr">
        <is>
          <t>Appuis divers</t>
        </is>
      </c>
      <c r="R1403" s="22"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2" t="n">
        <v>1150981.60034424</v>
      </c>
      <c r="K1404" s="23" t="n">
        <v>45349</v>
      </c>
      <c r="M1404" t="inlineStr">
        <is>
          <t>Congelateur horizontal HAIER 600Lts</t>
        </is>
      </c>
      <c r="P1404" t="inlineStr">
        <is>
          <t>Convention minère et Code minier (Fond Social et Fond d'appui au developpement local)</t>
        </is>
      </c>
      <c r="R1404" s="22"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2" t="n">
        <v>1140000</v>
      </c>
      <c r="K1405" t="inlineStr">
        <is>
          <t>14/08/2023</t>
        </is>
      </c>
      <c r="L1405" t="inlineStr">
        <is>
          <t>Appuis divers</t>
        </is>
      </c>
      <c r="R1405" s="22"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2" t="n">
        <v>44165</v>
      </c>
      <c r="K1406" t="inlineStr">
        <is>
          <t>NC</t>
        </is>
      </c>
      <c r="L1406" t="inlineStr">
        <is>
          <t>NC</t>
        </is>
      </c>
      <c r="M1406" t="inlineStr">
        <is>
          <t xml:space="preserve">Néant </t>
        </is>
      </c>
      <c r="N1406" t="inlineStr">
        <is>
          <t xml:space="preserve">Néant </t>
        </is>
      </c>
      <c r="O1406" t="inlineStr">
        <is>
          <t>NC</t>
        </is>
      </c>
      <c r="R1406" s="22"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2" t="n">
        <v>1126100</v>
      </c>
      <c r="K1407" t="inlineStr">
        <is>
          <t>01/12/2023</t>
        </is>
      </c>
      <c r="L1407" t="inlineStr">
        <is>
          <t>Appuis divers</t>
        </is>
      </c>
      <c r="R1407" s="22"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2" t="n">
        <v>1119938</v>
      </c>
      <c r="K1408" s="23" t="n">
        <v>45462</v>
      </c>
      <c r="M1408" t="inlineStr">
        <is>
          <t>132969AA</t>
        </is>
      </c>
      <c r="N1408" t="inlineStr">
        <is>
          <t>N/A</t>
        </is>
      </c>
      <c r="O1408" t="inlineStr">
        <is>
          <t>N/A</t>
        </is>
      </c>
      <c r="P1408" t="inlineStr">
        <is>
          <t>Convention minère et Code minier (Fond Social et Fond d'appui au developpement local)</t>
        </is>
      </c>
      <c r="Q1408" t="inlineStr">
        <is>
          <t>NA</t>
        </is>
      </c>
      <c r="R1408" s="22"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2" t="n">
        <v>1115097</v>
      </c>
      <c r="K1409" s="23" t="n">
        <v>45596</v>
      </c>
      <c r="M1409" t="inlineStr">
        <is>
          <t>139822</t>
        </is>
      </c>
      <c r="N1409" t="inlineStr">
        <is>
          <t>N/A</t>
        </is>
      </c>
      <c r="O1409" t="inlineStr">
        <is>
          <t>N/A</t>
        </is>
      </c>
      <c r="P1409" t="inlineStr">
        <is>
          <t>Convention minère et Code minier (Fond Social et Fond d'appui au developpement local)</t>
        </is>
      </c>
      <c r="Q1409" t="inlineStr">
        <is>
          <t>NA</t>
        </is>
      </c>
      <c r="R1409" s="22"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2" t="n">
        <v>1110227</v>
      </c>
      <c r="K1410" t="inlineStr">
        <is>
          <t>20/10/2023</t>
        </is>
      </c>
      <c r="L1410" t="inlineStr">
        <is>
          <t>Appuis divers</t>
        </is>
      </c>
      <c r="R1410" s="22"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2" t="n">
        <v>1110000</v>
      </c>
      <c r="K1411" s="23" t="n">
        <v>45593</v>
      </c>
      <c r="L1411" t="inlineStr">
        <is>
          <t>Appui divers: Dons vivre pour les habitants de dandé mayo</t>
        </is>
      </c>
      <c r="R1411" s="22"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2" t="n">
        <v>1105000</v>
      </c>
      <c r="L1412" t="inlineStr">
        <is>
          <t>APPUIS DIVERS (ELECTRIFICATION SOLAIRE)</t>
        </is>
      </c>
      <c r="R1412" s="22"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2" t="n">
        <v>1100000</v>
      </c>
      <c r="K1413" t="inlineStr">
        <is>
          <t>31/12/2023</t>
        </is>
      </c>
      <c r="L1413" t="inlineStr">
        <is>
          <t>Appuis divers</t>
        </is>
      </c>
      <c r="R1413" s="22"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2"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2" t="n">
        <v>1095900</v>
      </c>
      <c r="K1415" s="23" t="n">
        <v>44522</v>
      </c>
      <c r="L1415" t="inlineStr">
        <is>
          <t>Appuis divers</t>
        </is>
      </c>
      <c r="M1415" t="inlineStr">
        <is>
          <t>N/A</t>
        </is>
      </c>
      <c r="N1415" t="inlineStr">
        <is>
          <t>N/A</t>
        </is>
      </c>
      <c r="O1415" t="inlineStr">
        <is>
          <t>N/A</t>
        </is>
      </c>
      <c r="P1415" t="inlineStr">
        <is>
          <t>Nc</t>
        </is>
      </c>
      <c r="R1415" s="22"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2" t="n">
        <v>44165</v>
      </c>
      <c r="K1416" t="inlineStr">
        <is>
          <t>NC</t>
        </is>
      </c>
      <c r="L1416" t="inlineStr">
        <is>
          <t>NC</t>
        </is>
      </c>
      <c r="M1416" t="inlineStr">
        <is>
          <t xml:space="preserve">Néant </t>
        </is>
      </c>
      <c r="N1416" t="inlineStr">
        <is>
          <t xml:space="preserve">Néant </t>
        </is>
      </c>
      <c r="O1416" t="inlineStr">
        <is>
          <t>NC</t>
        </is>
      </c>
      <c r="R1416" s="22"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2"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2" t="n">
        <v>1050000</v>
      </c>
      <c r="K1418" t="inlineStr">
        <is>
          <t>18/04/2023</t>
        </is>
      </c>
      <c r="L1418" t="inlineStr">
        <is>
          <t>Appuis divers</t>
        </is>
      </c>
      <c r="R1418" s="22"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2" t="n">
        <v>1050000</v>
      </c>
      <c r="O1419" t="inlineStr">
        <is>
          <t>SF General</t>
        </is>
      </c>
      <c r="P1419" t="inlineStr">
        <is>
          <t>Obligation de développement social: art.15 de l'avenant 1 à la convention minière de Sabodala du 23 mars 2005</t>
        </is>
      </c>
      <c r="R1419" s="22"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2" t="n">
        <v>1050000</v>
      </c>
      <c r="O1420" t="inlineStr">
        <is>
          <t>SF General</t>
        </is>
      </c>
      <c r="P1420" t="inlineStr">
        <is>
          <t>Obligation de développement social: art.15 de l'avenant 1 à la convention minière de Sabodala du 23 mars 2005</t>
        </is>
      </c>
      <c r="R1420" s="22"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2" t="n">
        <v>1050000</v>
      </c>
      <c r="O1421" t="inlineStr">
        <is>
          <t>SF General</t>
        </is>
      </c>
      <c r="P1421" t="inlineStr">
        <is>
          <t>Obligation de développement social: art.15 de l'avenant 1 à la convention minière de Sabodala du 23 mars 2005</t>
        </is>
      </c>
      <c r="R1421" s="22"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2" t="n">
        <v>1050000</v>
      </c>
      <c r="O1422" t="inlineStr">
        <is>
          <t>SF General</t>
        </is>
      </c>
      <c r="P1422" t="inlineStr">
        <is>
          <t>Obligation de développement social: art.15 de l'avenant 1 à la convention minière de Sabodala du 23 mars 2005</t>
        </is>
      </c>
      <c r="R1422" s="22"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2" t="n">
        <v>1050000</v>
      </c>
      <c r="K1423" s="23"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2"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2" t="n">
        <v>1050000</v>
      </c>
      <c r="K1424" s="23"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2"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2" t="n">
        <v>1050000</v>
      </c>
      <c r="K1425" s="23"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2"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2" t="n">
        <v>1050000</v>
      </c>
      <c r="K1426" s="23"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2"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2" t="n">
        <v>1050000</v>
      </c>
      <c r="K1427" s="23"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2"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2" t="n">
        <v>1050000</v>
      </c>
      <c r="K1428" s="23"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2"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2" t="n">
        <v>814500</v>
      </c>
      <c r="K1429" t="inlineStr">
        <is>
          <t>2024-05-25</t>
        </is>
      </c>
      <c r="L1429" t="inlineStr">
        <is>
          <t>Infrastructures communautaires et publiques</t>
        </is>
      </c>
      <c r="R1429" s="22"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2" t="n">
        <v>529750</v>
      </c>
      <c r="K1430" t="inlineStr">
        <is>
          <t>2024-06-30</t>
        </is>
      </c>
      <c r="L1430" t="inlineStr">
        <is>
          <t>Infrastructures communautaires et publiques</t>
        </is>
      </c>
      <c r="R1430" s="22"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2" t="n">
        <v>18379750</v>
      </c>
      <c r="K1431" t="inlineStr">
        <is>
          <t>2024-08-23</t>
        </is>
      </c>
      <c r="L1431" t="inlineStr">
        <is>
          <t>Infrastructures communautaires et publiques</t>
        </is>
      </c>
      <c r="R1431" s="22"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2" t="n">
        <v>4146000</v>
      </c>
      <c r="K1432" t="inlineStr">
        <is>
          <t>2024-10-04</t>
        </is>
      </c>
      <c r="L1432" t="inlineStr">
        <is>
          <t>Infrastructures communautaires et publiques</t>
        </is>
      </c>
      <c r="R1432" s="22"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2" t="n">
        <v>1050000</v>
      </c>
      <c r="K1433" s="23"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2"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2" t="n">
        <v>100000</v>
      </c>
      <c r="K1434" t="inlineStr">
        <is>
          <t>2024-07-06</t>
        </is>
      </c>
      <c r="L1434" t="inlineStr">
        <is>
          <t>SPORTS</t>
        </is>
      </c>
      <c r="R1434" s="22"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2" t="n">
        <v>50000</v>
      </c>
      <c r="K1435" t="inlineStr">
        <is>
          <t>2024-07-09</t>
        </is>
      </c>
      <c r="L1435" t="inlineStr">
        <is>
          <t>SPORTS</t>
        </is>
      </c>
      <c r="R1435" s="22"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2" t="n">
        <v>1500000</v>
      </c>
      <c r="K1436" t="inlineStr">
        <is>
          <t>2024-10-04</t>
        </is>
      </c>
      <c r="L1436" t="inlineStr">
        <is>
          <t>SPORTS</t>
        </is>
      </c>
      <c r="R1436" s="22"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2" t="n">
        <v>40000</v>
      </c>
      <c r="K1437" t="inlineStr">
        <is>
          <t>2024-04-05</t>
        </is>
      </c>
      <c r="L1437" t="inlineStr">
        <is>
          <t>Education</t>
        </is>
      </c>
      <c r="R1437" s="22"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2" t="n">
        <v>616440</v>
      </c>
      <c r="K1438" t="inlineStr">
        <is>
          <t>2024-04-30</t>
        </is>
      </c>
      <c r="L1438" t="inlineStr">
        <is>
          <t>Education</t>
        </is>
      </c>
      <c r="R1438" s="22"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2" t="n">
        <v>410960</v>
      </c>
      <c r="K1439" t="inlineStr">
        <is>
          <t>2024-04-30</t>
        </is>
      </c>
      <c r="L1439" t="inlineStr">
        <is>
          <t>Education</t>
        </is>
      </c>
      <c r="R1439" s="22"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2" t="n">
        <v>986304</v>
      </c>
      <c r="K1440" t="inlineStr">
        <is>
          <t>2024-04-30</t>
        </is>
      </c>
      <c r="L1440" t="inlineStr">
        <is>
          <t>Education</t>
        </is>
      </c>
      <c r="R1440" s="22"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2" t="n">
        <v>384261</v>
      </c>
      <c r="K1441" t="inlineStr">
        <is>
          <t>2024-04-30</t>
        </is>
      </c>
      <c r="L1441" t="inlineStr">
        <is>
          <t>Education</t>
        </is>
      </c>
      <c r="R1441" s="22"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2" t="n">
        <v>849767</v>
      </c>
      <c r="K1442" t="inlineStr">
        <is>
          <t>2024-04-30</t>
        </is>
      </c>
      <c r="L1442" t="inlineStr">
        <is>
          <t>Education</t>
        </is>
      </c>
      <c r="R1442" s="22"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2" t="n">
        <v>60000</v>
      </c>
      <c r="K1443" t="inlineStr">
        <is>
          <t>2024-04-25</t>
        </is>
      </c>
      <c r="L1443" t="inlineStr">
        <is>
          <t>Education</t>
        </is>
      </c>
      <c r="R1443" s="22"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2" t="n">
        <v>80000</v>
      </c>
      <c r="K1444" t="inlineStr">
        <is>
          <t>2024-05-02</t>
        </is>
      </c>
      <c r="L1444" t="inlineStr">
        <is>
          <t>Education</t>
        </is>
      </c>
      <c r="R1444" s="22"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2" t="n">
        <v>30000</v>
      </c>
      <c r="K1445" t="inlineStr">
        <is>
          <t>2024-05-31</t>
        </is>
      </c>
      <c r="L1445" t="inlineStr">
        <is>
          <t>Education</t>
        </is>
      </c>
      <c r="R1445" s="22"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2" t="n">
        <v>30000</v>
      </c>
      <c r="K1446" t="inlineStr">
        <is>
          <t>2024-05-31</t>
        </is>
      </c>
      <c r="L1446" t="inlineStr">
        <is>
          <t>Education</t>
        </is>
      </c>
      <c r="R1446" s="22"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2" t="n">
        <v>1755000</v>
      </c>
      <c r="K1447" t="inlineStr">
        <is>
          <t>2024-05-31</t>
        </is>
      </c>
      <c r="L1447" t="inlineStr">
        <is>
          <t>Education</t>
        </is>
      </c>
      <c r="R1447" s="22"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2" t="n">
        <v>1264000</v>
      </c>
      <c r="K1448" t="inlineStr">
        <is>
          <t>2024-06-10</t>
        </is>
      </c>
      <c r="L1448" t="inlineStr">
        <is>
          <t>Education</t>
        </is>
      </c>
      <c r="R1448" s="22"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2" t="n">
        <v>30000</v>
      </c>
      <c r="K1449" t="inlineStr">
        <is>
          <t>2024-06-30</t>
        </is>
      </c>
      <c r="L1449" t="inlineStr">
        <is>
          <t>Education</t>
        </is>
      </c>
      <c r="R1449" s="22"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2" t="n">
        <v>100000</v>
      </c>
      <c r="K1450" t="inlineStr">
        <is>
          <t>2024-07-31</t>
        </is>
      </c>
      <c r="L1450" t="inlineStr">
        <is>
          <t>Education</t>
        </is>
      </c>
      <c r="R1450" s="22"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2" t="n">
        <v>240000</v>
      </c>
      <c r="K1451" t="inlineStr">
        <is>
          <t>2024-01-08</t>
        </is>
      </c>
      <c r="L1451" t="inlineStr">
        <is>
          <t>Education</t>
        </is>
      </c>
      <c r="R1451" s="22"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2" t="n">
        <v>240000</v>
      </c>
      <c r="K1452" t="inlineStr">
        <is>
          <t>2024-03-05</t>
        </is>
      </c>
      <c r="L1452" t="inlineStr">
        <is>
          <t>Education</t>
        </is>
      </c>
      <c r="R1452" s="22"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2" t="n">
        <v>240000</v>
      </c>
      <c r="K1453" t="inlineStr">
        <is>
          <t>2024-04-05</t>
        </is>
      </c>
      <c r="L1453" t="inlineStr">
        <is>
          <t>Education</t>
        </is>
      </c>
      <c r="R1453" s="22"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2" t="n">
        <v>65000</v>
      </c>
      <c r="K1454" t="inlineStr">
        <is>
          <t>2024-05-02</t>
        </is>
      </c>
      <c r="L1454" t="inlineStr">
        <is>
          <t>Education</t>
        </is>
      </c>
      <c r="R1454" s="22"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2" t="n">
        <v>240000</v>
      </c>
      <c r="K1455" t="inlineStr">
        <is>
          <t>2024-05-02</t>
        </is>
      </c>
      <c r="L1455" t="inlineStr">
        <is>
          <t>Education</t>
        </is>
      </c>
      <c r="R1455" s="22"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2" t="n">
        <v>25000</v>
      </c>
      <c r="K1456" t="inlineStr">
        <is>
          <t>2024-05-31</t>
        </is>
      </c>
      <c r="L1456" t="inlineStr">
        <is>
          <t>Education</t>
        </is>
      </c>
      <c r="R1456" s="22"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2" t="n">
        <v>40000</v>
      </c>
      <c r="K1457" t="inlineStr">
        <is>
          <t>2024-05-31</t>
        </is>
      </c>
      <c r="L1457" t="inlineStr">
        <is>
          <t>Education</t>
        </is>
      </c>
      <c r="R1457" s="22"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2" t="n">
        <v>240000</v>
      </c>
      <c r="K1458" t="inlineStr">
        <is>
          <t>2024-05-31</t>
        </is>
      </c>
      <c r="L1458" t="inlineStr">
        <is>
          <t>Education</t>
        </is>
      </c>
      <c r="R1458" s="22"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2" t="n">
        <v>25000</v>
      </c>
      <c r="K1459" t="inlineStr">
        <is>
          <t>2024-07-06</t>
        </is>
      </c>
      <c r="L1459" t="inlineStr">
        <is>
          <t>Education</t>
        </is>
      </c>
      <c r="R1459" s="22"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2" t="n">
        <v>240000</v>
      </c>
      <c r="K1460" t="inlineStr">
        <is>
          <t>2024-07-06</t>
        </is>
      </c>
      <c r="L1460" t="inlineStr">
        <is>
          <t>Education</t>
        </is>
      </c>
      <c r="R1460" s="22"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2" t="n">
        <v>40000</v>
      </c>
      <c r="K1461" t="inlineStr">
        <is>
          <t>2024-07-06</t>
        </is>
      </c>
      <c r="L1461" t="inlineStr">
        <is>
          <t>Education</t>
        </is>
      </c>
      <c r="R1461" s="22"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2" t="n">
        <v>25000</v>
      </c>
      <c r="K1462" t="inlineStr">
        <is>
          <t>2024-08-13</t>
        </is>
      </c>
      <c r="L1462" t="inlineStr">
        <is>
          <t>Education</t>
        </is>
      </c>
      <c r="R1462" s="22"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2" t="n">
        <v>40000</v>
      </c>
      <c r="K1463" t="inlineStr">
        <is>
          <t>2024-08-13</t>
        </is>
      </c>
      <c r="L1463" t="inlineStr">
        <is>
          <t>Education</t>
        </is>
      </c>
      <c r="R1463" s="22"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2" t="n">
        <v>240000</v>
      </c>
      <c r="K1464" t="inlineStr">
        <is>
          <t>2024-08-13</t>
        </is>
      </c>
      <c r="L1464" t="inlineStr">
        <is>
          <t>Education</t>
        </is>
      </c>
      <c r="R1464" s="22"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2" t="n">
        <v>40000</v>
      </c>
      <c r="K1465" t="inlineStr">
        <is>
          <t>2024-09-14</t>
        </is>
      </c>
      <c r="L1465" t="inlineStr">
        <is>
          <t>Education</t>
        </is>
      </c>
      <c r="R1465" s="22"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2" t="n">
        <v>25000</v>
      </c>
      <c r="K1466" t="inlineStr">
        <is>
          <t>2024-09-14</t>
        </is>
      </c>
      <c r="L1466" t="inlineStr">
        <is>
          <t>Education</t>
        </is>
      </c>
      <c r="R1466" s="22"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2" t="n">
        <v>240000</v>
      </c>
      <c r="K1467" t="inlineStr">
        <is>
          <t>2024-09-14</t>
        </is>
      </c>
      <c r="L1467" t="inlineStr">
        <is>
          <t>Education</t>
        </is>
      </c>
      <c r="R1467" s="22"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2" t="n">
        <v>9800000</v>
      </c>
      <c r="K1468" t="inlineStr">
        <is>
          <t>2024-04-17</t>
        </is>
      </c>
      <c r="L1468" t="inlineStr">
        <is>
          <t>Education</t>
        </is>
      </c>
      <c r="R1468" s="22"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2" t="n">
        <v>12000000</v>
      </c>
      <c r="K1469" t="inlineStr">
        <is>
          <t>2024-06-10</t>
        </is>
      </c>
      <c r="L1469" t="inlineStr">
        <is>
          <t>SANTE</t>
        </is>
      </c>
      <c r="R1469" s="22"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2" t="n">
        <v>200000</v>
      </c>
      <c r="K1470" t="inlineStr">
        <is>
          <t>2024-01-10</t>
        </is>
      </c>
      <c r="L1470" t="inlineStr">
        <is>
          <t>SANTE</t>
        </is>
      </c>
      <c r="R1470" s="22"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2" t="n">
        <v>80000</v>
      </c>
      <c r="K1471" t="inlineStr">
        <is>
          <t>2024-02-03</t>
        </is>
      </c>
      <c r="L1471" t="inlineStr">
        <is>
          <t>SANTE</t>
        </is>
      </c>
      <c r="R1471" s="22"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2" t="n">
        <v>22800</v>
      </c>
      <c r="K1472" t="inlineStr">
        <is>
          <t>2024-02-03</t>
        </is>
      </c>
      <c r="L1472" t="inlineStr">
        <is>
          <t>SANTE</t>
        </is>
      </c>
      <c r="R1472" s="22"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2" t="n">
        <v>1930000</v>
      </c>
      <c r="K1473" t="inlineStr">
        <is>
          <t>2024-03-15</t>
        </is>
      </c>
      <c r="L1473" t="inlineStr">
        <is>
          <t>SANTE</t>
        </is>
      </c>
      <c r="R1473" s="22"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2" t="n">
        <v>1200000</v>
      </c>
      <c r="K1474" t="inlineStr">
        <is>
          <t>2024-07-06</t>
        </is>
      </c>
      <c r="L1474" t="inlineStr">
        <is>
          <t>SANTE</t>
        </is>
      </c>
      <c r="R1474" s="22"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2" t="n">
        <v>210400</v>
      </c>
      <c r="K1475" t="inlineStr">
        <is>
          <t>2024-04-25</t>
        </is>
      </c>
      <c r="L1475" t="inlineStr">
        <is>
          <t>SANTE</t>
        </is>
      </c>
      <c r="R1475" s="22"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2" t="n">
        <v>12000</v>
      </c>
      <c r="K1476" t="inlineStr">
        <is>
          <t>2024-04-30</t>
        </is>
      </c>
      <c r="L1476" t="inlineStr">
        <is>
          <t>SANTE</t>
        </is>
      </c>
      <c r="R1476" s="22"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2" t="n">
        <v>250000</v>
      </c>
      <c r="K1477" t="inlineStr">
        <is>
          <t>2024-04-30</t>
        </is>
      </c>
      <c r="L1477" t="inlineStr">
        <is>
          <t>SANTE</t>
        </is>
      </c>
      <c r="R1477" s="22"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2" t="n">
        <v>80000</v>
      </c>
      <c r="K1478" t="inlineStr">
        <is>
          <t>2024-04-30</t>
        </is>
      </c>
      <c r="L1478" t="inlineStr">
        <is>
          <t>SANTE</t>
        </is>
      </c>
      <c r="R1478" s="22"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2" t="n">
        <v>30000</v>
      </c>
      <c r="K1479" t="inlineStr">
        <is>
          <t>2024-04-30</t>
        </is>
      </c>
      <c r="L1479" t="inlineStr">
        <is>
          <t>SANTE</t>
        </is>
      </c>
      <c r="R1479" s="22"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2" t="n">
        <v>9000</v>
      </c>
      <c r="K1480" t="inlineStr">
        <is>
          <t>2024-04-30</t>
        </is>
      </c>
      <c r="L1480" t="inlineStr">
        <is>
          <t>SANTE</t>
        </is>
      </c>
      <c r="R1480" s="22"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2" t="n">
        <v>12000</v>
      </c>
      <c r="K1481" t="inlineStr">
        <is>
          <t>2024-04-30</t>
        </is>
      </c>
      <c r="L1481" t="inlineStr">
        <is>
          <t>SANTE</t>
        </is>
      </c>
      <c r="R1481" s="22"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2" t="n">
        <v>150000</v>
      </c>
      <c r="K1482" t="inlineStr">
        <is>
          <t>2024-04-30</t>
        </is>
      </c>
      <c r="L1482" t="inlineStr">
        <is>
          <t>SANTE</t>
        </is>
      </c>
      <c r="R1482" s="22"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2" t="n">
        <v>70000</v>
      </c>
      <c r="K1483" t="inlineStr">
        <is>
          <t>2024-04-30</t>
        </is>
      </c>
      <c r="L1483" t="inlineStr">
        <is>
          <t>SANTE</t>
        </is>
      </c>
      <c r="R1483" s="22"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2" t="n">
        <v>17000</v>
      </c>
      <c r="K1484" t="inlineStr">
        <is>
          <t>2024-04-30</t>
        </is>
      </c>
      <c r="L1484" t="inlineStr">
        <is>
          <t>SANTE</t>
        </is>
      </c>
      <c r="R1484" s="22"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2" t="n">
        <v>150000</v>
      </c>
      <c r="K1485" t="inlineStr">
        <is>
          <t>2024-04-30</t>
        </is>
      </c>
      <c r="L1485" t="inlineStr">
        <is>
          <t>SANTE</t>
        </is>
      </c>
      <c r="R1485" s="22"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2" t="n">
        <v>70000</v>
      </c>
      <c r="K1486" t="inlineStr">
        <is>
          <t>2024-04-30</t>
        </is>
      </c>
      <c r="L1486" t="inlineStr">
        <is>
          <t>SANTE</t>
        </is>
      </c>
      <c r="R1486" s="22"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2" t="n">
        <v>50000</v>
      </c>
      <c r="K1487" t="inlineStr">
        <is>
          <t>2024-04-30</t>
        </is>
      </c>
      <c r="L1487" t="inlineStr">
        <is>
          <t>SANTE</t>
        </is>
      </c>
      <c r="R1487" s="22"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2" t="n">
        <v>950000</v>
      </c>
      <c r="K1488" t="inlineStr">
        <is>
          <t>2024-04-30</t>
        </is>
      </c>
      <c r="L1488" t="inlineStr">
        <is>
          <t>SANTE</t>
        </is>
      </c>
      <c r="R1488" s="22"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2" t="n">
        <v>200000</v>
      </c>
      <c r="K1489" t="inlineStr">
        <is>
          <t>2024-04-30</t>
        </is>
      </c>
      <c r="L1489" t="inlineStr">
        <is>
          <t>SANTE</t>
        </is>
      </c>
      <c r="R1489" s="22"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2" t="n">
        <v>360000</v>
      </c>
      <c r="K1490" t="inlineStr">
        <is>
          <t>2024-04-30</t>
        </is>
      </c>
      <c r="L1490" t="inlineStr">
        <is>
          <t>SANTE</t>
        </is>
      </c>
      <c r="R1490" s="22"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2" t="n">
        <v>20000</v>
      </c>
      <c r="K1491" t="inlineStr">
        <is>
          <t>2024-04-30</t>
        </is>
      </c>
      <c r="L1491" t="inlineStr">
        <is>
          <t>SANTE</t>
        </is>
      </c>
      <c r="R1491" s="22"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2" t="n">
        <v>450000</v>
      </c>
      <c r="K1492" t="inlineStr">
        <is>
          <t>2024-04-30</t>
        </is>
      </c>
      <c r="L1492" t="inlineStr">
        <is>
          <t>SANTE</t>
        </is>
      </c>
      <c r="R1492" s="22"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2" t="n">
        <v>12000</v>
      </c>
      <c r="K1493" t="inlineStr">
        <is>
          <t>2024-04-30</t>
        </is>
      </c>
      <c r="L1493" t="inlineStr">
        <is>
          <t>SANTE</t>
        </is>
      </c>
      <c r="R1493" s="22"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2" t="n">
        <v>85000</v>
      </c>
      <c r="K1494" t="inlineStr">
        <is>
          <t>2024-04-30</t>
        </is>
      </c>
      <c r="L1494" t="inlineStr">
        <is>
          <t>SANTE</t>
        </is>
      </c>
      <c r="R1494" s="22"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2" t="n">
        <v>170000</v>
      </c>
      <c r="K1495" t="inlineStr">
        <is>
          <t>2024-04-30</t>
        </is>
      </c>
      <c r="L1495" t="inlineStr">
        <is>
          <t>SANTE</t>
        </is>
      </c>
      <c r="R1495" s="22"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2" t="n">
        <v>600000</v>
      </c>
      <c r="K1496" t="inlineStr">
        <is>
          <t>2024-04-30</t>
        </is>
      </c>
      <c r="L1496" t="inlineStr">
        <is>
          <t>SANTE</t>
        </is>
      </c>
      <c r="R1496" s="22"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2" t="n">
        <v>40000</v>
      </c>
      <c r="K1497" t="inlineStr">
        <is>
          <t>2024-05-02</t>
        </is>
      </c>
      <c r="L1497" t="inlineStr">
        <is>
          <t>SANTE</t>
        </is>
      </c>
      <c r="R1497" s="22"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2" t="n">
        <v>590600</v>
      </c>
      <c r="K1498" t="inlineStr">
        <is>
          <t>2024-05-31</t>
        </is>
      </c>
      <c r="L1498" t="inlineStr">
        <is>
          <t>SANTE</t>
        </is>
      </c>
      <c r="R1498" s="22"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2" t="n">
        <v>356000</v>
      </c>
      <c r="K1499" t="inlineStr">
        <is>
          <t>2024-08-13</t>
        </is>
      </c>
      <c r="L1499" t="inlineStr">
        <is>
          <t>Capacitation des femmes</t>
        </is>
      </c>
      <c r="R1499" s="22"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2" t="n">
        <v>400000</v>
      </c>
      <c r="K1500" t="inlineStr">
        <is>
          <t>2024-08-13</t>
        </is>
      </c>
      <c r="L1500" t="inlineStr">
        <is>
          <t>Formation des agriculteurs</t>
        </is>
      </c>
      <c r="R1500" s="22"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2" t="n">
        <v>266500</v>
      </c>
      <c r="K1501" t="inlineStr">
        <is>
          <t>2024-09-07</t>
        </is>
      </c>
      <c r="L1501" t="inlineStr">
        <is>
          <t>Capacitation des femmes</t>
        </is>
      </c>
      <c r="R1501" s="22"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2" t="n">
        <v>3128000</v>
      </c>
      <c r="K1502" t="inlineStr">
        <is>
          <t>2024-09-07</t>
        </is>
      </c>
      <c r="L1502" t="inlineStr">
        <is>
          <t>Capacitation des femmes</t>
        </is>
      </c>
      <c r="R1502" s="22"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2" t="n">
        <v>444500</v>
      </c>
      <c r="K1503" t="inlineStr">
        <is>
          <t>2024-10-04</t>
        </is>
      </c>
      <c r="L1503" t="inlineStr">
        <is>
          <t>Capacitation des femmes</t>
        </is>
      </c>
      <c r="R1503" s="22"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2" t="n">
        <v>1089542</v>
      </c>
      <c r="K1504" t="inlineStr">
        <is>
          <t>2024-10-04</t>
        </is>
      </c>
      <c r="L1504" t="inlineStr">
        <is>
          <t>Formation des agriculteurs</t>
        </is>
      </c>
      <c r="R1504" s="22"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2" t="n">
        <v>262000</v>
      </c>
      <c r="K1505" t="inlineStr">
        <is>
          <t>2024-10-04</t>
        </is>
      </c>
      <c r="L1505" t="inlineStr">
        <is>
          <t>Formation des agriculteurs</t>
        </is>
      </c>
      <c r="R1505" s="22"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2" t="n">
        <v>685000</v>
      </c>
      <c r="K1506" t="inlineStr">
        <is>
          <t>2024-06-30</t>
        </is>
      </c>
      <c r="L1506" t="inlineStr">
        <is>
          <t>Agriculture</t>
        </is>
      </c>
      <c r="R1506" s="22"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2" t="n">
        <v>1026000</v>
      </c>
      <c r="K1507" s="23" t="n">
        <v>45525</v>
      </c>
      <c r="M1507" t="inlineStr">
        <is>
          <t>139200</t>
        </is>
      </c>
      <c r="N1507" t="inlineStr">
        <is>
          <t>N/A</t>
        </is>
      </c>
      <c r="O1507" t="inlineStr">
        <is>
          <t>N/A</t>
        </is>
      </c>
      <c r="P1507" t="inlineStr">
        <is>
          <t>Convention minère et Code minier (Fond Social et Fond d'appui au developpement local)</t>
        </is>
      </c>
      <c r="Q1507" t="inlineStr">
        <is>
          <t>NA</t>
        </is>
      </c>
      <c r="R1507" s="22"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2"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2" t="n">
        <v>1000930.38</v>
      </c>
      <c r="K1509" s="23" t="n">
        <v>45637</v>
      </c>
      <c r="M1509" t="inlineStr">
        <is>
          <t>139316</t>
        </is>
      </c>
      <c r="P1509" t="inlineStr">
        <is>
          <t>Convention minère et Code minier (Fond Social et Fond d'appui au developpement local)</t>
        </is>
      </c>
      <c r="R1509" s="22"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2" t="n">
        <v>160000</v>
      </c>
      <c r="K1510" t="inlineStr">
        <is>
          <t>2024-01-09</t>
        </is>
      </c>
      <c r="L1510" t="inlineStr">
        <is>
          <t>Supports de communication</t>
        </is>
      </c>
      <c r="R1510" s="22"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2" t="n">
        <v>20200</v>
      </c>
      <c r="K1511" t="inlineStr">
        <is>
          <t>2024-01-09</t>
        </is>
      </c>
      <c r="L1511" t="inlineStr">
        <is>
          <t>Supports de communication</t>
        </is>
      </c>
      <c r="R1511" s="22"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2" t="n">
        <v>150000</v>
      </c>
      <c r="K1512" t="inlineStr">
        <is>
          <t>2024-01-09</t>
        </is>
      </c>
      <c r="L1512" t="inlineStr">
        <is>
          <t>Supports de communication</t>
        </is>
      </c>
      <c r="R1512" s="22"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2" t="n">
        <v>270000</v>
      </c>
      <c r="K1513" t="inlineStr">
        <is>
          <t>2024-01-10</t>
        </is>
      </c>
      <c r="L1513" t="inlineStr">
        <is>
          <t>Supports de communication</t>
        </is>
      </c>
      <c r="R1513" s="22"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2" t="n">
        <v>29900</v>
      </c>
      <c r="K1514" t="inlineStr">
        <is>
          <t>2024-02-03</t>
        </is>
      </c>
      <c r="L1514" t="inlineStr">
        <is>
          <t>Supports de communication</t>
        </is>
      </c>
      <c r="R1514" s="22"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2" t="n">
        <v>80000</v>
      </c>
      <c r="K1515" t="inlineStr">
        <is>
          <t>2024-04-05</t>
        </is>
      </c>
      <c r="L1515" t="inlineStr">
        <is>
          <t>Supports de communication</t>
        </is>
      </c>
      <c r="R1515" s="22"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2" t="n">
        <v>180000</v>
      </c>
      <c r="K1516" t="inlineStr">
        <is>
          <t>2024-04-05</t>
        </is>
      </c>
      <c r="L1516" t="inlineStr">
        <is>
          <t>Supports de communication</t>
        </is>
      </c>
      <c r="R1516" s="22"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2" t="n">
        <v>100000</v>
      </c>
      <c r="K1517" t="inlineStr">
        <is>
          <t>2024-04-25</t>
        </is>
      </c>
      <c r="L1517" t="inlineStr">
        <is>
          <t>Supports de communication</t>
        </is>
      </c>
      <c r="R1517" s="22"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2" t="n">
        <v>415000</v>
      </c>
      <c r="K1518" t="inlineStr">
        <is>
          <t>2024-04-25</t>
        </is>
      </c>
      <c r="L1518" t="inlineStr">
        <is>
          <t>Supports de communication</t>
        </is>
      </c>
      <c r="R1518" s="22"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2" t="n">
        <v>140000</v>
      </c>
      <c r="K1519" t="inlineStr">
        <is>
          <t>2024-05-02</t>
        </is>
      </c>
      <c r="L1519" t="inlineStr">
        <is>
          <t>Supports de communication</t>
        </is>
      </c>
      <c r="R1519" s="22"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2" t="n">
        <v>80000</v>
      </c>
      <c r="K1520" t="inlineStr">
        <is>
          <t>2024-05-02</t>
        </is>
      </c>
      <c r="L1520" t="inlineStr">
        <is>
          <t>Supports de communication</t>
        </is>
      </c>
      <c r="R1520" s="22"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2" t="n">
        <v>960000</v>
      </c>
      <c r="K1521" t="inlineStr">
        <is>
          <t>2024-05-31</t>
        </is>
      </c>
      <c r="L1521" t="inlineStr">
        <is>
          <t>Supports de communication</t>
        </is>
      </c>
      <c r="R1521" s="22"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2" t="n">
        <v>1620000</v>
      </c>
      <c r="K1522" t="inlineStr">
        <is>
          <t>2024-06-04</t>
        </is>
      </c>
      <c r="L1522" t="inlineStr">
        <is>
          <t>Supports de communication</t>
        </is>
      </c>
      <c r="R1522" s="22"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2" t="n">
        <v>800000</v>
      </c>
      <c r="K1523" t="inlineStr">
        <is>
          <t>2024-06-05</t>
        </is>
      </c>
      <c r="L1523" t="inlineStr">
        <is>
          <t>Supports de communication</t>
        </is>
      </c>
      <c r="R1523" s="22"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2" t="n">
        <v>1000000</v>
      </c>
      <c r="K1524" t="inlineStr">
        <is>
          <t>2024-06-30</t>
        </is>
      </c>
      <c r="L1524" t="inlineStr">
        <is>
          <t>Supports de communication</t>
        </is>
      </c>
      <c r="R1524" s="22"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2" t="n">
        <v>640000</v>
      </c>
      <c r="K1525" t="inlineStr">
        <is>
          <t>2024-06-30</t>
        </is>
      </c>
      <c r="L1525" t="inlineStr">
        <is>
          <t>Supports de communication</t>
        </is>
      </c>
      <c r="R1525" s="22"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2" t="n">
        <v>250000</v>
      </c>
      <c r="K1526" t="inlineStr">
        <is>
          <t>2024-07-22</t>
        </is>
      </c>
      <c r="L1526" t="inlineStr">
        <is>
          <t>Supports de communication</t>
        </is>
      </c>
      <c r="R1526" s="22"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2" t="n">
        <v>600000</v>
      </c>
      <c r="K1527" t="inlineStr">
        <is>
          <t>2024-08-01</t>
        </is>
      </c>
      <c r="L1527" t="inlineStr">
        <is>
          <t>Supports de communication</t>
        </is>
      </c>
      <c r="R1527" s="22"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2" t="n">
        <v>160000</v>
      </c>
      <c r="K1528" t="inlineStr">
        <is>
          <t>2024-09-07</t>
        </is>
      </c>
      <c r="L1528" t="inlineStr">
        <is>
          <t>Supports de communication</t>
        </is>
      </c>
      <c r="R1528" s="22"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2" t="n">
        <v>115000</v>
      </c>
      <c r="K1529" t="inlineStr">
        <is>
          <t>2024-09-07</t>
        </is>
      </c>
      <c r="L1529" t="inlineStr">
        <is>
          <t>Supports de communication</t>
        </is>
      </c>
      <c r="R1529" s="22"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2" t="n">
        <v>364450</v>
      </c>
      <c r="K1530" t="inlineStr">
        <is>
          <t>2024-09-14</t>
        </is>
      </c>
      <c r="L1530" t="inlineStr">
        <is>
          <t>Supports de communication</t>
        </is>
      </c>
      <c r="R1530" s="22"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2" t="n">
        <v>140000</v>
      </c>
      <c r="K1531" t="inlineStr">
        <is>
          <t>2024-09-14</t>
        </is>
      </c>
      <c r="L1531" t="inlineStr">
        <is>
          <t>Supports de communication</t>
        </is>
      </c>
      <c r="R1531" s="22"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2" t="n">
        <v>72000</v>
      </c>
      <c r="K1532" t="inlineStr">
        <is>
          <t>2024-02-03</t>
        </is>
      </c>
      <c r="L1532" t="inlineStr">
        <is>
          <t>Supports de communication</t>
        </is>
      </c>
      <c r="R1532" s="22"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2" t="n">
        <v>92500</v>
      </c>
      <c r="K1533" t="inlineStr">
        <is>
          <t>2024-04-05</t>
        </is>
      </c>
      <c r="L1533" t="inlineStr">
        <is>
          <t>Supports de communication</t>
        </is>
      </c>
      <c r="R1533" s="22"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2" t="n">
        <v>60000</v>
      </c>
      <c r="K1534" t="inlineStr">
        <is>
          <t>2024-04-11</t>
        </is>
      </c>
      <c r="L1534" t="inlineStr">
        <is>
          <t>Supports de communication</t>
        </is>
      </c>
      <c r="R1534" s="22"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2" t="n">
        <v>1615000</v>
      </c>
      <c r="K1535" t="inlineStr">
        <is>
          <t>2024-04-25</t>
        </is>
      </c>
      <c r="L1535" t="inlineStr">
        <is>
          <t>Supports de communication</t>
        </is>
      </c>
      <c r="R1535" s="22"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2" t="n">
        <v>270000</v>
      </c>
      <c r="K1536" t="inlineStr">
        <is>
          <t>2024-05-02</t>
        </is>
      </c>
      <c r="L1536" t="inlineStr">
        <is>
          <t>Supports de communication</t>
        </is>
      </c>
      <c r="R1536" s="22"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2" t="n">
        <v>6400000</v>
      </c>
      <c r="K1537" t="inlineStr">
        <is>
          <t>2024-05-25</t>
        </is>
      </c>
      <c r="L1537" t="inlineStr">
        <is>
          <t>Supports de communication</t>
        </is>
      </c>
      <c r="R1537" s="22"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2" t="n">
        <v>8700000</v>
      </c>
      <c r="K1538" t="inlineStr">
        <is>
          <t>2024-05-25</t>
        </is>
      </c>
      <c r="L1538" t="inlineStr">
        <is>
          <t>Supports de communication</t>
        </is>
      </c>
      <c r="R1538" s="22"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2" t="n">
        <v>26000</v>
      </c>
      <c r="K1539" t="inlineStr">
        <is>
          <t>2024-06-30</t>
        </is>
      </c>
      <c r="L1539" t="inlineStr">
        <is>
          <t>Supports de communication</t>
        </is>
      </c>
      <c r="R1539" s="22"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2" t="n">
        <v>368000</v>
      </c>
      <c r="K1540" t="inlineStr">
        <is>
          <t>2024-07-22</t>
        </is>
      </c>
      <c r="L1540" t="inlineStr">
        <is>
          <t>Supports de communication</t>
        </is>
      </c>
      <c r="R1540" s="22"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2" t="n">
        <v>95000</v>
      </c>
      <c r="K1541" t="inlineStr">
        <is>
          <t>2024-09-07</t>
        </is>
      </c>
      <c r="L1541" t="inlineStr">
        <is>
          <t>Supports de communication</t>
        </is>
      </c>
      <c r="R1541" s="22"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2" t="n">
        <v>1000000</v>
      </c>
      <c r="K1542" s="23"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2"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2" t="n">
        <v>1000000</v>
      </c>
      <c r="K1543" s="23"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2"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2" t="n">
        <v>1000000</v>
      </c>
      <c r="K1544" s="23"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2"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2" t="n">
        <v>1000000</v>
      </c>
      <c r="K1545" s="23"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2"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2" t="n">
        <v>1000000</v>
      </c>
      <c r="K1546" s="23" t="n">
        <v>45457</v>
      </c>
      <c r="R1546" s="22"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2" t="n">
        <v>1000000</v>
      </c>
      <c r="R1547" s="22"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2" t="n">
        <v>1000000</v>
      </c>
      <c r="K1548" t="inlineStr">
        <is>
          <t>2024-01-09</t>
        </is>
      </c>
      <c r="L1548" t="inlineStr">
        <is>
          <t>Appuis divers</t>
        </is>
      </c>
      <c r="R1548" s="22"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2" t="n">
        <v>1000000</v>
      </c>
      <c r="K1549" t="inlineStr">
        <is>
          <t>2024-02-03</t>
        </is>
      </c>
      <c r="L1549" t="inlineStr">
        <is>
          <t>Appuis divers</t>
        </is>
      </c>
      <c r="R1549" s="22"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2" t="n">
        <v>1000000</v>
      </c>
      <c r="K1550" t="inlineStr">
        <is>
          <t>2024-04-05</t>
        </is>
      </c>
      <c r="L1550" t="inlineStr">
        <is>
          <t>Appuis divers</t>
        </is>
      </c>
      <c r="R1550" s="22"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2" t="n">
        <v>1000000</v>
      </c>
      <c r="K1551" t="inlineStr">
        <is>
          <t>2024-06-30</t>
        </is>
      </c>
      <c r="L1551" t="inlineStr">
        <is>
          <t>Appuis divers</t>
        </is>
      </c>
      <c r="R1551" s="22"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2" t="n">
        <v>1000000</v>
      </c>
      <c r="K1552" t="inlineStr">
        <is>
          <t>2024-07-22</t>
        </is>
      </c>
      <c r="L1552" t="inlineStr">
        <is>
          <t>Appuis divers</t>
        </is>
      </c>
      <c r="R1552" s="22"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2" t="n">
        <v>1000000</v>
      </c>
      <c r="K1553" t="inlineStr">
        <is>
          <t>2024-09-02</t>
        </is>
      </c>
      <c r="L1553" t="inlineStr">
        <is>
          <t>Appuis divers</t>
        </is>
      </c>
      <c r="R1553" s="22"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2" t="n">
        <v>1000000</v>
      </c>
      <c r="K1554" s="23" t="n">
        <v>45387</v>
      </c>
      <c r="L1554" t="inlineStr">
        <is>
          <t>APPUIS DIVERS</t>
        </is>
      </c>
      <c r="R1554" s="22"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2" t="n">
        <v>1000000</v>
      </c>
      <c r="K1555" s="23" t="n">
        <v>45007</v>
      </c>
      <c r="M1555" t="inlineStr">
        <is>
          <t>Appuis divers</t>
        </is>
      </c>
      <c r="R1555" s="22"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2" t="n">
        <v>1000000</v>
      </c>
      <c r="K1556" s="23" t="n">
        <v>45240</v>
      </c>
      <c r="M1556" t="inlineStr">
        <is>
          <t>Appuis divers</t>
        </is>
      </c>
      <c r="R1556" s="22"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2" t="n">
        <v>1000000</v>
      </c>
      <c r="K1557" s="23" t="n">
        <v>45245</v>
      </c>
      <c r="M1557" t="inlineStr">
        <is>
          <t>Appuis divers</t>
        </is>
      </c>
      <c r="R1557" s="22"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2" t="n">
        <v>1000000</v>
      </c>
      <c r="K1558" s="23" t="n">
        <v>45291</v>
      </c>
      <c r="M1558" t="inlineStr">
        <is>
          <t>Appuis divers</t>
        </is>
      </c>
      <c r="R1558" s="22"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2" t="n">
        <v>1000000</v>
      </c>
      <c r="K1559" s="23" t="n">
        <v>45035</v>
      </c>
      <c r="R1559" s="22"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2" t="n">
        <v>1000000</v>
      </c>
      <c r="K1560" t="inlineStr">
        <is>
          <t>06/02/2023</t>
        </is>
      </c>
      <c r="L1560" t="inlineStr">
        <is>
          <t>Appuis divers</t>
        </is>
      </c>
      <c r="R1560" s="22"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2" t="n">
        <v>920000</v>
      </c>
      <c r="K1561" t="inlineStr">
        <is>
          <t>2024-03-01</t>
        </is>
      </c>
      <c r="L1561" t="inlineStr">
        <is>
          <t>SPORTS</t>
        </is>
      </c>
      <c r="R1561" s="22"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2" t="n">
        <v>1000000</v>
      </c>
      <c r="K1562" t="inlineStr">
        <is>
          <t>14/03/2023</t>
        </is>
      </c>
      <c r="L1562" t="inlineStr">
        <is>
          <t>Appuis divers</t>
        </is>
      </c>
      <c r="R1562" s="22"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2" t="n">
        <v>1000000</v>
      </c>
      <c r="K1563" t="inlineStr">
        <is>
          <t>30/03/2023</t>
        </is>
      </c>
      <c r="L1563" t="inlineStr">
        <is>
          <t>Appuis divers</t>
        </is>
      </c>
      <c r="R1563" s="22"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2" t="n">
        <v>300000</v>
      </c>
      <c r="K1564" t="inlineStr">
        <is>
          <t>2024-07-22</t>
        </is>
      </c>
      <c r="L1564" t="inlineStr">
        <is>
          <t>SPORTS</t>
        </is>
      </c>
      <c r="R1564" s="22"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2" t="n">
        <v>40000</v>
      </c>
      <c r="K1565" t="inlineStr">
        <is>
          <t>2024-08-13</t>
        </is>
      </c>
      <c r="L1565" t="inlineStr">
        <is>
          <t>SPORTS</t>
        </is>
      </c>
      <c r="R1565" s="22"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2" t="n">
        <v>200000</v>
      </c>
      <c r="K1566" t="inlineStr">
        <is>
          <t>2024-08-13</t>
        </is>
      </c>
      <c r="L1566" t="inlineStr">
        <is>
          <t>SPORTS</t>
        </is>
      </c>
      <c r="R1566" s="22"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2" t="n">
        <v>56800</v>
      </c>
      <c r="K1567" t="inlineStr">
        <is>
          <t>2024-08-13</t>
        </is>
      </c>
      <c r="L1567" t="inlineStr">
        <is>
          <t>SPORTS</t>
        </is>
      </c>
      <c r="R1567" s="22"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2" t="n">
        <v>100000</v>
      </c>
      <c r="K1568" t="inlineStr">
        <is>
          <t>2024-08-13</t>
        </is>
      </c>
      <c r="L1568" t="inlineStr">
        <is>
          <t>SPORTS</t>
        </is>
      </c>
      <c r="R1568" s="22"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2" t="n">
        <v>470000</v>
      </c>
      <c r="K1569" t="inlineStr">
        <is>
          <t>2024-09-07</t>
        </is>
      </c>
      <c r="L1569" t="inlineStr">
        <is>
          <t>SPORTS</t>
        </is>
      </c>
      <c r="R1569" s="22"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2" t="n">
        <v>660000</v>
      </c>
      <c r="K1570" t="inlineStr">
        <is>
          <t>2024-09-14</t>
        </is>
      </c>
      <c r="L1570" t="inlineStr">
        <is>
          <t>SANTE</t>
        </is>
      </c>
      <c r="R1570" s="22"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2" t="n">
        <v>1000000</v>
      </c>
      <c r="K1571" t="inlineStr">
        <is>
          <t>18/07/2023</t>
        </is>
      </c>
      <c r="L1571" t="inlineStr">
        <is>
          <t>Appuis divers</t>
        </is>
      </c>
      <c r="R1571" s="22"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2" t="n">
        <v>1000000</v>
      </c>
      <c r="K1572" t="inlineStr">
        <is>
          <t>16/10/2023</t>
        </is>
      </c>
      <c r="L1572" t="inlineStr">
        <is>
          <t>Appuis divers</t>
        </is>
      </c>
      <c r="R1572" s="22"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2" t="n">
        <v>1000000</v>
      </c>
      <c r="K1573" t="inlineStr">
        <is>
          <t>29/11/2023</t>
        </is>
      </c>
      <c r="L1573" t="inlineStr">
        <is>
          <t>Appuis divers</t>
        </is>
      </c>
      <c r="R1573" s="22"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2" t="n">
        <v>1000000</v>
      </c>
      <c r="K1574" t="inlineStr">
        <is>
          <t>01/12/2023</t>
        </is>
      </c>
      <c r="L1574" t="inlineStr">
        <is>
          <t>Appuis divers</t>
        </is>
      </c>
      <c r="R1574" s="22"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2" t="n">
        <v>1000000</v>
      </c>
      <c r="K1575" t="inlineStr">
        <is>
          <t>31/12/2023</t>
        </is>
      </c>
      <c r="L1575" t="inlineStr">
        <is>
          <t>Appuis divers</t>
        </is>
      </c>
      <c r="R1575" s="22"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2" t="n">
        <v>1000000</v>
      </c>
      <c r="K1576" s="23" t="n">
        <v>44663</v>
      </c>
      <c r="L1576" t="inlineStr">
        <is>
          <t>SF General</t>
        </is>
      </c>
      <c r="R1576" s="22"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2" t="n">
        <v>1000000</v>
      </c>
      <c r="K1577" s="23" t="n">
        <v>44804</v>
      </c>
      <c r="L1577" t="inlineStr">
        <is>
          <t>SF General</t>
        </is>
      </c>
      <c r="R1577" s="22"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2" t="n">
        <v>1000000</v>
      </c>
      <c r="O1578" t="inlineStr">
        <is>
          <t>SF General</t>
        </is>
      </c>
      <c r="P1578" t="inlineStr">
        <is>
          <t>Obligation de développement social: art.15 de l'avenant 1 à la convention minière de Sabodala du 23 mars 2005</t>
        </is>
      </c>
      <c r="R1578" s="22"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2" t="n">
        <v>1000000</v>
      </c>
      <c r="O1579" t="inlineStr">
        <is>
          <t>SF General</t>
        </is>
      </c>
      <c r="P1579" t="inlineStr">
        <is>
          <t>Obligation de développement social: art.15 de l'avenant 1 à la convention minière de Sabodala du 23 mars 2005</t>
        </is>
      </c>
      <c r="R1579" s="22"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2" t="n">
        <v>1000000</v>
      </c>
      <c r="O1580" t="inlineStr">
        <is>
          <t>SF General</t>
        </is>
      </c>
      <c r="P1580" t="inlineStr">
        <is>
          <t>Obligation de développement social: art.15 de l'avenant 1 à la convention minière de Sabodala du 23 mars 2005</t>
        </is>
      </c>
      <c r="R1580" s="22"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2" t="n">
        <v>1000000</v>
      </c>
      <c r="K1581" s="23" t="n">
        <v>44285</v>
      </c>
      <c r="L1581" t="inlineStr">
        <is>
          <t>Appuis divers</t>
        </is>
      </c>
      <c r="M1581" t="inlineStr">
        <is>
          <t>N/A</t>
        </is>
      </c>
      <c r="N1581" t="inlineStr">
        <is>
          <t>N/A</t>
        </is>
      </c>
      <c r="O1581" t="inlineStr">
        <is>
          <t>N/A</t>
        </is>
      </c>
      <c r="P1581" t="inlineStr">
        <is>
          <t>Nc</t>
        </is>
      </c>
      <c r="R1581" s="22"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2" t="n">
        <v>1000000</v>
      </c>
      <c r="K1582" s="23" t="n">
        <v>44408</v>
      </c>
      <c r="L1582" t="inlineStr">
        <is>
          <t>Appuis divers</t>
        </is>
      </c>
      <c r="M1582" t="inlineStr">
        <is>
          <t>N/A</t>
        </is>
      </c>
      <c r="N1582" t="inlineStr">
        <is>
          <t>N/A</t>
        </is>
      </c>
      <c r="O1582" t="inlineStr">
        <is>
          <t>N/A</t>
        </is>
      </c>
      <c r="P1582" t="inlineStr">
        <is>
          <t>Nc</t>
        </is>
      </c>
      <c r="R1582" s="22"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2" t="n">
        <v>1000000</v>
      </c>
      <c r="K1583" t="inlineStr">
        <is>
          <t>Nc</t>
        </is>
      </c>
      <c r="L1583" t="inlineStr">
        <is>
          <t>APPUIS DIVERS</t>
        </is>
      </c>
      <c r="M1583" t="inlineStr">
        <is>
          <t>N/A</t>
        </is>
      </c>
      <c r="N1583" t="inlineStr">
        <is>
          <t>N/A</t>
        </is>
      </c>
      <c r="O1583" t="inlineStr">
        <is>
          <t>N/A</t>
        </is>
      </c>
      <c r="P1583" t="inlineStr">
        <is>
          <t>Nc</t>
        </is>
      </c>
      <c r="R1583" s="22"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2"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2"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2"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2"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2" t="n">
        <v>1000000</v>
      </c>
      <c r="K1588" s="23"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2"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2" t="n">
        <v>7336</v>
      </c>
      <c r="K1589" t="inlineStr">
        <is>
          <t>Appuis divers</t>
        </is>
      </c>
      <c r="L1589" t="inlineStr">
        <is>
          <t>Appuis divers</t>
        </is>
      </c>
      <c r="M1589" t="inlineStr">
        <is>
          <t xml:space="preserve">Néant </t>
        </is>
      </c>
      <c r="N1589" t="inlineStr">
        <is>
          <t xml:space="preserve">Néant </t>
        </is>
      </c>
      <c r="O1589" t="inlineStr">
        <is>
          <t>Nc</t>
        </is>
      </c>
      <c r="R1589" s="22"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2"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2" t="n">
        <v>45000</v>
      </c>
      <c r="K1591" t="inlineStr">
        <is>
          <t>2024-11-04</t>
        </is>
      </c>
      <c r="L1591" t="inlineStr">
        <is>
          <t>Education</t>
        </is>
      </c>
      <c r="R1591" s="22"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2" t="n">
        <v>-447488</v>
      </c>
      <c r="K1592" t="inlineStr">
        <is>
          <t>2024-11-04</t>
        </is>
      </c>
      <c r="L1592" t="inlineStr">
        <is>
          <t>Hydraulique</t>
        </is>
      </c>
      <c r="R1592" s="22"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2" t="n">
        <v>4356884</v>
      </c>
      <c r="K1593" t="inlineStr">
        <is>
          <t>2024-11-04</t>
        </is>
      </c>
      <c r="L1593" t="inlineStr">
        <is>
          <t>Hydraulique</t>
        </is>
      </c>
      <c r="R1593" s="22"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2" t="n">
        <v>2428727</v>
      </c>
      <c r="K1594" t="inlineStr">
        <is>
          <t>2024-11-04</t>
        </is>
      </c>
      <c r="L1594" t="inlineStr">
        <is>
          <t>Hydraulique</t>
        </is>
      </c>
      <c r="R1594" s="22"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2" t="n">
        <v>-3909396</v>
      </c>
      <c r="K1595" t="inlineStr">
        <is>
          <t>2024-11-01</t>
        </is>
      </c>
      <c r="L1595" t="inlineStr">
        <is>
          <t>Hydraulique</t>
        </is>
      </c>
      <c r="R1595" s="22"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2" t="n">
        <v>4100617</v>
      </c>
      <c r="K1596" t="inlineStr">
        <is>
          <t>2024-11-14</t>
        </is>
      </c>
      <c r="L1596" t="inlineStr">
        <is>
          <t>Hydraulique</t>
        </is>
      </c>
      <c r="R1596" s="22"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2" t="n">
        <v>4569993</v>
      </c>
      <c r="K1597" t="inlineStr">
        <is>
          <t>2024-12-02</t>
        </is>
      </c>
      <c r="L1597" t="inlineStr">
        <is>
          <t>Hydraulique</t>
        </is>
      </c>
      <c r="R1597" s="22"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2" t="n">
        <v>2420991</v>
      </c>
      <c r="K1598" t="inlineStr">
        <is>
          <t>2024-12-02</t>
        </is>
      </c>
      <c r="L1598" t="inlineStr">
        <is>
          <t>Hydraulique</t>
        </is>
      </c>
      <c r="R1598" s="22"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2" t="n">
        <v>-469376</v>
      </c>
      <c r="K1599" t="inlineStr">
        <is>
          <t>2024-12-02</t>
        </is>
      </c>
      <c r="L1599" t="inlineStr">
        <is>
          <t>Hydraulique</t>
        </is>
      </c>
      <c r="R1599" s="22"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2" t="n">
        <v>-4100617</v>
      </c>
      <c r="K1600" t="inlineStr">
        <is>
          <t>2024-12-03</t>
        </is>
      </c>
      <c r="L1600" t="inlineStr">
        <is>
          <t>Hydraulique</t>
        </is>
      </c>
      <c r="R1600" s="22"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2" t="n">
        <v>4239385</v>
      </c>
      <c r="K1601" t="inlineStr">
        <is>
          <t>2024-12-10</t>
        </is>
      </c>
      <c r="L1601" t="inlineStr">
        <is>
          <t>Hydraulique</t>
        </is>
      </c>
      <c r="R1601" s="22"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2" t="n">
        <v>998000</v>
      </c>
      <c r="K1602" s="23"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2"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2" t="n">
        <v>989733</v>
      </c>
      <c r="K1603" t="inlineStr">
        <is>
          <t>2024-01-12</t>
        </is>
      </c>
      <c r="L1603" t="inlineStr">
        <is>
          <t>Appuis divers</t>
        </is>
      </c>
      <c r="R1603" s="22"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2" t="n">
        <v>961800</v>
      </c>
      <c r="K1604" t="inlineStr">
        <is>
          <t>22/05/2023</t>
        </is>
      </c>
      <c r="L1604" t="inlineStr">
        <is>
          <t>Appuis divers</t>
        </is>
      </c>
      <c r="R1604" s="22"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2" t="n">
        <v>960000</v>
      </c>
      <c r="K1605" s="23"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2"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2" t="n">
        <v>959643.8199999999</v>
      </c>
      <c r="K1606" s="23" t="n">
        <v>45321</v>
      </c>
      <c r="M1606" t="inlineStr">
        <is>
          <t>132813AA</t>
        </is>
      </c>
      <c r="N1606" t="inlineStr">
        <is>
          <t>N/A</t>
        </is>
      </c>
      <c r="O1606" t="inlineStr">
        <is>
          <t>N/A</t>
        </is>
      </c>
      <c r="P1606" t="inlineStr">
        <is>
          <t>Convention minère et Code minier (Fond Social et Fond d'appui au developpement local)</t>
        </is>
      </c>
      <c r="Q1606" t="inlineStr">
        <is>
          <t>NA</t>
        </is>
      </c>
      <c r="R1606" s="22"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2" t="n">
        <v>209075</v>
      </c>
      <c r="K1607" t="inlineStr">
        <is>
          <t>2024-11-04</t>
        </is>
      </c>
      <c r="L1607" t="inlineStr">
        <is>
          <t>Infrastructures communautaires et publiques</t>
        </is>
      </c>
      <c r="R1607" s="22"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2" t="n">
        <v>7364100</v>
      </c>
      <c r="K1608" t="inlineStr">
        <is>
          <t>2024-12-02</t>
        </is>
      </c>
      <c r="L1608" t="inlineStr">
        <is>
          <t>Infrastructures communautaires et publiques</t>
        </is>
      </c>
      <c r="R1608" s="22"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2" t="n">
        <v>4800000</v>
      </c>
      <c r="K1609" t="inlineStr">
        <is>
          <t>2024-12-02</t>
        </is>
      </c>
      <c r="L1609" t="inlineStr">
        <is>
          <t>Infrastructures communautaires et publiques</t>
        </is>
      </c>
      <c r="R1609" s="22"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2" t="n">
        <v>3320000</v>
      </c>
      <c r="K1610" t="inlineStr">
        <is>
          <t>2024-12-02</t>
        </is>
      </c>
      <c r="L1610" t="inlineStr">
        <is>
          <t>Infrastructures communautaires et publiques</t>
        </is>
      </c>
      <c r="R1610" s="22"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2" t="n">
        <v>4517000</v>
      </c>
      <c r="K1611" t="inlineStr">
        <is>
          <t>2024-12-02</t>
        </is>
      </c>
      <c r="L1611" t="inlineStr">
        <is>
          <t>Infrastructures communautaires et publiques</t>
        </is>
      </c>
      <c r="R1611" s="22"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2" t="n">
        <v>325000</v>
      </c>
      <c r="K1612" t="inlineStr">
        <is>
          <t>2024-11-04</t>
        </is>
      </c>
      <c r="L1612" t="inlineStr">
        <is>
          <t>SPORTS</t>
        </is>
      </c>
      <c r="R1612" s="22"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2" t="n">
        <v>7500000</v>
      </c>
      <c r="K1613" t="inlineStr">
        <is>
          <t>2024-11-04</t>
        </is>
      </c>
      <c r="L1613" t="inlineStr">
        <is>
          <t>SPORTS</t>
        </is>
      </c>
      <c r="R1613" s="22"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2" t="n">
        <v>300000</v>
      </c>
      <c r="K1614" t="inlineStr">
        <is>
          <t>2024-11-04</t>
        </is>
      </c>
      <c r="L1614" t="inlineStr">
        <is>
          <t>SPORTS</t>
        </is>
      </c>
      <c r="R1614" s="22"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2" t="n">
        <v>308000</v>
      </c>
      <c r="K1615" t="inlineStr">
        <is>
          <t>2024-11-11</t>
        </is>
      </c>
      <c r="L1615" t="inlineStr">
        <is>
          <t>SPORTS</t>
        </is>
      </c>
      <c r="R1615" s="22"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2" t="n">
        <v>373000</v>
      </c>
      <c r="K1616" t="inlineStr">
        <is>
          <t>2024-11-11</t>
        </is>
      </c>
      <c r="L1616" t="inlineStr">
        <is>
          <t>SPORTS</t>
        </is>
      </c>
      <c r="R1616" s="22"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2" t="n">
        <v>330000</v>
      </c>
      <c r="K1617" t="inlineStr">
        <is>
          <t>2024-12-02</t>
        </is>
      </c>
      <c r="L1617" t="inlineStr">
        <is>
          <t>SPORTS</t>
        </is>
      </c>
      <c r="R1617" s="22"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2" t="n">
        <v>9468555</v>
      </c>
      <c r="K1618" t="inlineStr">
        <is>
          <t>2024-11-06</t>
        </is>
      </c>
      <c r="L1618" t="inlineStr">
        <is>
          <t>Education</t>
        </is>
      </c>
      <c r="R1618" s="22"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2" t="n">
        <v>40000</v>
      </c>
      <c r="K1619" t="inlineStr">
        <is>
          <t>2024-10-07</t>
        </is>
      </c>
      <c r="L1619" t="inlineStr">
        <is>
          <t>Education</t>
        </is>
      </c>
      <c r="R1619" s="22"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2" t="n">
        <v>240000</v>
      </c>
      <c r="K1620" t="inlineStr">
        <is>
          <t>2024-10-07</t>
        </is>
      </c>
      <c r="L1620" t="inlineStr">
        <is>
          <t>Education</t>
        </is>
      </c>
      <c r="R1620" s="22"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2" t="n">
        <v>25000</v>
      </c>
      <c r="K1621" t="inlineStr">
        <is>
          <t>2024-10-07</t>
        </is>
      </c>
      <c r="L1621" t="inlineStr">
        <is>
          <t>Education</t>
        </is>
      </c>
      <c r="R1621" s="22"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2" t="n">
        <v>40000</v>
      </c>
      <c r="K1622" t="inlineStr">
        <is>
          <t>2024-11-04</t>
        </is>
      </c>
      <c r="L1622" t="inlineStr">
        <is>
          <t>Education</t>
        </is>
      </c>
      <c r="R1622" s="22"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2" t="n">
        <v>240000</v>
      </c>
      <c r="K1623" t="inlineStr">
        <is>
          <t>2024-11-04</t>
        </is>
      </c>
      <c r="L1623" t="inlineStr">
        <is>
          <t>Education</t>
        </is>
      </c>
      <c r="R1623" s="22"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2" t="n">
        <v>25000</v>
      </c>
      <c r="K1624" t="inlineStr">
        <is>
          <t>2024-11-04</t>
        </is>
      </c>
      <c r="L1624" t="inlineStr">
        <is>
          <t>Education</t>
        </is>
      </c>
      <c r="R1624" s="22"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2" t="n">
        <v>40000</v>
      </c>
      <c r="K1625" t="inlineStr">
        <is>
          <t>2024-12-02</t>
        </is>
      </c>
      <c r="L1625" t="inlineStr">
        <is>
          <t>Education</t>
        </is>
      </c>
      <c r="R1625" s="22"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2" t="n">
        <v>240000</v>
      </c>
      <c r="K1626" t="inlineStr">
        <is>
          <t>2024-12-02</t>
        </is>
      </c>
      <c r="L1626" t="inlineStr">
        <is>
          <t>Education</t>
        </is>
      </c>
      <c r="R1626" s="22"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2" t="n">
        <v>25000</v>
      </c>
      <c r="K1627" t="inlineStr">
        <is>
          <t>2024-12-02</t>
        </is>
      </c>
      <c r="L1627" t="inlineStr">
        <is>
          <t>Education</t>
        </is>
      </c>
      <c r="R1627" s="22"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2" t="n">
        <v>40000</v>
      </c>
      <c r="K1628" t="inlineStr">
        <is>
          <t>2024-10-07</t>
        </is>
      </c>
      <c r="L1628" t="inlineStr">
        <is>
          <t>SANTE</t>
        </is>
      </c>
      <c r="R1628" s="22"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2" t="n">
        <v>300000</v>
      </c>
      <c r="K1629" t="inlineStr">
        <is>
          <t>2024-11-04</t>
        </is>
      </c>
      <c r="L1629" t="inlineStr">
        <is>
          <t>SANTE</t>
        </is>
      </c>
      <c r="R1629" s="22"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2" t="n">
        <v>1055000</v>
      </c>
      <c r="K1630" t="inlineStr">
        <is>
          <t>2024-11-04</t>
        </is>
      </c>
      <c r="L1630" t="inlineStr">
        <is>
          <t>SANTE</t>
        </is>
      </c>
      <c r="R1630" s="22"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2" t="n">
        <v>232500</v>
      </c>
      <c r="K1631" t="inlineStr">
        <is>
          <t>2024-11-11</t>
        </is>
      </c>
      <c r="L1631" t="inlineStr">
        <is>
          <t>SANTE</t>
        </is>
      </c>
      <c r="R1631" s="22"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2" t="n">
        <v>326500</v>
      </c>
      <c r="K1632" t="inlineStr">
        <is>
          <t>2024-11-11</t>
        </is>
      </c>
      <c r="L1632" t="inlineStr">
        <is>
          <t>SANTE</t>
        </is>
      </c>
      <c r="R1632" s="22"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2" t="n">
        <v>344500</v>
      </c>
      <c r="K1633" t="inlineStr">
        <is>
          <t>2024-12-02</t>
        </is>
      </c>
      <c r="L1633" t="inlineStr">
        <is>
          <t>SANTE</t>
        </is>
      </c>
      <c r="R1633" s="22"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2" t="n">
        <v>270000</v>
      </c>
      <c r="K1634" t="inlineStr">
        <is>
          <t>2024-12-02</t>
        </is>
      </c>
      <c r="L1634" t="inlineStr">
        <is>
          <t>SANTE</t>
        </is>
      </c>
      <c r="R1634" s="22"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2" t="n">
        <v>675000</v>
      </c>
      <c r="K1635" t="inlineStr">
        <is>
          <t>2024-12-02</t>
        </is>
      </c>
      <c r="L1635" t="inlineStr">
        <is>
          <t>SANTE</t>
        </is>
      </c>
      <c r="R1635" s="22"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2" t="n">
        <v>298000</v>
      </c>
      <c r="K1636" t="inlineStr">
        <is>
          <t>2024-12-02</t>
        </is>
      </c>
      <c r="L1636" t="inlineStr">
        <is>
          <t>SANTE</t>
        </is>
      </c>
      <c r="R1636" s="22"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2" t="n">
        <v>108000</v>
      </c>
      <c r="K1637" t="inlineStr">
        <is>
          <t>2024-12-02</t>
        </is>
      </c>
      <c r="L1637" t="inlineStr">
        <is>
          <t>SANTE</t>
        </is>
      </c>
      <c r="R1637" s="22"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2" t="n">
        <v>160000</v>
      </c>
      <c r="K1638" t="inlineStr">
        <is>
          <t>2024-12-02</t>
        </is>
      </c>
      <c r="L1638" t="inlineStr">
        <is>
          <t>SANTE</t>
        </is>
      </c>
      <c r="R1638" s="22"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2" t="n">
        <v>105000</v>
      </c>
      <c r="K1639" t="inlineStr">
        <is>
          <t>2024-12-02</t>
        </is>
      </c>
      <c r="L1639" t="inlineStr">
        <is>
          <t>SANTE</t>
        </is>
      </c>
      <c r="R1639" s="22"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2" t="n">
        <v>600000</v>
      </c>
      <c r="K1640" t="inlineStr">
        <is>
          <t>2024-12-02</t>
        </is>
      </c>
      <c r="L1640" t="inlineStr">
        <is>
          <t>SANTE</t>
        </is>
      </c>
      <c r="R1640" s="22"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2" t="n">
        <v>75000</v>
      </c>
      <c r="K1641" t="inlineStr">
        <is>
          <t>2024-12-02</t>
        </is>
      </c>
      <c r="L1641" t="inlineStr">
        <is>
          <t>SANTE</t>
        </is>
      </c>
      <c r="R1641" s="22"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2" t="n">
        <v>40000</v>
      </c>
      <c r="K1642" t="inlineStr">
        <is>
          <t>2024-12-02</t>
        </is>
      </c>
      <c r="L1642" t="inlineStr">
        <is>
          <t>SANTE</t>
        </is>
      </c>
      <c r="R1642" s="22"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2" t="n">
        <v>100000</v>
      </c>
      <c r="K1643" t="inlineStr">
        <is>
          <t>2024-12-02</t>
        </is>
      </c>
      <c r="L1643" t="inlineStr">
        <is>
          <t>SANTE</t>
        </is>
      </c>
      <c r="R1643" s="22"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2" t="n">
        <v>100000</v>
      </c>
      <c r="K1644" t="inlineStr">
        <is>
          <t>2024-12-02</t>
        </is>
      </c>
      <c r="L1644" t="inlineStr">
        <is>
          <t>SANTE</t>
        </is>
      </c>
      <c r="R1644" s="22"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2" t="n">
        <v>47500</v>
      </c>
      <c r="K1645" t="inlineStr">
        <is>
          <t>2024-12-02</t>
        </is>
      </c>
      <c r="L1645" t="inlineStr">
        <is>
          <t>SANTE</t>
        </is>
      </c>
      <c r="R1645" s="22"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2" t="n">
        <v>160000</v>
      </c>
      <c r="K1646" t="inlineStr">
        <is>
          <t>2024-12-02</t>
        </is>
      </c>
      <c r="L1646" t="inlineStr">
        <is>
          <t>SANTE</t>
        </is>
      </c>
      <c r="R1646" s="22"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2" t="n">
        <v>125000</v>
      </c>
      <c r="K1647" t="inlineStr">
        <is>
          <t>2024-12-02</t>
        </is>
      </c>
      <c r="L1647" t="inlineStr">
        <is>
          <t>SANTE</t>
        </is>
      </c>
      <c r="R1647" s="22"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2" t="n">
        <v>350000</v>
      </c>
      <c r="K1648" t="inlineStr">
        <is>
          <t>2024-12-02</t>
        </is>
      </c>
      <c r="L1648" t="inlineStr">
        <is>
          <t>SANTE</t>
        </is>
      </c>
      <c r="R1648" s="22"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2" t="n">
        <v>105000</v>
      </c>
      <c r="K1649" t="inlineStr">
        <is>
          <t>2024-12-02</t>
        </is>
      </c>
      <c r="L1649" t="inlineStr">
        <is>
          <t>SANTE</t>
        </is>
      </c>
      <c r="R1649" s="22"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2" t="n">
        <v>90000</v>
      </c>
      <c r="K1650" t="inlineStr">
        <is>
          <t>2024-12-02</t>
        </is>
      </c>
      <c r="L1650" t="inlineStr">
        <is>
          <t>SANTE</t>
        </is>
      </c>
      <c r="R1650" s="22"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2" t="n">
        <v>2200000</v>
      </c>
      <c r="K1651" t="inlineStr">
        <is>
          <t>2024-12-02</t>
        </is>
      </c>
      <c r="L1651" t="inlineStr">
        <is>
          <t>SANTE</t>
        </is>
      </c>
      <c r="R1651" s="22"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2" t="n">
        <v>281344</v>
      </c>
      <c r="K1652" t="inlineStr">
        <is>
          <t>2024-12-02</t>
        </is>
      </c>
      <c r="L1652" t="inlineStr">
        <is>
          <t>SANTE</t>
        </is>
      </c>
      <c r="R1652" s="22"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2" t="n">
        <v>20000</v>
      </c>
      <c r="K1653" t="inlineStr">
        <is>
          <t>2024-12-02</t>
        </is>
      </c>
      <c r="L1653" t="inlineStr">
        <is>
          <t>SANTE</t>
        </is>
      </c>
      <c r="R1653" s="22"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2" t="n">
        <v>180000</v>
      </c>
      <c r="K1654" t="inlineStr">
        <is>
          <t>2024-12-02</t>
        </is>
      </c>
      <c r="L1654" t="inlineStr">
        <is>
          <t>SANTE</t>
        </is>
      </c>
      <c r="R1654" s="22"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2" t="n">
        <v>223390</v>
      </c>
      <c r="K1655" t="inlineStr">
        <is>
          <t>2024-12-02</t>
        </is>
      </c>
      <c r="L1655" t="inlineStr">
        <is>
          <t>SANTE</t>
        </is>
      </c>
      <c r="R1655" s="22"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2" t="n">
        <v>120000</v>
      </c>
      <c r="K1656" t="inlineStr">
        <is>
          <t>2024-12-02</t>
        </is>
      </c>
      <c r="L1656" t="inlineStr">
        <is>
          <t>SANTE</t>
        </is>
      </c>
      <c r="R1656" s="22"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2" t="n">
        <v>250000</v>
      </c>
      <c r="K1657" t="inlineStr">
        <is>
          <t>2024-12-02</t>
        </is>
      </c>
      <c r="L1657" t="inlineStr">
        <is>
          <t>SANTE</t>
        </is>
      </c>
      <c r="R1657" s="22"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2" t="n">
        <v>110000</v>
      </c>
      <c r="K1658" t="inlineStr">
        <is>
          <t>2024-12-02</t>
        </is>
      </c>
      <c r="L1658" t="inlineStr">
        <is>
          <t>SANTE</t>
        </is>
      </c>
      <c r="R1658" s="22"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2" t="n">
        <v>900000</v>
      </c>
      <c r="K1659" t="inlineStr">
        <is>
          <t>2024-12-02</t>
        </is>
      </c>
      <c r="L1659" t="inlineStr">
        <is>
          <t>SANTE</t>
        </is>
      </c>
      <c r="R1659" s="22"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2" t="n">
        <v>1200000</v>
      </c>
      <c r="K1660" t="inlineStr">
        <is>
          <t>2024-12-02</t>
        </is>
      </c>
      <c r="L1660" t="inlineStr">
        <is>
          <t>SANTE</t>
        </is>
      </c>
      <c r="R1660" s="22"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2" t="n">
        <v>180000</v>
      </c>
      <c r="K1661" t="inlineStr">
        <is>
          <t>2024-12-02</t>
        </is>
      </c>
      <c r="L1661" t="inlineStr">
        <is>
          <t>SANTE</t>
        </is>
      </c>
      <c r="R1661" s="22"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2" t="n">
        <v>753000</v>
      </c>
      <c r="K1662" t="inlineStr">
        <is>
          <t>2024-11-04</t>
        </is>
      </c>
      <c r="L1662" t="inlineStr">
        <is>
          <t>Capacitation des femmes</t>
        </is>
      </c>
      <c r="R1662" s="22"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2" t="n">
        <v>753000</v>
      </c>
      <c r="K1663" t="inlineStr">
        <is>
          <t>2024-11-04</t>
        </is>
      </c>
      <c r="L1663" t="inlineStr">
        <is>
          <t>Capacitation des femmes</t>
        </is>
      </c>
      <c r="R1663" s="22"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2" t="n">
        <v>1814000</v>
      </c>
      <c r="K1664" t="inlineStr">
        <is>
          <t>2024-11-04</t>
        </is>
      </c>
      <c r="L1664" t="inlineStr">
        <is>
          <t>Agriculture</t>
        </is>
      </c>
      <c r="R1664" s="22"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2" t="n">
        <v>4500000</v>
      </c>
      <c r="K1665" t="inlineStr">
        <is>
          <t>2024-12-02</t>
        </is>
      </c>
      <c r="L1665" t="inlineStr">
        <is>
          <t>Agriculture</t>
        </is>
      </c>
      <c r="R1665" s="22"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2" t="n">
        <v>1170000</v>
      </c>
      <c r="K1666" t="inlineStr">
        <is>
          <t>2024-11-04</t>
        </is>
      </c>
      <c r="L1666" t="inlineStr">
        <is>
          <t>Supports de communication</t>
        </is>
      </c>
      <c r="R1666" s="22"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2" t="n">
        <v>855000</v>
      </c>
      <c r="K1667" t="inlineStr">
        <is>
          <t>2024-11-04</t>
        </is>
      </c>
      <c r="L1667" t="inlineStr">
        <is>
          <t>Supports de communication</t>
        </is>
      </c>
      <c r="R1667" s="22"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2" t="n">
        <v>100000</v>
      </c>
      <c r="K1668" t="inlineStr">
        <is>
          <t>2024-12-02</t>
        </is>
      </c>
      <c r="L1668" t="inlineStr">
        <is>
          <t>Supports de communication</t>
        </is>
      </c>
      <c r="R1668" s="22"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2" t="n">
        <v>20000</v>
      </c>
      <c r="K1669" t="inlineStr">
        <is>
          <t>2024-12-02</t>
        </is>
      </c>
      <c r="L1669" t="inlineStr">
        <is>
          <t>Supports de communication</t>
        </is>
      </c>
      <c r="R1669" s="22"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2" t="n">
        <v>352500</v>
      </c>
      <c r="K1670" t="inlineStr">
        <is>
          <t>2024-12-02</t>
        </is>
      </c>
      <c r="L1670" t="inlineStr">
        <is>
          <t>Supports de communication</t>
        </is>
      </c>
      <c r="R1670" s="22"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2" t="n">
        <v>456000</v>
      </c>
      <c r="K1671" t="inlineStr">
        <is>
          <t>2024-12-02</t>
        </is>
      </c>
      <c r="L1671" t="inlineStr">
        <is>
          <t>Supports de communication</t>
        </is>
      </c>
      <c r="R1671" s="22"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2" t="n">
        <v>100000</v>
      </c>
      <c r="K1672" t="inlineStr">
        <is>
          <t>2024-12-02</t>
        </is>
      </c>
      <c r="L1672" t="inlineStr">
        <is>
          <t>Supports de communication</t>
        </is>
      </c>
      <c r="R1672" s="22"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2" t="n">
        <v>957000</v>
      </c>
      <c r="K1673" t="inlineStr">
        <is>
          <t>2024-01-12</t>
        </is>
      </c>
      <c r="L1673" t="inlineStr">
        <is>
          <t>Appuis divers</t>
        </is>
      </c>
      <c r="R1673" s="22"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2" t="n">
        <v>952500</v>
      </c>
      <c r="K1674" t="inlineStr">
        <is>
          <t>2024-03-01</t>
        </is>
      </c>
      <c r="L1674" t="inlineStr">
        <is>
          <t>Appuis divers</t>
        </is>
      </c>
      <c r="R1674" s="22"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2" t="n">
        <v>-485260</v>
      </c>
      <c r="K1675" t="inlineStr">
        <is>
          <t>2024-12-30</t>
        </is>
      </c>
      <c r="L1675" t="inlineStr">
        <is>
          <t>Hydraulique</t>
        </is>
      </c>
      <c r="R1675" s="22"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2" t="n">
        <v>4724645</v>
      </c>
      <c r="K1676" t="inlineStr">
        <is>
          <t>2024-12-30</t>
        </is>
      </c>
      <c r="L1676" t="inlineStr">
        <is>
          <t>Hydraulique</t>
        </is>
      </c>
      <c r="R1676" s="22"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2" t="n">
        <v>2512237</v>
      </c>
      <c r="K1677" t="inlineStr">
        <is>
          <t>2024-12-30</t>
        </is>
      </c>
      <c r="L1677" t="inlineStr">
        <is>
          <t>Hydraulique</t>
        </is>
      </c>
      <c r="R1677" s="22"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2" t="n">
        <v>-4239385</v>
      </c>
      <c r="K1678" t="inlineStr">
        <is>
          <t>2024-12-27</t>
        </is>
      </c>
      <c r="L1678" t="inlineStr">
        <is>
          <t>Hydraulique</t>
        </is>
      </c>
      <c r="R1678" s="22"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2" t="n">
        <v>3819762</v>
      </c>
      <c r="K1679" t="inlineStr">
        <is>
          <t>2025-01-07</t>
        </is>
      </c>
      <c r="L1679" t="inlineStr">
        <is>
          <t>Hydraulique</t>
        </is>
      </c>
      <c r="R1679" s="22"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2" t="n">
        <v>930000</v>
      </c>
      <c r="K1680" s="23" t="n">
        <v>45398</v>
      </c>
      <c r="L1680" t="inlineStr">
        <is>
          <t>DONS</t>
        </is>
      </c>
      <c r="R1680" s="22"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2" t="n">
        <v>925000</v>
      </c>
      <c r="L1681" t="inlineStr">
        <is>
          <t>APPUIS DIVERS</t>
        </is>
      </c>
      <c r="R1681" s="22"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2" t="n">
        <v>924139.63</v>
      </c>
      <c r="K1682" s="23" t="n">
        <v>45382</v>
      </c>
      <c r="M1682" t="inlineStr">
        <is>
          <t>134191</t>
        </is>
      </c>
      <c r="N1682" t="inlineStr">
        <is>
          <t>N/A</t>
        </is>
      </c>
      <c r="O1682" t="inlineStr">
        <is>
          <t>N/A</t>
        </is>
      </c>
      <c r="P1682" t="inlineStr">
        <is>
          <t>Convention minère et Code minier (Fond Social et Fond d'appui au developpement local)</t>
        </is>
      </c>
      <c r="Q1682" t="inlineStr">
        <is>
          <t>NA</t>
        </is>
      </c>
      <c r="R1682" s="22"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2" t="n">
        <v>30000000</v>
      </c>
      <c r="K1683" t="inlineStr">
        <is>
          <t>2025-01-14</t>
        </is>
      </c>
      <c r="L1683" t="inlineStr">
        <is>
          <t>Sports</t>
        </is>
      </c>
      <c r="R1683" s="22"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2" t="n">
        <v>30000000</v>
      </c>
      <c r="K1684" t="inlineStr">
        <is>
          <t>2025-01-14</t>
        </is>
      </c>
      <c r="L1684" t="inlineStr">
        <is>
          <t>Sports</t>
        </is>
      </c>
      <c r="R1684" s="22"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2" t="n">
        <v>30000000</v>
      </c>
      <c r="K1685" t="inlineStr">
        <is>
          <t>2025-01-14</t>
        </is>
      </c>
      <c r="L1685" t="inlineStr">
        <is>
          <t>Sports</t>
        </is>
      </c>
      <c r="R1685" s="22"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2" t="n">
        <v>27500000</v>
      </c>
      <c r="K1686" t="inlineStr">
        <is>
          <t>2025-01-14</t>
        </is>
      </c>
      <c r="L1686" t="inlineStr">
        <is>
          <t>Sports</t>
        </is>
      </c>
      <c r="R1686" s="22"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2" t="n">
        <v>21000000</v>
      </c>
      <c r="K1687" t="inlineStr">
        <is>
          <t>2025-01-14</t>
        </is>
      </c>
      <c r="L1687" t="inlineStr">
        <is>
          <t>Sports</t>
        </is>
      </c>
      <c r="R1687" s="22"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2" t="n">
        <v>20000868</v>
      </c>
      <c r="K1688" t="inlineStr">
        <is>
          <t>2025-01-14</t>
        </is>
      </c>
      <c r="L1688" t="inlineStr">
        <is>
          <t>Sports</t>
        </is>
      </c>
      <c r="R1688" s="22"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2" t="n">
        <v>6800000</v>
      </c>
      <c r="K1689" t="inlineStr">
        <is>
          <t>2025-01-14</t>
        </is>
      </c>
      <c r="L1689" t="inlineStr">
        <is>
          <t>Infrastructures communautaires et publiques</t>
        </is>
      </c>
      <c r="R1689" s="22"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2" t="n">
        <v>41617924</v>
      </c>
      <c r="K1690" t="inlineStr">
        <is>
          <t>2025-01-14</t>
        </is>
      </c>
      <c r="L1690" t="inlineStr">
        <is>
          <t>Sports</t>
        </is>
      </c>
      <c r="R1690" s="22"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2" t="n">
        <v>25663160</v>
      </c>
      <c r="K1691" t="inlineStr">
        <is>
          <t>2025-01-14</t>
        </is>
      </c>
      <c r="L1691" t="inlineStr">
        <is>
          <t>Sports</t>
        </is>
      </c>
      <c r="R1691" s="22"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2" t="n">
        <v>2250000</v>
      </c>
      <c r="K1692" t="inlineStr">
        <is>
          <t>2024-12-19</t>
        </is>
      </c>
      <c r="L1692" t="inlineStr">
        <is>
          <t>SPORTS</t>
        </is>
      </c>
      <c r="R1692" s="22"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2" t="n">
        <v>1000000</v>
      </c>
      <c r="K1693" t="inlineStr">
        <is>
          <t>2024-12-09</t>
        </is>
      </c>
      <c r="L1693" t="inlineStr">
        <is>
          <t>Education</t>
        </is>
      </c>
      <c r="R1693" s="22"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2" t="n">
        <v>16289241</v>
      </c>
      <c r="K1694" t="inlineStr">
        <is>
          <t>2025-01-14</t>
        </is>
      </c>
      <c r="L1694" t="inlineStr">
        <is>
          <t>Education</t>
        </is>
      </c>
      <c r="R1694" s="22"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2" t="n">
        <v>15462456</v>
      </c>
      <c r="K1695" t="inlineStr">
        <is>
          <t>2025-01-14</t>
        </is>
      </c>
      <c r="L1695" t="inlineStr">
        <is>
          <t>Education</t>
        </is>
      </c>
      <c r="R1695" s="22"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2" t="n">
        <v>15455175</v>
      </c>
      <c r="K1696" t="inlineStr">
        <is>
          <t>2025-01-14</t>
        </is>
      </c>
      <c r="L1696" t="inlineStr">
        <is>
          <t>Education</t>
        </is>
      </c>
      <c r="R1696" s="22"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2" t="n">
        <v>8366425</v>
      </c>
      <c r="K1697" t="inlineStr">
        <is>
          <t>2025-01-14</t>
        </is>
      </c>
      <c r="L1697" t="inlineStr">
        <is>
          <t>Education</t>
        </is>
      </c>
      <c r="R1697" s="22"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2" t="n">
        <v>4898200</v>
      </c>
      <c r="K1698" t="inlineStr">
        <is>
          <t>2025-01-14</t>
        </is>
      </c>
      <c r="L1698" t="inlineStr">
        <is>
          <t>Education</t>
        </is>
      </c>
      <c r="R1698" s="22"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2" t="n">
        <v>18000000</v>
      </c>
      <c r="K1699" t="inlineStr">
        <is>
          <t>2025-01-14</t>
        </is>
      </c>
      <c r="L1699" t="inlineStr">
        <is>
          <t>Education</t>
        </is>
      </c>
      <c r="R1699" s="22"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2" t="n">
        <v>25000</v>
      </c>
      <c r="K1700" t="inlineStr">
        <is>
          <t>2025-01-03</t>
        </is>
      </c>
      <c r="L1700" t="inlineStr">
        <is>
          <t>Education</t>
        </is>
      </c>
      <c r="R1700" s="22"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2" t="n">
        <v>240000</v>
      </c>
      <c r="K1701" t="inlineStr">
        <is>
          <t>2025-01-03</t>
        </is>
      </c>
      <c r="L1701" t="inlineStr">
        <is>
          <t>Education</t>
        </is>
      </c>
      <c r="R1701" s="22"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2" t="n">
        <v>40000</v>
      </c>
      <c r="K1702" t="inlineStr">
        <is>
          <t>2025-01-03</t>
        </is>
      </c>
      <c r="L1702" t="inlineStr">
        <is>
          <t>Education</t>
        </is>
      </c>
      <c r="R1702" s="22"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2" t="n">
        <v>265708</v>
      </c>
      <c r="K1703" t="inlineStr">
        <is>
          <t>2024-12-19</t>
        </is>
      </c>
      <c r="L1703" t="inlineStr">
        <is>
          <t>SANTE</t>
        </is>
      </c>
      <c r="R1703" s="22"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2" t="n">
        <v>340000</v>
      </c>
      <c r="K1704" t="inlineStr">
        <is>
          <t>2024-12-19</t>
        </is>
      </c>
      <c r="L1704" t="inlineStr">
        <is>
          <t>SANTE</t>
        </is>
      </c>
      <c r="R1704" s="22"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2" t="n">
        <v>750000</v>
      </c>
      <c r="K1705" t="inlineStr">
        <is>
          <t>2025-01-03</t>
        </is>
      </c>
      <c r="L1705" t="inlineStr">
        <is>
          <t>SANTE</t>
        </is>
      </c>
      <c r="R1705" s="22"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2" t="n">
        <v>499778</v>
      </c>
      <c r="K1706" t="inlineStr">
        <is>
          <t>2025-01-03</t>
        </is>
      </c>
      <c r="L1706" t="inlineStr">
        <is>
          <t>SANTE</t>
        </is>
      </c>
      <c r="R1706" s="22"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2" t="n">
        <v>1110000</v>
      </c>
      <c r="K1707" t="inlineStr">
        <is>
          <t>2025-01-03</t>
        </is>
      </c>
      <c r="L1707" t="inlineStr">
        <is>
          <t>SANTE</t>
        </is>
      </c>
      <c r="R1707" s="22"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2" t="n">
        <v>3206960</v>
      </c>
      <c r="K1708" t="inlineStr">
        <is>
          <t>2025-01-14</t>
        </is>
      </c>
      <c r="L1708" t="inlineStr">
        <is>
          <t>SANTE</t>
        </is>
      </c>
      <c r="R1708" s="22"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2" t="n">
        <v>1948000</v>
      </c>
      <c r="K1709" t="inlineStr">
        <is>
          <t>2024-12-19</t>
        </is>
      </c>
      <c r="L1709" t="inlineStr">
        <is>
          <t>Formation</t>
        </is>
      </c>
      <c r="R1709" s="22"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2" t="n">
        <v>1948000</v>
      </c>
      <c r="K1710" t="inlineStr">
        <is>
          <t>2025-01-14</t>
        </is>
      </c>
      <c r="L1710" t="inlineStr">
        <is>
          <t>Formation</t>
        </is>
      </c>
      <c r="R1710" s="22"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2" t="n">
        <v>243000</v>
      </c>
      <c r="K1711" t="inlineStr">
        <is>
          <t>2024-12-19</t>
        </is>
      </c>
      <c r="L1711" t="inlineStr">
        <is>
          <t>Formation des agriculteurs</t>
        </is>
      </c>
      <c r="R1711" s="22"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2" t="n">
        <v>856800</v>
      </c>
      <c r="K1712" t="inlineStr">
        <is>
          <t>2025-01-03</t>
        </is>
      </c>
      <c r="L1712" t="inlineStr">
        <is>
          <t>Formation des agriculteurs</t>
        </is>
      </c>
      <c r="R1712" s="22"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2" t="n">
        <v>100000</v>
      </c>
      <c r="K1713" t="inlineStr">
        <is>
          <t>2024-12-19</t>
        </is>
      </c>
      <c r="L1713" t="inlineStr">
        <is>
          <t>Formation des agriculteurs</t>
        </is>
      </c>
      <c r="R1713" s="22"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2" t="n">
        <v>3000000</v>
      </c>
      <c r="K1714" t="inlineStr">
        <is>
          <t>2025-01-03</t>
        </is>
      </c>
      <c r="L1714" t="inlineStr">
        <is>
          <t>Formation des agriculteurs</t>
        </is>
      </c>
      <c r="R1714" s="22"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2" t="n">
        <v>175000</v>
      </c>
      <c r="K1715" t="inlineStr">
        <is>
          <t>2024-12-19</t>
        </is>
      </c>
      <c r="L1715" t="inlineStr">
        <is>
          <t>Formation des agriculteurs</t>
        </is>
      </c>
      <c r="R1715" s="22"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2" t="n">
        <v>260000</v>
      </c>
      <c r="K1716" t="inlineStr">
        <is>
          <t>2024-12-19</t>
        </is>
      </c>
      <c r="L1716" t="inlineStr">
        <is>
          <t>Capacitation des femmes</t>
        </is>
      </c>
      <c r="R1716" s="22"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2" t="n">
        <v>3480000</v>
      </c>
      <c r="K1717" t="inlineStr">
        <is>
          <t>2025-01-03</t>
        </is>
      </c>
      <c r="L1717" t="inlineStr">
        <is>
          <t>Agriculture</t>
        </is>
      </c>
      <c r="R1717" s="22"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2" t="n">
        <v>893033</v>
      </c>
      <c r="K1718" t="inlineStr">
        <is>
          <t>2025-01-14</t>
        </is>
      </c>
      <c r="L1718" t="inlineStr">
        <is>
          <t>Agriculture</t>
        </is>
      </c>
      <c r="R1718" s="22"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2" t="n">
        <v>1608600</v>
      </c>
      <c r="K1719" t="inlineStr">
        <is>
          <t>2025-01-14</t>
        </is>
      </c>
      <c r="L1719" t="inlineStr">
        <is>
          <t>Agriculture</t>
        </is>
      </c>
      <c r="R1719" s="22"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2" t="n">
        <v>1721000</v>
      </c>
      <c r="K1720" t="inlineStr">
        <is>
          <t>2025-01-14</t>
        </is>
      </c>
      <c r="L1720" t="inlineStr">
        <is>
          <t>Agriculture</t>
        </is>
      </c>
      <c r="R1720" s="22"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2" t="n">
        <v>543000</v>
      </c>
      <c r="K1721" t="inlineStr">
        <is>
          <t>2024-12-09</t>
        </is>
      </c>
      <c r="L1721" t="inlineStr">
        <is>
          <t>Supports de communication</t>
        </is>
      </c>
      <c r="R1721" s="22"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2" t="n">
        <v>450000</v>
      </c>
      <c r="K1722" t="inlineStr">
        <is>
          <t>2024-12-19</t>
        </is>
      </c>
      <c r="L1722" t="inlineStr">
        <is>
          <t>Supports de communication</t>
        </is>
      </c>
      <c r="R1722" s="22"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2" t="n">
        <v>200000</v>
      </c>
      <c r="K1723" t="inlineStr">
        <is>
          <t>2024-12-19</t>
        </is>
      </c>
      <c r="L1723" t="inlineStr">
        <is>
          <t>Supports de communication</t>
        </is>
      </c>
      <c r="R1723" s="22"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2" t="n">
        <v>80000</v>
      </c>
      <c r="K1724" t="inlineStr">
        <is>
          <t>2024-12-30</t>
        </is>
      </c>
      <c r="L1724" t="inlineStr">
        <is>
          <t>Supports de communication</t>
        </is>
      </c>
      <c r="R1724" s="22"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2" t="n">
        <v>6650000</v>
      </c>
      <c r="K1725" t="inlineStr">
        <is>
          <t>2025-01-14</t>
        </is>
      </c>
      <c r="L1725" t="inlineStr">
        <is>
          <t>Supports de communication</t>
        </is>
      </c>
      <c r="R1725" s="22"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2" t="n">
        <v>5375000</v>
      </c>
      <c r="K1726" t="inlineStr">
        <is>
          <t>2025-01-14</t>
        </is>
      </c>
      <c r="L1726" t="inlineStr">
        <is>
          <t>Supports de communication</t>
        </is>
      </c>
      <c r="R1726" s="22"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2" t="n">
        <v>160000</v>
      </c>
      <c r="K1727" t="inlineStr">
        <is>
          <t>2025-01-14</t>
        </is>
      </c>
      <c r="L1727" t="inlineStr">
        <is>
          <t>Supports de communication</t>
        </is>
      </c>
      <c r="R1727" s="22"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2" t="n">
        <v>7600000</v>
      </c>
      <c r="K1728" t="inlineStr">
        <is>
          <t>2025-01-14</t>
        </is>
      </c>
      <c r="L1728" t="inlineStr">
        <is>
          <t>Supports de communication</t>
        </is>
      </c>
      <c r="R1728" s="22"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2"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2" t="n">
        <v>590000</v>
      </c>
      <c r="K1730" s="23" t="n">
        <v>45300</v>
      </c>
      <c r="L1730" t="inlineStr">
        <is>
          <t>Culture</t>
        </is>
      </c>
      <c r="M1730" t="inlineStr">
        <is>
          <t>Appui à l'organisation du FESNAC</t>
        </is>
      </c>
      <c r="R1730" s="22"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2" t="n">
        <v>1000000</v>
      </c>
      <c r="K1731" s="23" t="n">
        <v>45307</v>
      </c>
      <c r="L1731" t="inlineStr">
        <is>
          <t>Education</t>
        </is>
      </c>
      <c r="M1731" t="inlineStr">
        <is>
          <t>Appui au Capital de Démarrage du DEE</t>
        </is>
      </c>
      <c r="R1731" s="22"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2" t="n">
        <v>1000000</v>
      </c>
      <c r="K1732" s="23" t="n">
        <v>45325</v>
      </c>
      <c r="L1732" t="inlineStr">
        <is>
          <t>Education</t>
        </is>
      </c>
      <c r="M1732" t="inlineStr">
        <is>
          <t>Appui a la Gouvernance de Kedougou pour l'achat de table-bancs pour les eleves de la region</t>
        </is>
      </c>
      <c r="R1732" s="22"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2" t="n">
        <v>270000</v>
      </c>
      <c r="K1733" s="23" t="n">
        <v>45327</v>
      </c>
      <c r="L1733" t="inlineStr">
        <is>
          <t>Agriculture</t>
        </is>
      </c>
      <c r="M1733" t="inlineStr">
        <is>
          <t>Remplacement de robinets pour les périmètres maraichers</t>
        </is>
      </c>
      <c r="R1733" s="22"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2" t="n">
        <v>700000</v>
      </c>
      <c r="K1734" s="23" t="n">
        <v>45327</v>
      </c>
      <c r="L1734" t="inlineStr">
        <is>
          <t>Contenu Local</t>
        </is>
      </c>
      <c r="M1734" t="inlineStr">
        <is>
          <t>Contribution à l'équipement du siège du GTRAL</t>
        </is>
      </c>
      <c r="R1734" s="22"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2" t="n">
        <v>300000</v>
      </c>
      <c r="K1735" s="23" t="n">
        <v>45327</v>
      </c>
      <c r="L1735" t="inlineStr">
        <is>
          <t>Social</t>
        </is>
      </c>
      <c r="M1735" t="inlineStr">
        <is>
          <t>Soutien à la célébration de la journée internationale de la Femme décentralisée à Salémata</t>
        </is>
      </c>
      <c r="R1735" s="22"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2" t="n">
        <v>1680000</v>
      </c>
      <c r="K1736" s="23" t="n">
        <v>45359</v>
      </c>
      <c r="L1736" t="inlineStr">
        <is>
          <t>Education</t>
        </is>
      </c>
      <c r="M1736" t="inlineStr">
        <is>
          <t>DEE_Motivation des enseignants pour les mois de Janvier et Fevrier 2024</t>
        </is>
      </c>
      <c r="R1736" s="22"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2" t="n">
        <v>2307500</v>
      </c>
      <c r="K1737" s="23" t="n">
        <v>45360</v>
      </c>
      <c r="L1737" t="inlineStr">
        <is>
          <t>Social</t>
        </is>
      </c>
      <c r="M1737" t="inlineStr">
        <is>
          <t>Paniers ramadan pour les parties prenantes</t>
        </is>
      </c>
      <c r="R1737" s="22"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2" t="n">
        <v>318000</v>
      </c>
      <c r="K1738" s="23" t="n">
        <v>45361</v>
      </c>
      <c r="L1738" t="inlineStr">
        <is>
          <t>Bonne Gouvernance</t>
        </is>
      </c>
      <c r="M1738" t="inlineStr">
        <is>
          <t>Appui en moyen logistique et en carburant  pour l'organisation des Elections présidentielles</t>
        </is>
      </c>
      <c r="R1738" s="22"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2" t="n">
        <v>497488</v>
      </c>
      <c r="K1739" s="23" t="n">
        <v>45366</v>
      </c>
      <c r="L1739" t="inlineStr">
        <is>
          <t>Agriculture</t>
        </is>
      </c>
      <c r="M1739" t="inlineStr">
        <is>
          <t>Réparation de pompes immergés</t>
        </is>
      </c>
      <c r="R1739" s="22"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2" t="n">
        <v>3095500</v>
      </c>
      <c r="K1740" s="23" t="n">
        <v>45376</v>
      </c>
      <c r="L1740" t="inlineStr">
        <is>
          <t>Bonne Gouvernance</t>
        </is>
      </c>
      <c r="M1740" t="inlineStr">
        <is>
          <t>Appui en carburant aux partenaires _Q1_2024</t>
        </is>
      </c>
      <c r="R1740" s="22"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2" t="n">
        <v>627000</v>
      </c>
      <c r="K1741" s="23" t="n">
        <v>45392</v>
      </c>
      <c r="L1741" t="inlineStr">
        <is>
          <t>Agriculture</t>
        </is>
      </c>
      <c r="M1741" t="inlineStr">
        <is>
          <t>Dépenses formation en technique de production de Plants Issues de Fragments (PIF)</t>
        </is>
      </c>
      <c r="R1741" s="22"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2" t="n">
        <v>500000</v>
      </c>
      <c r="K1742" s="23" t="n">
        <v>45401</v>
      </c>
      <c r="L1742" t="inlineStr">
        <is>
          <t>Social</t>
        </is>
      </c>
      <c r="M1742" t="inlineStr">
        <is>
          <t>Appui à l'organisation du Daaka de Bandafassi 2dition 2024</t>
        </is>
      </c>
      <c r="R1742" s="22"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2" t="n">
        <v>118000</v>
      </c>
      <c r="K1743" s="23" t="n">
        <v>45401</v>
      </c>
      <c r="L1743" t="inlineStr">
        <is>
          <t>Social</t>
        </is>
      </c>
      <c r="M1743" t="inlineStr">
        <is>
          <t>Appui en chaise au chef de quartier de Mako Sinthiou Roudji</t>
        </is>
      </c>
      <c r="R1743" s="22"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2" t="n">
        <v>1451400</v>
      </c>
      <c r="K1744" s="23" t="n">
        <v>45407</v>
      </c>
      <c r="L1744" t="inlineStr">
        <is>
          <t>Agriculture</t>
        </is>
      </c>
      <c r="M1744" t="inlineStr">
        <is>
          <t>Mains d'œuvre intervention dans les périmétres maraichers (Bowoyoto, Niéméniké et Linguékoto)</t>
        </is>
      </c>
      <c r="R1744" s="22"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2" t="n">
        <v>2935000</v>
      </c>
      <c r="K1745" s="23" t="n">
        <v>45407</v>
      </c>
      <c r="L1745" t="inlineStr">
        <is>
          <t>Capacitation des femmes</t>
        </is>
      </c>
      <c r="M1745" t="inlineStr">
        <is>
          <t>Formation en transformation de fruits et légumes_Premiere session</t>
        </is>
      </c>
      <c r="R1745" s="22"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2" t="n">
        <v>1680000</v>
      </c>
      <c r="K1746" s="23" t="n">
        <v>45409</v>
      </c>
      <c r="L1746" t="inlineStr">
        <is>
          <t>Education</t>
        </is>
      </c>
      <c r="M1746" t="inlineStr">
        <is>
          <t>DEE_Motivation des enseignants pour les mois de Mars et Avril 2024</t>
        </is>
      </c>
      <c r="R1746" s="22"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2" t="n">
        <v>157895</v>
      </c>
      <c r="K1747" s="23" t="n">
        <v>45411</v>
      </c>
      <c r="L1747" t="inlineStr">
        <is>
          <t>Agriculture</t>
        </is>
      </c>
      <c r="M1747" t="inlineStr">
        <is>
          <t>Paie du formateur (PIF)</t>
        </is>
      </c>
      <c r="R1747" s="22"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2" t="n">
        <v>200000</v>
      </c>
      <c r="K1748" s="23" t="n">
        <v>45437</v>
      </c>
      <c r="L1748" t="inlineStr">
        <is>
          <t>Social</t>
        </is>
      </c>
      <c r="M1748" t="inlineStr">
        <is>
          <t>Appui à l'organisation De la Ziarra  annuelle à Mako</t>
        </is>
      </c>
      <c r="R1748" s="22"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2" t="n">
        <v>1000000</v>
      </c>
      <c r="K1749" s="23" t="n">
        <v>45443</v>
      </c>
      <c r="L1749" t="inlineStr">
        <is>
          <t>Education</t>
        </is>
      </c>
      <c r="M1749" t="inlineStr">
        <is>
          <t>Appui aux Etudiants de l'AEERK pour leur caravane de Tabaski</t>
        </is>
      </c>
      <c r="R1749" s="22"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2" t="n">
        <v>3095500</v>
      </c>
      <c r="K1750" s="23" t="n">
        <v>45444</v>
      </c>
      <c r="L1750" t="inlineStr">
        <is>
          <t>Bonne Gouvernance</t>
        </is>
      </c>
      <c r="M1750" t="inlineStr">
        <is>
          <t>Appui Carburant aux partenaires _Q2_2024</t>
        </is>
      </c>
      <c r="R1750" s="22"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2" t="n">
        <v>500000</v>
      </c>
      <c r="K1751" s="23" t="n">
        <v>45444</v>
      </c>
      <c r="L1751" t="inlineStr">
        <is>
          <t>Social</t>
        </is>
      </c>
      <c r="M1751" t="inlineStr">
        <is>
          <t>Soutien financier à la célébration de la Journée mondiale de l'environnement</t>
        </is>
      </c>
      <c r="R1751" s="22"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2" t="n">
        <v>1680000</v>
      </c>
      <c r="K1752" s="23" t="n">
        <v>45447</v>
      </c>
      <c r="L1752" t="inlineStr">
        <is>
          <t>Education</t>
        </is>
      </c>
      <c r="M1752" t="inlineStr">
        <is>
          <t>DEE_Motivation des enseignants pour les mois de Mai et Juin 2024</t>
        </is>
      </c>
      <c r="R1752" s="22"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2" t="n">
        <v>190500</v>
      </c>
      <c r="K1753" s="23" t="n">
        <v>45447</v>
      </c>
      <c r="L1753" t="inlineStr">
        <is>
          <t>Agriculture</t>
        </is>
      </c>
      <c r="M1753" t="inlineStr">
        <is>
          <t>Installation de vannes pour le réseau d'adduction d'eau -Jardin maraîcher de Tambanoumouya</t>
        </is>
      </c>
      <c r="R1753" s="22"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2" t="n">
        <v>1065000</v>
      </c>
      <c r="K1754" s="23" t="n">
        <v>45482</v>
      </c>
      <c r="L1754" t="inlineStr">
        <is>
          <t>Capacitation des femmes</t>
        </is>
      </c>
      <c r="M1754" t="inlineStr">
        <is>
          <t>Formation en transformation de fruits et légumes_2ème session</t>
        </is>
      </c>
      <c r="R1754" s="22"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2" t="n">
        <v>500000</v>
      </c>
      <c r="K1755" s="23" t="n">
        <v>45485</v>
      </c>
      <c r="L1755" t="inlineStr">
        <is>
          <t>Eaux et Foret</t>
        </is>
      </c>
      <c r="M1755" t="inlineStr">
        <is>
          <t>Appui à l'organisation de la journée de l'arbre 2024</t>
        </is>
      </c>
      <c r="R1755" s="22"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2" t="n">
        <v>290000</v>
      </c>
      <c r="K1756" s="23" t="n">
        <v>45526</v>
      </c>
      <c r="L1756" t="inlineStr">
        <is>
          <t>Agriculture</t>
        </is>
      </c>
      <c r="M1756" t="inlineStr">
        <is>
          <t>2ème session de formation en PIF</t>
        </is>
      </c>
      <c r="R1756" s="22"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2" t="n">
        <v>3776000</v>
      </c>
      <c r="K1757" s="23" t="n">
        <v>45534</v>
      </c>
      <c r="L1757" t="inlineStr">
        <is>
          <t>Agriculture</t>
        </is>
      </c>
      <c r="M1757" t="inlineStr">
        <is>
          <t>Achat de 4000 plants arboricoles</t>
        </is>
      </c>
      <c r="R1757" s="22"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2" t="n">
        <v>300000</v>
      </c>
      <c r="K1758" s="23" t="n">
        <v>45538</v>
      </c>
      <c r="L1758" t="inlineStr">
        <is>
          <t>Social</t>
        </is>
      </c>
      <c r="M1758" t="inlineStr">
        <is>
          <t>Cadeau pour le sous-préfet sortant</t>
        </is>
      </c>
      <c r="R1758" s="22"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2" t="n">
        <v>3095500</v>
      </c>
      <c r="K1759" s="23" t="n">
        <v>45541</v>
      </c>
      <c r="L1759" t="inlineStr">
        <is>
          <t>Bonne Gouvernance</t>
        </is>
      </c>
      <c r="M1759" t="inlineStr">
        <is>
          <t>Appui Carburant aux partenaires _Q3_2024</t>
        </is>
      </c>
      <c r="R1759" s="22"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2" t="n">
        <v>100000</v>
      </c>
      <c r="K1760" s="23" t="n">
        <v>45545</v>
      </c>
      <c r="L1760" t="inlineStr">
        <is>
          <t>Social</t>
        </is>
      </c>
      <c r="M1760" t="inlineStr">
        <is>
          <t>Appui symbolique au deces de feu Dioncounda Camara notable</t>
        </is>
      </c>
      <c r="R1760" s="22"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2" t="n">
        <v>400000</v>
      </c>
      <c r="K1761" s="23" t="n">
        <v>45554</v>
      </c>
      <c r="L1761" t="inlineStr">
        <is>
          <t>Education</t>
        </is>
      </c>
      <c r="M1761" t="inlineStr">
        <is>
          <t>Appui aux activités de vacances de l'AEERN</t>
        </is>
      </c>
      <c r="R1761" s="22"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2" t="n">
        <v>100000</v>
      </c>
      <c r="K1762" s="23" t="n">
        <v>45555</v>
      </c>
      <c r="L1762" t="inlineStr">
        <is>
          <t>Social</t>
        </is>
      </c>
      <c r="M1762" t="inlineStr">
        <is>
          <t>Appui symbolique au deces du papa de Nombo Camara feu Siambou Camara notable</t>
        </is>
      </c>
      <c r="R1762" s="22"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2" t="n">
        <v>143948</v>
      </c>
      <c r="K1763" s="23" t="n">
        <v>45570</v>
      </c>
      <c r="L1763" t="inlineStr">
        <is>
          <t>Agriculture</t>
        </is>
      </c>
      <c r="M1763" t="inlineStr">
        <is>
          <t>3ème session de formation en PIF</t>
        </is>
      </c>
      <c r="R1763" s="22"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2" t="n">
        <v>105000</v>
      </c>
      <c r="K1764" s="23" t="n">
        <v>45579</v>
      </c>
      <c r="L1764" t="inlineStr">
        <is>
          <t>Agriculture</t>
        </is>
      </c>
      <c r="M1764" t="inlineStr">
        <is>
          <t>3ème session de formation en PIF</t>
        </is>
      </c>
      <c r="R1764" s="22"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2" t="n">
        <v>500000</v>
      </c>
      <c r="K1765" s="23" t="n">
        <v>45596</v>
      </c>
      <c r="L1765" t="inlineStr">
        <is>
          <t>Social</t>
        </is>
      </c>
      <c r="M1765" t="inlineStr">
        <is>
          <t>Appui à la communauté chrétienne de St Hélène de Mako</t>
        </is>
      </c>
      <c r="R1765" s="22"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2" t="n">
        <v>300000</v>
      </c>
      <c r="K1766" s="23" t="n">
        <v>45598</v>
      </c>
      <c r="L1766" t="inlineStr">
        <is>
          <t>Social</t>
        </is>
      </c>
      <c r="M1766" t="inlineStr">
        <is>
          <t>Achat de 3 fauteuils roulants pour des membres de la communauté dans le besoin</t>
        </is>
      </c>
      <c r="R1766" s="22"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2" t="n">
        <v>100000</v>
      </c>
      <c r="K1767" s="23" t="n">
        <v>45607</v>
      </c>
      <c r="L1767" t="inlineStr">
        <is>
          <t>Social</t>
        </is>
      </c>
      <c r="M1767" t="inlineStr">
        <is>
          <t>Soutien a l'organisation du nettoyage general du village de Tambanoumouya</t>
        </is>
      </c>
      <c r="R1767" s="22"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2" t="n">
        <v>240800</v>
      </c>
      <c r="K1768" s="23" t="n">
        <v>45611</v>
      </c>
      <c r="L1768" t="inlineStr">
        <is>
          <t>Bonne Gouvernance</t>
        </is>
      </c>
      <c r="M1768" t="inlineStr">
        <is>
          <t>Appui pour l'organisation des élections législatives</t>
        </is>
      </c>
      <c r="R1768" s="22"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2" t="n">
        <v>100000</v>
      </c>
      <c r="K1769" s="23" t="n">
        <v>45615</v>
      </c>
      <c r="L1769" t="inlineStr">
        <is>
          <t>Social</t>
        </is>
      </c>
      <c r="M1769" t="inlineStr">
        <is>
          <t xml:space="preserve">Appui symbolique au deces de Mady Camara a Wassadou , frere cadet du Maire Nfaly Camara  </t>
        </is>
      </c>
      <c r="R1769" s="22"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2" t="n">
        <v>100000</v>
      </c>
      <c r="K1770" s="23" t="n">
        <v>45626</v>
      </c>
      <c r="L1770" t="inlineStr">
        <is>
          <t>Social</t>
        </is>
      </c>
      <c r="M1770" t="inlineStr">
        <is>
          <t xml:space="preserve">Condoleances suite au deces de Sorakhata Tounkara,chef de village de Touba Diakha-Niemenike </t>
        </is>
      </c>
      <c r="R1770" s="22"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2" t="n">
        <v>400000</v>
      </c>
      <c r="K1771" s="23" t="n">
        <v>45640</v>
      </c>
      <c r="L1771" t="inlineStr">
        <is>
          <t>jeunesse</t>
        </is>
      </c>
      <c r="M1771" t="inlineStr">
        <is>
          <t>Appui à l'organisation de la finale de la zone 2 de Tomboronkoto</t>
        </is>
      </c>
      <c r="R1771" s="22"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2" t="n">
        <v>500000</v>
      </c>
      <c r="K1772" s="23" t="n">
        <v>45642</v>
      </c>
      <c r="L1772" t="inlineStr">
        <is>
          <t>Social</t>
        </is>
      </c>
      <c r="M1772" t="inlineStr">
        <is>
          <t>Soutien a l'Association des personnes vivant avec un handicap</t>
        </is>
      </c>
      <c r="R1772" s="22"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2" t="n">
        <v>2185875</v>
      </c>
      <c r="K1773" s="23" t="n">
        <v>45642</v>
      </c>
      <c r="L1773" t="inlineStr">
        <is>
          <t>Social</t>
        </is>
      </c>
      <c r="M1773" t="inlineStr">
        <is>
          <t>Appui a la construction de la mosquee de Tambanoumouya</t>
        </is>
      </c>
      <c r="R1773" s="22"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2" t="n">
        <v>3095500</v>
      </c>
      <c r="K1774" s="23" t="n">
        <v>45644</v>
      </c>
      <c r="L1774" t="inlineStr">
        <is>
          <t>Bonne Gouvernance</t>
        </is>
      </c>
      <c r="M1774" t="inlineStr">
        <is>
          <t>Appui Carburant aux partenaires _Q4_2024</t>
        </is>
      </c>
      <c r="R1774" s="22"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2" t="n">
        <v>60000</v>
      </c>
      <c r="K1775" s="23" t="n">
        <v>45652</v>
      </c>
      <c r="L1775" t="inlineStr">
        <is>
          <t>Agriculture</t>
        </is>
      </c>
      <c r="M1775" t="inlineStr">
        <is>
          <t>Appui pour la mise en service du périmètre maraicher de Mako</t>
        </is>
      </c>
      <c r="R1775" s="22"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2" t="n">
        <v>300000</v>
      </c>
      <c r="K1776" s="23" t="n">
        <v>45652</v>
      </c>
      <c r="L1776" t="inlineStr">
        <is>
          <t>Education</t>
        </is>
      </c>
      <c r="M1776" t="inlineStr">
        <is>
          <t>Appui à l'organisation de la levée des couleurs à l'école de Badon</t>
        </is>
      </c>
      <c r="R1776" s="22"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2" t="n">
        <v>500000</v>
      </c>
      <c r="K1777" s="23" t="n">
        <v>45652</v>
      </c>
      <c r="L1777" t="inlineStr">
        <is>
          <t>Social</t>
        </is>
      </c>
      <c r="M1777" t="inlineStr">
        <is>
          <t xml:space="preserve">Appui à la célébration de l'anniversaire du prophète Mouhamed. </t>
        </is>
      </c>
      <c r="R1777" s="22"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2" t="n">
        <v>1227200</v>
      </c>
      <c r="K1778" s="23" t="n">
        <v>45654</v>
      </c>
      <c r="L1778" t="inlineStr">
        <is>
          <t>Agriculture</t>
        </is>
      </c>
      <c r="M1778" t="inlineStr">
        <is>
          <t xml:space="preserve">Maintenance des systèmes d'irrigation des périmètres maraichers du programme de restauration des moyens </t>
        </is>
      </c>
      <c r="R1778" s="22"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2" t="n">
        <v>38920000</v>
      </c>
      <c r="K1779" t="inlineStr">
        <is>
          <t>JANVIER - JUIN</t>
        </is>
      </c>
      <c r="L1779" t="inlineStr">
        <is>
          <t xml:space="preserve">EDUCATION </t>
        </is>
      </c>
      <c r="Q1779" t="inlineStr">
        <is>
          <t>ETUDIANTS</t>
        </is>
      </c>
      <c r="R1779" s="22"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2" t="n">
        <v>15798200</v>
      </c>
      <c r="K1780" t="inlineStr">
        <is>
          <t>JANVIER - JUIN</t>
        </is>
      </c>
      <c r="L1780" t="inlineStr">
        <is>
          <t>APPUI INSTITUTIONNEL</t>
        </is>
      </c>
      <c r="Q1780" t="inlineStr">
        <is>
          <t>ACTIVITES SPORTIVES</t>
        </is>
      </c>
      <c r="R1780" s="22"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2" t="n">
        <v>3280000</v>
      </c>
      <c r="K1781" t="inlineStr">
        <is>
          <t>JANVIER - JUIN</t>
        </is>
      </c>
      <c r="L1781" t="inlineStr">
        <is>
          <t>APPUI INSTITUTIONNEL</t>
        </is>
      </c>
      <c r="Q1781" t="inlineStr">
        <is>
          <t xml:space="preserve">COLLECTIVITES LOCALES </t>
        </is>
      </c>
      <c r="R1781" s="22"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2" t="n">
        <v>11188350</v>
      </c>
      <c r="K1782" t="inlineStr">
        <is>
          <t>JANVIER - JUIN</t>
        </is>
      </c>
      <c r="L1782" t="inlineStr">
        <is>
          <t>SANTE</t>
        </is>
      </c>
      <c r="Q1782" t="inlineStr">
        <is>
          <t xml:space="preserve">COLLECTIVITES LOCALES </t>
        </is>
      </c>
      <c r="R1782" s="22"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2" t="n">
        <v>25069700</v>
      </c>
      <c r="K1783" t="inlineStr">
        <is>
          <t>JANVIER - JUIN</t>
        </is>
      </c>
      <c r="L1783" t="inlineStr">
        <is>
          <t>RELIGIEUX</t>
        </is>
      </c>
      <c r="Q1783" t="inlineStr">
        <is>
          <t xml:space="preserve">COLLECTIVITES LOCALES </t>
        </is>
      </c>
      <c r="R1783" s="22"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2" t="n">
        <v>900000.47</v>
      </c>
      <c r="K1784" s="23" t="n">
        <v>44992</v>
      </c>
      <c r="L1784" t="inlineStr">
        <is>
          <t>Appui divers</t>
        </is>
      </c>
      <c r="M1784" t="inlineStr">
        <is>
          <t>N/A</t>
        </is>
      </c>
      <c r="N1784" t="inlineStr">
        <is>
          <t>N/A</t>
        </is>
      </c>
      <c r="O1784" t="inlineStr">
        <is>
          <t>N/A</t>
        </is>
      </c>
      <c r="R1784" s="22"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2" t="n">
        <v>900000</v>
      </c>
      <c r="K1785" s="23"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2"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2" t="n">
        <v>900000</v>
      </c>
      <c r="K1786" t="inlineStr">
        <is>
          <t>2024-11-04</t>
        </is>
      </c>
      <c r="L1786" t="inlineStr">
        <is>
          <t>Appuis divers</t>
        </is>
      </c>
      <c r="R1786" s="22"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2" t="n">
        <v>899999.6</v>
      </c>
      <c r="K1787" s="23"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2"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2" t="n">
        <v>899750</v>
      </c>
      <c r="K1788" s="23" t="n">
        <v>45016</v>
      </c>
      <c r="L1788" t="inlineStr">
        <is>
          <t>Donation</t>
        </is>
      </c>
      <c r="M1788" t="inlineStr">
        <is>
          <t>NA</t>
        </is>
      </c>
      <c r="N1788" t="inlineStr">
        <is>
          <t>NA</t>
        </is>
      </c>
      <c r="O1788" t="inlineStr">
        <is>
          <t>NA</t>
        </is>
      </c>
      <c r="P1788" t="inlineStr">
        <is>
          <t>NA</t>
        </is>
      </c>
      <c r="Q1788" t="inlineStr">
        <is>
          <t>NA</t>
        </is>
      </c>
      <c r="R1788" s="22"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2" t="n">
        <v>863999.75</v>
      </c>
      <c r="K1789" s="23"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2"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2" t="n">
        <v>863999.72</v>
      </c>
      <c r="K1790" s="23" t="n">
        <v>45626</v>
      </c>
      <c r="M1790" t="inlineStr">
        <is>
          <t>Main d'oeuvre prestation</t>
        </is>
      </c>
      <c r="P1790" t="inlineStr">
        <is>
          <t>Convention minère et Code minier (Fond Social et Fond d'appui au developpement local)</t>
        </is>
      </c>
      <c r="R1790" s="22"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2" t="n">
        <v>859998.6</v>
      </c>
      <c r="K1791" s="23"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2"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2" t="n">
        <v>756000</v>
      </c>
      <c r="K1792" s="23" t="n">
        <v>45506</v>
      </c>
      <c r="L1792" t="inlineStr">
        <is>
          <t>APPUIS DIVERS</t>
        </is>
      </c>
      <c r="R1792" s="22"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2" t="n">
        <v>859844.64</v>
      </c>
      <c r="K1793" s="23"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2"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2" t="n">
        <v>857250</v>
      </c>
      <c r="K1794" t="inlineStr">
        <is>
          <t>27/10/2023</t>
        </is>
      </c>
      <c r="L1794" t="inlineStr">
        <is>
          <t>Appuis divers</t>
        </is>
      </c>
      <c r="R1794" s="22"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2" t="n">
        <v>854500</v>
      </c>
      <c r="K1795" s="23" t="n">
        <v>45534</v>
      </c>
      <c r="L1795" t="inlineStr">
        <is>
          <t>APPUIS DIVERS</t>
        </is>
      </c>
      <c r="R1795" s="22"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2" t="n">
        <v>851203.01</v>
      </c>
      <c r="K1796" s="23"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2"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2" t="n">
        <v>850000</v>
      </c>
      <c r="K1797" s="23"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2"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2" t="n">
        <v>200000</v>
      </c>
      <c r="K1798" s="23" t="n">
        <v>45293</v>
      </c>
      <c r="R1798" s="22"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2" t="n">
        <v>200000</v>
      </c>
      <c r="K1799" s="23" t="n">
        <v>45293</v>
      </c>
      <c r="R1799" s="22"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2" t="n">
        <v>850000</v>
      </c>
      <c r="K1800" s="23" t="n">
        <v>44977</v>
      </c>
      <c r="L1800" t="inlineStr">
        <is>
          <t>Appui divers</t>
        </is>
      </c>
      <c r="M1800" t="inlineStr">
        <is>
          <t>N/A</t>
        </is>
      </c>
      <c r="N1800" t="inlineStr">
        <is>
          <t>N/A</t>
        </is>
      </c>
      <c r="O1800" t="inlineStr">
        <is>
          <t>N/A</t>
        </is>
      </c>
      <c r="Q1800" t="inlineStr">
        <is>
          <t>NA</t>
        </is>
      </c>
      <c r="R1800" s="22"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2" t="n">
        <v>907910</v>
      </c>
      <c r="K1801" s="23" t="n">
        <v>45335</v>
      </c>
      <c r="R1801" s="22"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2"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2" t="n">
        <v>847458</v>
      </c>
      <c r="K1803" t="inlineStr">
        <is>
          <t>02/10/2023</t>
        </is>
      </c>
      <c r="L1803" t="inlineStr">
        <is>
          <t>Appuis divers</t>
        </is>
      </c>
      <c r="R1803" s="22"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2" t="n">
        <v>840000</v>
      </c>
      <c r="K1804" s="23" t="n">
        <v>45015</v>
      </c>
      <c r="M1804" t="inlineStr">
        <is>
          <t>Appuis divers</t>
        </is>
      </c>
      <c r="R1804" s="22"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2" t="n">
        <v>100000</v>
      </c>
      <c r="K1805" s="23" t="n">
        <v>45352</v>
      </c>
      <c r="R1805" s="22"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2" t="n">
        <v>350000</v>
      </c>
      <c r="K1806" s="23" t="n">
        <v>45355</v>
      </c>
      <c r="R1806" s="22"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2" t="n">
        <v>50000</v>
      </c>
      <c r="K1807" s="23" t="n">
        <v>45383</v>
      </c>
      <c r="R1807" s="22"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2" t="n">
        <v>200000</v>
      </c>
      <c r="K1808" s="23" t="n">
        <v>45390</v>
      </c>
      <c r="R1808" s="22"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2" t="n">
        <v>825000</v>
      </c>
      <c r="K1809" s="23" t="n">
        <v>44999</v>
      </c>
      <c r="M1809" t="inlineStr">
        <is>
          <t>Appuis divers</t>
        </is>
      </c>
      <c r="R1809" s="22"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2" t="n">
        <v>823640</v>
      </c>
      <c r="K1810" s="23" t="n">
        <v>45525</v>
      </c>
      <c r="M1810" t="inlineStr">
        <is>
          <t>131617AA</t>
        </is>
      </c>
      <c r="N1810" t="inlineStr">
        <is>
          <t>N/A</t>
        </is>
      </c>
      <c r="O1810" t="inlineStr">
        <is>
          <t>N/A</t>
        </is>
      </c>
      <c r="P1810" t="inlineStr">
        <is>
          <t>Convention minère et Code minier (Fond Social et Fond d'appui au developpement local)</t>
        </is>
      </c>
      <c r="Q1810" t="inlineStr">
        <is>
          <t>NA</t>
        </is>
      </c>
      <c r="R1810" s="22"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2" t="n">
        <v>821221.04</v>
      </c>
      <c r="K1811" s="23" t="n">
        <v>45377</v>
      </c>
      <c r="M1811" t="inlineStr">
        <is>
          <t>TOILETTES</t>
        </is>
      </c>
      <c r="N1811" t="inlineStr">
        <is>
          <t>N/A</t>
        </is>
      </c>
      <c r="O1811" t="inlineStr">
        <is>
          <t>N/A</t>
        </is>
      </c>
      <c r="P1811" t="inlineStr">
        <is>
          <t>Convention minère et Code minier (Fond Social et Fond d'appui au developpement local)</t>
        </is>
      </c>
      <c r="Q1811" t="inlineStr">
        <is>
          <t>NA</t>
        </is>
      </c>
      <c r="R1811" s="22"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2" t="n">
        <v>807118.05</v>
      </c>
      <c r="K1812" s="23" t="n">
        <v>45379</v>
      </c>
      <c r="R1812" s="22"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2" t="n">
        <v>803000</v>
      </c>
      <c r="K1813" t="inlineStr">
        <is>
          <t>07/11/2023</t>
        </is>
      </c>
      <c r="L1813" t="inlineStr">
        <is>
          <t>Appuis divers</t>
        </is>
      </c>
      <c r="R1813" s="22"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2" t="n">
        <v>803000</v>
      </c>
      <c r="K1814" t="inlineStr">
        <is>
          <t>30/11/2023</t>
        </is>
      </c>
      <c r="L1814" t="inlineStr">
        <is>
          <t>Appuis divers</t>
        </is>
      </c>
      <c r="R1814" s="22"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2" t="n">
        <v>800000</v>
      </c>
      <c r="K1815" s="23"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2"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2" t="n">
        <v>800000</v>
      </c>
      <c r="L1816" t="inlineStr">
        <is>
          <t>APPUIS DIVERS (JOURNEE DE L'ARBRE)</t>
        </is>
      </c>
      <c r="R1816" s="22"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2" t="n">
        <v>800000</v>
      </c>
      <c r="K1817" s="23" t="n">
        <v>45399</v>
      </c>
      <c r="L1817" t="inlineStr">
        <is>
          <t>NEANT</t>
        </is>
      </c>
      <c r="M1817" t="n">
        <v>0</v>
      </c>
      <c r="N1817" s="22" t="n">
        <v>0</v>
      </c>
      <c r="O1817" t="inlineStr">
        <is>
          <t>NEANT</t>
        </is>
      </c>
      <c r="P1817" t="inlineStr">
        <is>
          <t>NEANT</t>
        </is>
      </c>
      <c r="Q1817" t="inlineStr">
        <is>
          <t>NEANT</t>
        </is>
      </c>
      <c r="R1817" s="22"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2" t="n">
        <v>800000</v>
      </c>
      <c r="K1818" t="inlineStr">
        <is>
          <t>2024-07-31</t>
        </is>
      </c>
      <c r="L1818" t="inlineStr">
        <is>
          <t>Appuis divers</t>
        </is>
      </c>
      <c r="R1818" s="22"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2" t="n">
        <v>800000</v>
      </c>
      <c r="K1819" t="inlineStr">
        <is>
          <t>25/07/2023</t>
        </is>
      </c>
      <c r="L1819" t="inlineStr">
        <is>
          <t>Appuis divers</t>
        </is>
      </c>
      <c r="R1819" s="22"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2" t="n">
        <v>200000</v>
      </c>
      <c r="K1820" s="23" t="n">
        <v>45614</v>
      </c>
      <c r="R1820" s="22"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2" t="n">
        <v>800000</v>
      </c>
      <c r="K1821" t="inlineStr">
        <is>
          <t>02/10/2023</t>
        </is>
      </c>
      <c r="L1821" t="inlineStr">
        <is>
          <t>Appuis divers</t>
        </is>
      </c>
      <c r="R1821" s="22"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2" t="n">
        <v>800000</v>
      </c>
      <c r="K1822" s="23" t="n">
        <v>44301</v>
      </c>
      <c r="L1822" t="inlineStr">
        <is>
          <t>Appuis divers</t>
        </is>
      </c>
      <c r="M1822" t="inlineStr">
        <is>
          <t>N/A</t>
        </is>
      </c>
      <c r="N1822" t="inlineStr">
        <is>
          <t>N/A</t>
        </is>
      </c>
      <c r="O1822" t="inlineStr">
        <is>
          <t>N/A</t>
        </is>
      </c>
      <c r="P1822" t="inlineStr">
        <is>
          <t>Nc</t>
        </is>
      </c>
      <c r="R1822" s="22"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2" t="n">
        <v>796000</v>
      </c>
      <c r="K1823" t="inlineStr">
        <is>
          <t>2024-07-22</t>
        </is>
      </c>
      <c r="L1823" t="inlineStr">
        <is>
          <t>Appuis divers</t>
        </is>
      </c>
      <c r="R1823" s="22"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2" t="n">
        <v>783799.9</v>
      </c>
      <c r="K1824" s="23" t="n">
        <v>45307</v>
      </c>
      <c r="M1824" t="inlineStr">
        <is>
          <t>131934AA</t>
        </is>
      </c>
      <c r="N1824" t="inlineStr">
        <is>
          <t>N/A</t>
        </is>
      </c>
      <c r="O1824" t="inlineStr">
        <is>
          <t>N/A</t>
        </is>
      </c>
      <c r="P1824" t="inlineStr">
        <is>
          <t>Convention minère et Code minier (Fond Social et Fond d'appui au developpement local)</t>
        </is>
      </c>
      <c r="Q1824" t="inlineStr">
        <is>
          <t>NA</t>
        </is>
      </c>
      <c r="R1824" s="22"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2" t="n">
        <v>772345</v>
      </c>
      <c r="K1825" t="inlineStr">
        <is>
          <t>06/10/2023</t>
        </is>
      </c>
      <c r="L1825" t="inlineStr">
        <is>
          <t>Appuis divers</t>
        </is>
      </c>
      <c r="R1825" s="22"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2" t="n">
        <v>756001.29</v>
      </c>
      <c r="K1826" s="23" t="n">
        <v>45318</v>
      </c>
      <c r="M1826" t="inlineStr">
        <is>
          <t>Carburant</t>
        </is>
      </c>
      <c r="N1826" t="inlineStr">
        <is>
          <t>N/A</t>
        </is>
      </c>
      <c r="O1826" t="inlineStr">
        <is>
          <t>N/A</t>
        </is>
      </c>
      <c r="P1826" t="inlineStr">
        <is>
          <t>Convention minère et Code minier (Fond Social et Fond d'appui au developpement local)</t>
        </is>
      </c>
      <c r="Q1826" t="inlineStr">
        <is>
          <t>NA</t>
        </is>
      </c>
      <c r="R1826" s="22"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2" t="n">
        <v>755665.29</v>
      </c>
      <c r="K1827" s="23" t="n">
        <v>44676</v>
      </c>
      <c r="L1827" t="inlineStr">
        <is>
          <t>SF General</t>
        </is>
      </c>
      <c r="R1827" s="22"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2" t="n">
        <v>1200000</v>
      </c>
      <c r="K1828" s="23" t="n">
        <v>45352</v>
      </c>
      <c r="L1828" t="inlineStr">
        <is>
          <t>EDUCATION</t>
        </is>
      </c>
      <c r="R1828" s="22"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2" t="n">
        <v>70000</v>
      </c>
      <c r="K1829" s="23" t="n">
        <v>45355</v>
      </c>
      <c r="L1829" t="inlineStr">
        <is>
          <t>EDUCATION</t>
        </is>
      </c>
      <c r="R1829" s="22"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2" t="n">
        <v>100000</v>
      </c>
      <c r="K1830" s="23" t="n">
        <v>45449</v>
      </c>
      <c r="L1830" t="inlineStr">
        <is>
          <t>EDUCATION</t>
        </is>
      </c>
      <c r="R1830" s="22"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2" t="n">
        <v>250000</v>
      </c>
      <c r="K1831" s="23" t="n">
        <v>45471</v>
      </c>
      <c r="L1831" t="inlineStr">
        <is>
          <t>EDUCATION</t>
        </is>
      </c>
      <c r="R1831" s="22"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2" t="n">
        <v>751497.76</v>
      </c>
      <c r="O1832" t="inlineStr">
        <is>
          <t>SF General</t>
        </is>
      </c>
      <c r="P1832" t="inlineStr">
        <is>
          <t>Obligation de développement social: art.15 de l'avenant 1 à la convention minière de Sabodala du 23 mars 2005</t>
        </is>
      </c>
      <c r="R1832" s="22"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2" t="n">
        <v>750321.5</v>
      </c>
      <c r="K1833" s="23" t="n">
        <v>45626</v>
      </c>
      <c r="M1833" t="inlineStr">
        <is>
          <t>139021</t>
        </is>
      </c>
      <c r="N1833" t="inlineStr">
        <is>
          <t>N/A</t>
        </is>
      </c>
      <c r="O1833" t="inlineStr">
        <is>
          <t>N/A</t>
        </is>
      </c>
      <c r="P1833" t="inlineStr">
        <is>
          <t>Convention minère et Code minier (Fond Social et Fond d'appui au developpement local)</t>
        </is>
      </c>
      <c r="Q1833" t="inlineStr">
        <is>
          <t>NA</t>
        </is>
      </c>
      <c r="R1833" s="22"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2" t="n">
        <v>750000</v>
      </c>
      <c r="K1834" t="inlineStr">
        <is>
          <t>2024-05-31</t>
        </is>
      </c>
      <c r="L1834" t="inlineStr">
        <is>
          <t>Appuis divers</t>
        </is>
      </c>
      <c r="R1834" s="22"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2" t="n">
        <v>750000</v>
      </c>
      <c r="K1835" t="inlineStr">
        <is>
          <t>07/12/2023</t>
        </is>
      </c>
      <c r="L1835" t="inlineStr">
        <is>
          <t>Appuis divers</t>
        </is>
      </c>
      <c r="R1835" s="22"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2" t="n">
        <v>740000</v>
      </c>
      <c r="L1836" t="inlineStr">
        <is>
          <t>APPUIS DIVERS (NOURRITURE)</t>
        </is>
      </c>
      <c r="R1836" s="22"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2" t="n">
        <v>738310.9</v>
      </c>
      <c r="K1837" s="23" t="n">
        <v>45498</v>
      </c>
      <c r="M1837" t="inlineStr">
        <is>
          <t>137089AA</t>
        </is>
      </c>
      <c r="N1837" t="inlineStr">
        <is>
          <t>N/A</t>
        </is>
      </c>
      <c r="O1837" t="inlineStr">
        <is>
          <t>N/A</t>
        </is>
      </c>
      <c r="P1837" t="inlineStr">
        <is>
          <t>Convention minère et Code minier (Fond Social et Fond d'appui au developpement local)</t>
        </is>
      </c>
      <c r="Q1837" t="inlineStr">
        <is>
          <t>NA</t>
        </is>
      </c>
      <c r="R1837" s="22"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2" t="n">
        <v>30000</v>
      </c>
      <c r="K1838" s="23" t="n">
        <v>45351</v>
      </c>
      <c r="L1838" t="inlineStr">
        <is>
          <t>INDEMNISATION</t>
        </is>
      </c>
      <c r="R1838" s="22"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2" t="n">
        <v>30000</v>
      </c>
      <c r="K1839" s="23" t="n">
        <v>45456</v>
      </c>
      <c r="L1839" t="inlineStr">
        <is>
          <t>INDEMNISATION</t>
        </is>
      </c>
      <c r="R1839" s="22"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2" t="n">
        <v>736556</v>
      </c>
      <c r="K1840" t="inlineStr">
        <is>
          <t>19/10/2023</t>
        </is>
      </c>
      <c r="L1840" t="inlineStr">
        <is>
          <t>Appuis divers</t>
        </is>
      </c>
      <c r="R1840" s="22"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2" t="n">
        <v>716000</v>
      </c>
      <c r="K1841" s="23" t="n">
        <v>45378</v>
      </c>
      <c r="R1841" s="22"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2" t="n">
        <v>500000</v>
      </c>
      <c r="K1842" s="23" t="n">
        <v>45454</v>
      </c>
      <c r="L1842" t="inlineStr">
        <is>
          <t>IMPENSES</t>
        </is>
      </c>
      <c r="R1842" s="22"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2" t="n">
        <v>1000000</v>
      </c>
      <c r="K1843" s="23" t="n">
        <v>45480</v>
      </c>
      <c r="M1843" t="inlineStr">
        <is>
          <t xml:space="preserve">Appui mensuel carburant pour le poste de santé de Ngoundiane </t>
        </is>
      </c>
      <c r="R1843" s="22"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2" t="n">
        <v>900000</v>
      </c>
      <c r="K1844" t="inlineStr">
        <is>
          <t>17/05/24</t>
        </is>
      </c>
      <c r="M1844" t="inlineStr">
        <is>
          <t xml:space="preserve">Réalisation de pistes rurales au profit de la Commune de Ngoundiane  Soit 8.8 Km de piste </t>
        </is>
      </c>
      <c r="R1844" s="22"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2" t="n">
        <v>4130000</v>
      </c>
      <c r="K1845" s="23" t="n">
        <v>45295</v>
      </c>
      <c r="M1845" t="inlineStr">
        <is>
          <t xml:space="preserve">Réalisation de pistes rurales au profit de la Commune de Tassette Soit 18 Km de piste </t>
        </is>
      </c>
      <c r="R1845" s="22"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2" t="n">
        <v>700000</v>
      </c>
      <c r="K1846" s="23" t="n">
        <v>45035</v>
      </c>
      <c r="R1846" s="22"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2" t="n">
        <v>900000</v>
      </c>
      <c r="K1847" s="23" t="n">
        <v>45599</v>
      </c>
      <c r="R1847" s="22"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2" t="n">
        <v>3520000</v>
      </c>
      <c r="K1848" t="inlineStr">
        <is>
          <t>21/03/2024</t>
        </is>
      </c>
      <c r="R1848" s="22"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2" t="n">
        <v>453000</v>
      </c>
      <c r="K1849" s="23" t="n">
        <v>45593</v>
      </c>
      <c r="L1849" t="inlineStr">
        <is>
          <t>Appui gasoil/organisation elections presidentielles de mars 2024</t>
        </is>
      </c>
      <c r="R1849" s="22"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2" t="n">
        <v>453000</v>
      </c>
      <c r="K1850" s="23" t="n">
        <v>45593</v>
      </c>
      <c r="L1850" t="inlineStr">
        <is>
          <t>Appui gasoil/organisation elections legislatives anticipées du 17/11/24</t>
        </is>
      </c>
      <c r="R1850" s="22"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2" t="n">
        <v>151000</v>
      </c>
      <c r="K1851" s="23" t="n">
        <v>45463</v>
      </c>
      <c r="L1851" t="inlineStr">
        <is>
          <t>Education: concours CFEE ET ENTREE en 6eme commune de dialacoto</t>
        </is>
      </c>
      <c r="R1851" s="22"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2" t="n">
        <v>1812000</v>
      </c>
      <c r="L1852" t="inlineStr">
        <is>
          <t>hydraulique</t>
        </is>
      </c>
      <c r="R1852" s="22"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2"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2" t="n">
        <v>5700000</v>
      </c>
      <c r="L1854" t="inlineStr">
        <is>
          <t xml:space="preserve">Education: Construction de logement pour les enseignants de banta </t>
        </is>
      </c>
      <c r="R1854" s="22"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2" t="n">
        <v>5800000</v>
      </c>
      <c r="L1855" t="inlineStr">
        <is>
          <t>Education: Construction de logement pour les enseignats de massadala</t>
        </is>
      </c>
      <c r="R1855" s="22"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2" t="n">
        <v>8700000</v>
      </c>
      <c r="L1856" t="inlineStr">
        <is>
          <t>Education: Construction du mur de cloture de l'écolde de Banta</t>
        </is>
      </c>
      <c r="R1856" s="22"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2" t="n">
        <v>6900000</v>
      </c>
      <c r="L1857" t="inlineStr">
        <is>
          <t>Santé: Construction d'une case de santé à massadala</t>
        </is>
      </c>
      <c r="R1857" s="22"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2" t="n">
        <v>226500</v>
      </c>
      <c r="L1858" t="inlineStr">
        <is>
          <t>Appui gasoil: Organisation du Gamou religieux annuel de damantang</t>
        </is>
      </c>
      <c r="R1858" s="22"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2"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2" t="n">
        <v>16600000</v>
      </c>
      <c r="K1860" s="23" t="n">
        <v>45564</v>
      </c>
      <c r="L1860" t="inlineStr">
        <is>
          <t>Appui financier : finalisation de la mosquée de Banta</t>
        </is>
      </c>
      <c r="R1860" s="22"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2" t="n">
        <v>1000000</v>
      </c>
      <c r="K1861" s="23" t="n">
        <v>45621</v>
      </c>
      <c r="L1861" t="inlineStr">
        <is>
          <t>Appui financier: Participation des agents du parc national de niokolokoba à la foire internationale de DAKAR</t>
        </is>
      </c>
      <c r="R1861" s="22"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2"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2" t="n">
        <v>500000</v>
      </c>
      <c r="K1863" s="23" t="n">
        <v>45540</v>
      </c>
      <c r="L1863" t="inlineStr">
        <is>
          <t>Appui financier: GAMOU de THIENABA</t>
        </is>
      </c>
      <c r="R1863" s="22"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2"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2"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2" t="n">
        <v>700000</v>
      </c>
      <c r="K1866" s="23" t="n">
        <v>45035</v>
      </c>
      <c r="R1866" s="22"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2" t="n">
        <v>100000</v>
      </c>
      <c r="K1867" s="23" t="n">
        <v>45356</v>
      </c>
      <c r="L1867" t="inlineStr">
        <is>
          <t>Culture: Organisation de la journée du 8 mars 2024</t>
        </is>
      </c>
      <c r="R1867" s="22"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2"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2" t="n">
        <v>10675000</v>
      </c>
      <c r="K1869" s="23" t="n">
        <v>45440</v>
      </c>
      <c r="L1869" t="inlineStr">
        <is>
          <t>Appui fête religieuse: Dons tabaski 2024 octoyé pour le personnel de diack + transport+ centrale enrobé</t>
        </is>
      </c>
      <c r="R1869" s="22"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2" t="n">
        <v>10540000</v>
      </c>
      <c r="K1870" s="23" t="n">
        <v>45372</v>
      </c>
      <c r="L1870" t="inlineStr">
        <is>
          <t xml:space="preserve">Appui fête religieuse: Dons ramadan 2024 octoyé pour le personnel de diack &amp; transport </t>
        </is>
      </c>
      <c r="R1870" s="22"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2" t="n">
        <v>435500</v>
      </c>
      <c r="K1871" s="23" t="n">
        <v>45323</v>
      </c>
      <c r="L1871" t="inlineStr">
        <is>
          <t>Education: Prise en charge 50% des frais de scolarité Djibril Barry/responsable enlèvement à DIACK</t>
        </is>
      </c>
      <c r="R1871" s="22"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2" t="n">
        <v>109740</v>
      </c>
      <c r="K1872" s="23" t="n">
        <v>45344</v>
      </c>
      <c r="L1872" t="inlineStr">
        <is>
          <t>Appui divers: Achat de peinture pour réfection de la gendarmerie de ngoundiane</t>
        </is>
      </c>
      <c r="R1872" s="22"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2" t="n">
        <v>700000</v>
      </c>
      <c r="K1873" t="inlineStr">
        <is>
          <t>18/04/2023</t>
        </is>
      </c>
      <c r="L1873" t="inlineStr">
        <is>
          <t>Appuis divers</t>
        </is>
      </c>
      <c r="R1873" s="22"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2" t="n">
        <v>4500000</v>
      </c>
      <c r="K1874" s="23" t="n">
        <v>45652</v>
      </c>
      <c r="L1874" t="inlineStr">
        <is>
          <t>Pelerinage à la mecque 2025 pour un agent de CSE GRANULATS</t>
        </is>
      </c>
      <c r="R1874" s="22"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2" t="n">
        <v>4500000</v>
      </c>
      <c r="K1875" s="23" t="n">
        <v>45652</v>
      </c>
      <c r="L1875" t="inlineStr">
        <is>
          <t xml:space="preserve">Pelerinage à la mecque 2025 pour un agent de CSE </t>
        </is>
      </c>
      <c r="R1875" s="22"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2" t="n">
        <v>20060000</v>
      </c>
      <c r="K1876" s="23" t="n">
        <v>45455</v>
      </c>
      <c r="L1876" t="inlineStr">
        <is>
          <t>Appui fête religieuse: Dons ramadan et tabaski 2024 octroyé pour le personnel de CSE GRANULATS</t>
        </is>
      </c>
      <c r="R1876" s="22"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2" t="n">
        <v>700000</v>
      </c>
      <c r="K1877" t="inlineStr">
        <is>
          <t>28/12/2023</t>
        </is>
      </c>
      <c r="L1877" t="inlineStr">
        <is>
          <t>Appuis divers</t>
        </is>
      </c>
      <c r="R1877" s="22"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2"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2"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2" t="n">
        <v>7610</v>
      </c>
      <c r="K1880" t="inlineStr">
        <is>
          <t>Appuis divers</t>
        </is>
      </c>
      <c r="L1880" t="inlineStr">
        <is>
          <t>Appuis divers</t>
        </is>
      </c>
      <c r="M1880" t="inlineStr">
        <is>
          <t xml:space="preserve">Néant </t>
        </is>
      </c>
      <c r="N1880" t="inlineStr">
        <is>
          <t xml:space="preserve">Néant </t>
        </is>
      </c>
      <c r="O1880" t="inlineStr">
        <is>
          <t>Nc</t>
        </is>
      </c>
      <c r="R1880" s="22"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2" t="n">
        <v>699996.98</v>
      </c>
      <c r="K1881" s="23" t="n">
        <v>45626</v>
      </c>
      <c r="M1881" t="inlineStr">
        <is>
          <t>Carburant</t>
        </is>
      </c>
      <c r="N1881" t="inlineStr">
        <is>
          <t>N/A</t>
        </is>
      </c>
      <c r="O1881" t="inlineStr">
        <is>
          <t>N/A</t>
        </is>
      </c>
      <c r="P1881" t="inlineStr">
        <is>
          <t>Convention minère et Code minier (Fond Social et Fond d'appui au developpement local)</t>
        </is>
      </c>
      <c r="Q1881" t="inlineStr">
        <is>
          <t>NA</t>
        </is>
      </c>
      <c r="R1881" s="22"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2" t="n">
        <v>698403.83</v>
      </c>
      <c r="K1882" s="23" t="n">
        <v>45220</v>
      </c>
      <c r="L1882" t="inlineStr">
        <is>
          <t>Donation</t>
        </is>
      </c>
      <c r="M1882" t="inlineStr">
        <is>
          <t>NA</t>
        </is>
      </c>
      <c r="N1882" t="inlineStr">
        <is>
          <t>NA</t>
        </is>
      </c>
      <c r="O1882" t="inlineStr">
        <is>
          <t>NA</t>
        </is>
      </c>
      <c r="P1882" t="inlineStr">
        <is>
          <t>NA</t>
        </is>
      </c>
      <c r="Q1882" t="inlineStr">
        <is>
          <t>NA</t>
        </is>
      </c>
      <c r="R1882" s="22"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2" t="n">
        <v>696800</v>
      </c>
      <c r="L1883" t="inlineStr">
        <is>
          <t>APPUIS DIVERS (NOURRITURE)</t>
        </is>
      </c>
      <c r="R1883" s="22"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2" t="n">
        <v>695784</v>
      </c>
      <c r="K1884" s="23" t="n">
        <v>45350</v>
      </c>
      <c r="M1884" t="inlineStr">
        <is>
          <t>ATS</t>
        </is>
      </c>
      <c r="N1884" t="inlineStr">
        <is>
          <t>N/A</t>
        </is>
      </c>
      <c r="O1884" t="inlineStr">
        <is>
          <t>N/A</t>
        </is>
      </c>
      <c r="P1884" t="inlineStr">
        <is>
          <t>Convention minère et Code minier (Fond Social et Fond d'appui au developpement local)</t>
        </is>
      </c>
      <c r="Q1884" t="inlineStr">
        <is>
          <t>NA</t>
        </is>
      </c>
      <c r="R1884" s="22"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2" t="n">
        <v>694245.8</v>
      </c>
      <c r="K1885" s="23" t="n">
        <v>45596</v>
      </c>
      <c r="M1885" t="inlineStr">
        <is>
          <t>141005</t>
        </is>
      </c>
      <c r="N1885" t="inlineStr">
        <is>
          <t>N/A</t>
        </is>
      </c>
      <c r="O1885" t="inlineStr">
        <is>
          <t>N/A</t>
        </is>
      </c>
      <c r="P1885" t="inlineStr">
        <is>
          <t>Convention minère et Code minier (Fond Social et Fond d'appui au developpement local)</t>
        </is>
      </c>
      <c r="Q1885" t="inlineStr">
        <is>
          <t>NA</t>
        </is>
      </c>
      <c r="R1885" s="22"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2" t="n">
        <v>690000.97</v>
      </c>
      <c r="K1886" s="23"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2"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2" t="n">
        <v>683000</v>
      </c>
      <c r="K1887" t="inlineStr">
        <is>
          <t>07/11/2023</t>
        </is>
      </c>
      <c r="L1887" t="inlineStr">
        <is>
          <t>Appuis divers</t>
        </is>
      </c>
      <c r="R1887" s="22"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2" t="n">
        <v>683000</v>
      </c>
      <c r="K1888" t="inlineStr">
        <is>
          <t>07/11/2023</t>
        </is>
      </c>
      <c r="L1888" t="inlineStr">
        <is>
          <t>Appuis divers</t>
        </is>
      </c>
      <c r="R1888" s="22"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2" t="n">
        <v>683000</v>
      </c>
      <c r="K1889" t="inlineStr">
        <is>
          <t>30/11/2023</t>
        </is>
      </c>
      <c r="L1889" t="inlineStr">
        <is>
          <t>Appuis divers</t>
        </is>
      </c>
      <c r="R1889" s="22"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2" t="n">
        <v>680000</v>
      </c>
      <c r="K1890" t="inlineStr">
        <is>
          <t>10/11/2023</t>
        </is>
      </c>
      <c r="L1890" t="inlineStr">
        <is>
          <t>Appuis divers</t>
        </is>
      </c>
      <c r="R1890" s="22"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2" t="n">
        <v>664249.6</v>
      </c>
      <c r="K1891" s="23"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2"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2" t="n">
        <v>660000</v>
      </c>
      <c r="K1892" t="inlineStr">
        <is>
          <t>28/11/2023</t>
        </is>
      </c>
      <c r="L1892" t="inlineStr">
        <is>
          <t>Appuis divers</t>
        </is>
      </c>
      <c r="R1892" s="22"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2" t="n">
        <v>650000</v>
      </c>
      <c r="K1893" s="23" t="n">
        <v>44956</v>
      </c>
      <c r="R1893" s="22"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2" t="n">
        <v>650000</v>
      </c>
      <c r="K1894" t="inlineStr">
        <is>
          <t>31/10/2023</t>
        </is>
      </c>
      <c r="L1894" t="inlineStr">
        <is>
          <t>Appuis divers</t>
        </is>
      </c>
      <c r="R1894" s="22"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2" t="n">
        <v>643999.04</v>
      </c>
      <c r="K1895" s="23"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2"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2" t="n">
        <v>643999</v>
      </c>
      <c r="K1896" s="23"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2"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2" t="n">
        <v>640000</v>
      </c>
      <c r="K1897" s="23" t="n">
        <v>44914</v>
      </c>
      <c r="M1897" t="inlineStr">
        <is>
          <t>Sport</t>
        </is>
      </c>
      <c r="R1897" s="22"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2" t="n">
        <v>640000</v>
      </c>
      <c r="K1898" s="23" t="n">
        <v>45260</v>
      </c>
      <c r="M1898" t="inlineStr">
        <is>
          <t>Sport</t>
        </is>
      </c>
      <c r="R1898" s="22"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2" t="n">
        <v>634139</v>
      </c>
      <c r="K1899" s="23" t="n">
        <v>45377</v>
      </c>
      <c r="M1899" t="inlineStr">
        <is>
          <t>GRILLAGE</t>
        </is>
      </c>
      <c r="N1899" t="inlineStr">
        <is>
          <t>N/A</t>
        </is>
      </c>
      <c r="O1899" t="inlineStr">
        <is>
          <t>N/A</t>
        </is>
      </c>
      <c r="P1899" t="inlineStr">
        <is>
          <t>Convention minère et Code minier (Fond Social et Fond d'appui au developpement local)</t>
        </is>
      </c>
      <c r="Q1899" t="inlineStr">
        <is>
          <t>NA</t>
        </is>
      </c>
      <c r="R1899" s="22"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2" t="n">
        <v>30426997.81</v>
      </c>
      <c r="K1900" s="23"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2"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2" t="n">
        <v>4447669</v>
      </c>
      <c r="K1901" s="23" t="n">
        <v>44942</v>
      </c>
      <c r="L1901" t="inlineStr">
        <is>
          <t>Santé</t>
        </is>
      </c>
      <c r="M1901" t="inlineStr">
        <is>
          <t>N/A</t>
        </is>
      </c>
      <c r="N1901" t="inlineStr">
        <is>
          <t>N/A</t>
        </is>
      </c>
      <c r="O1901" t="inlineStr">
        <is>
          <t>N/A</t>
        </is>
      </c>
      <c r="Q1901" t="inlineStr">
        <is>
          <t>NA</t>
        </is>
      </c>
      <c r="R1901" s="22"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2" t="n">
        <v>1144649</v>
      </c>
      <c r="K1902" s="23" t="n">
        <v>44942</v>
      </c>
      <c r="L1902" t="inlineStr">
        <is>
          <t>Education</t>
        </is>
      </c>
      <c r="M1902" t="inlineStr">
        <is>
          <t>N/A</t>
        </is>
      </c>
      <c r="N1902" t="inlineStr">
        <is>
          <t>N/A</t>
        </is>
      </c>
      <c r="O1902" t="inlineStr">
        <is>
          <t>N/A</t>
        </is>
      </c>
      <c r="Q1902" t="inlineStr">
        <is>
          <t>NA</t>
        </is>
      </c>
      <c r="R1902" s="22"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2" t="n">
        <v>29998.42</v>
      </c>
      <c r="K1903" s="23" t="n">
        <v>44943</v>
      </c>
      <c r="L1903" t="inlineStr">
        <is>
          <t>Capacitation des femme, agricultures et divers</t>
        </is>
      </c>
      <c r="M1903" t="inlineStr">
        <is>
          <t>N/A</t>
        </is>
      </c>
      <c r="N1903" t="inlineStr">
        <is>
          <t>N/A</t>
        </is>
      </c>
      <c r="O1903" t="inlineStr">
        <is>
          <t>N/A</t>
        </is>
      </c>
      <c r="Q1903" t="inlineStr">
        <is>
          <t>NA</t>
        </is>
      </c>
      <c r="R1903" s="22"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2" t="n">
        <v>174999.88</v>
      </c>
      <c r="K1904" s="23" t="n">
        <v>44943</v>
      </c>
      <c r="L1904" t="inlineStr">
        <is>
          <t>Capacitation des femme, agricultures et divers</t>
        </is>
      </c>
      <c r="M1904" t="inlineStr">
        <is>
          <t>N/A</t>
        </is>
      </c>
      <c r="N1904" t="inlineStr">
        <is>
          <t>N/A</t>
        </is>
      </c>
      <c r="O1904" t="inlineStr">
        <is>
          <t>N/A</t>
        </is>
      </c>
      <c r="Q1904" t="inlineStr">
        <is>
          <t>NA</t>
        </is>
      </c>
      <c r="R1904" s="22"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2" t="n">
        <v>18000.26</v>
      </c>
      <c r="K1905" s="23" t="n">
        <v>44943</v>
      </c>
      <c r="L1905" t="inlineStr">
        <is>
          <t>Capacitation des femme, agricultures et divers</t>
        </is>
      </c>
      <c r="M1905" t="inlineStr">
        <is>
          <t>N/A</t>
        </is>
      </c>
      <c r="N1905" t="inlineStr">
        <is>
          <t>N/A</t>
        </is>
      </c>
      <c r="O1905" t="inlineStr">
        <is>
          <t>N/A</t>
        </is>
      </c>
      <c r="Q1905" t="inlineStr">
        <is>
          <t>NA</t>
        </is>
      </c>
      <c r="R1905" s="22"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2" t="n">
        <v>11998.16</v>
      </c>
      <c r="K1906" s="23" t="n">
        <v>44943</v>
      </c>
      <c r="L1906" t="inlineStr">
        <is>
          <t>Capacitation des femme, agricultures et divers</t>
        </is>
      </c>
      <c r="M1906" t="inlineStr">
        <is>
          <t>N/A</t>
        </is>
      </c>
      <c r="N1906" t="inlineStr">
        <is>
          <t>N/A</t>
        </is>
      </c>
      <c r="O1906" t="inlineStr">
        <is>
          <t>N/A</t>
        </is>
      </c>
      <c r="Q1906" t="inlineStr">
        <is>
          <t>NA</t>
        </is>
      </c>
      <c r="R1906" s="22"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2" t="n">
        <v>18000.26</v>
      </c>
      <c r="K1907" s="23" t="n">
        <v>44943</v>
      </c>
      <c r="L1907" t="inlineStr">
        <is>
          <t>Capacitation des femme, agricultures et divers</t>
        </is>
      </c>
      <c r="M1907" t="inlineStr">
        <is>
          <t>N/A</t>
        </is>
      </c>
      <c r="N1907" t="inlineStr">
        <is>
          <t>N/A</t>
        </is>
      </c>
      <c r="O1907" t="inlineStr">
        <is>
          <t>N/A</t>
        </is>
      </c>
      <c r="Q1907" t="inlineStr">
        <is>
          <t>NA</t>
        </is>
      </c>
      <c r="R1907" s="22"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2" t="n">
        <v>14002.9</v>
      </c>
      <c r="K1908" s="23" t="n">
        <v>44943</v>
      </c>
      <c r="L1908" t="inlineStr">
        <is>
          <t>Capacitation des femme, agricultures et divers</t>
        </is>
      </c>
      <c r="M1908" t="inlineStr">
        <is>
          <t>N/A</t>
        </is>
      </c>
      <c r="N1908" t="inlineStr">
        <is>
          <t>N/A</t>
        </is>
      </c>
      <c r="O1908" t="inlineStr">
        <is>
          <t>N/A</t>
        </is>
      </c>
      <c r="Q1908" t="inlineStr">
        <is>
          <t>NA</t>
        </is>
      </c>
      <c r="R1908" s="22"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2" t="n">
        <v>125002.51</v>
      </c>
      <c r="K1909" s="23" t="n">
        <v>44943</v>
      </c>
      <c r="L1909" t="inlineStr">
        <is>
          <t>Capacitation des femme, agricultures et divers</t>
        </is>
      </c>
      <c r="M1909" t="inlineStr">
        <is>
          <t>N/A</t>
        </is>
      </c>
      <c r="N1909" t="inlineStr">
        <is>
          <t>N/A</t>
        </is>
      </c>
      <c r="O1909" t="inlineStr">
        <is>
          <t>N/A</t>
        </is>
      </c>
      <c r="Q1909" t="inlineStr">
        <is>
          <t>NA</t>
        </is>
      </c>
      <c r="R1909" s="22"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2" t="n">
        <v>101999.48</v>
      </c>
      <c r="K1910" s="23" t="n">
        <v>44943</v>
      </c>
      <c r="L1910" t="inlineStr">
        <is>
          <t>Capacitation des femme, agricultures et divers</t>
        </is>
      </c>
      <c r="M1910" t="inlineStr">
        <is>
          <t>N/A</t>
        </is>
      </c>
      <c r="N1910" t="inlineStr">
        <is>
          <t>N/A</t>
        </is>
      </c>
      <c r="O1910" t="inlineStr">
        <is>
          <t>N/A</t>
        </is>
      </c>
      <c r="Q1910" t="inlineStr">
        <is>
          <t>NA</t>
        </is>
      </c>
      <c r="R1910" s="22"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2" t="n">
        <v>599998.03</v>
      </c>
      <c r="K1911" s="23" t="n">
        <v>44948</v>
      </c>
      <c r="L1911" t="inlineStr">
        <is>
          <t>Capacitation des femme, agricultures et divers</t>
        </is>
      </c>
      <c r="M1911" t="inlineStr">
        <is>
          <t>N/A</t>
        </is>
      </c>
      <c r="N1911" t="inlineStr">
        <is>
          <t>N/A</t>
        </is>
      </c>
      <c r="O1911" t="inlineStr">
        <is>
          <t>N/A</t>
        </is>
      </c>
      <c r="Q1911" t="inlineStr">
        <is>
          <t>NA</t>
        </is>
      </c>
      <c r="R1911" s="22"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2" t="n">
        <v>5600003.77</v>
      </c>
      <c r="K1912" s="23" t="n">
        <v>44948</v>
      </c>
      <c r="L1912" t="inlineStr">
        <is>
          <t>Capacitation des femme, agricultures et divers</t>
        </is>
      </c>
      <c r="M1912" t="inlineStr">
        <is>
          <t>N/A</t>
        </is>
      </c>
      <c r="N1912" t="inlineStr">
        <is>
          <t>N/A</t>
        </is>
      </c>
      <c r="O1912" t="inlineStr">
        <is>
          <t>N/A</t>
        </is>
      </c>
      <c r="Q1912" t="inlineStr">
        <is>
          <t>NA</t>
        </is>
      </c>
      <c r="R1912" s="22"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2" t="n">
        <v>2232001.61</v>
      </c>
      <c r="K1913" s="23" t="n">
        <v>44948</v>
      </c>
      <c r="L1913" t="inlineStr">
        <is>
          <t>Capacitation des femme, agricultures et divers</t>
        </is>
      </c>
      <c r="M1913" t="inlineStr">
        <is>
          <t>N/A</t>
        </is>
      </c>
      <c r="N1913" t="inlineStr">
        <is>
          <t>N/A</t>
        </is>
      </c>
      <c r="O1913" t="inlineStr">
        <is>
          <t>N/A</t>
        </is>
      </c>
      <c r="Q1913" t="inlineStr">
        <is>
          <t>NA</t>
        </is>
      </c>
      <c r="R1913" s="22"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2" t="n">
        <v>599998.03</v>
      </c>
      <c r="K1914" s="23" t="n">
        <v>44948</v>
      </c>
      <c r="L1914" t="inlineStr">
        <is>
          <t>Capacitation des femme, agricultures et divers</t>
        </is>
      </c>
      <c r="M1914" t="inlineStr">
        <is>
          <t>N/A</t>
        </is>
      </c>
      <c r="N1914" t="inlineStr">
        <is>
          <t>N/A</t>
        </is>
      </c>
      <c r="O1914" t="inlineStr">
        <is>
          <t>N/A</t>
        </is>
      </c>
      <c r="Q1914" t="inlineStr">
        <is>
          <t>NA</t>
        </is>
      </c>
      <c r="R1914" s="22"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2" t="n">
        <v>150002.52</v>
      </c>
      <c r="K1915" s="23" t="n">
        <v>44948</v>
      </c>
      <c r="L1915" t="inlineStr">
        <is>
          <t>Capacitation des femme, agricultures et divers</t>
        </is>
      </c>
      <c r="M1915" t="inlineStr">
        <is>
          <t>N/A</t>
        </is>
      </c>
      <c r="N1915" t="inlineStr">
        <is>
          <t>N/A</t>
        </is>
      </c>
      <c r="O1915" t="inlineStr">
        <is>
          <t>N/A</t>
        </is>
      </c>
      <c r="Q1915" t="inlineStr">
        <is>
          <t>NA</t>
        </is>
      </c>
      <c r="R1915" s="22"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2" t="n">
        <v>599998.03</v>
      </c>
      <c r="K1916" s="23" t="n">
        <v>44948</v>
      </c>
      <c r="L1916" t="inlineStr">
        <is>
          <t>Capacitation des femme, agricultures et divers</t>
        </is>
      </c>
      <c r="M1916" t="inlineStr">
        <is>
          <t>N/A</t>
        </is>
      </c>
      <c r="N1916" t="inlineStr">
        <is>
          <t>N/A</t>
        </is>
      </c>
      <c r="O1916" t="inlineStr">
        <is>
          <t>N/A</t>
        </is>
      </c>
      <c r="Q1916" t="inlineStr">
        <is>
          <t>NA</t>
        </is>
      </c>
      <c r="R1916" s="22"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2" t="n">
        <v>1200002.1</v>
      </c>
      <c r="K1917" s="23" t="n">
        <v>44948</v>
      </c>
      <c r="L1917" t="inlineStr">
        <is>
          <t>Capacitation des femme, agricultures et divers</t>
        </is>
      </c>
      <c r="M1917" t="inlineStr">
        <is>
          <t>N/A</t>
        </is>
      </c>
      <c r="N1917" t="inlineStr">
        <is>
          <t>N/A</t>
        </is>
      </c>
      <c r="O1917" t="inlineStr">
        <is>
          <t>N/A</t>
        </is>
      </c>
      <c r="Q1917" t="inlineStr">
        <is>
          <t>NA</t>
        </is>
      </c>
      <c r="R1917" s="22"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2" t="n">
        <v>4199998.31</v>
      </c>
      <c r="K1918" s="23" t="n">
        <v>44948</v>
      </c>
      <c r="L1918" t="inlineStr">
        <is>
          <t>Capacitation des femme, agricultures et divers</t>
        </is>
      </c>
      <c r="M1918" t="inlineStr">
        <is>
          <t>N/A</t>
        </is>
      </c>
      <c r="N1918" t="inlineStr">
        <is>
          <t>N/A</t>
        </is>
      </c>
      <c r="O1918" t="inlineStr">
        <is>
          <t>N/A</t>
        </is>
      </c>
      <c r="Q1918" t="inlineStr">
        <is>
          <t>NA</t>
        </is>
      </c>
      <c r="R1918" s="22"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2" t="n">
        <v>1800000.13</v>
      </c>
      <c r="K1919" s="23" t="n">
        <v>44948</v>
      </c>
      <c r="L1919" t="inlineStr">
        <is>
          <t>Capacitation des femme, agricultures et divers</t>
        </is>
      </c>
      <c r="M1919" t="inlineStr">
        <is>
          <t>N/A</t>
        </is>
      </c>
      <c r="N1919" t="inlineStr">
        <is>
          <t>N/A</t>
        </is>
      </c>
      <c r="O1919" t="inlineStr">
        <is>
          <t>N/A</t>
        </is>
      </c>
      <c r="Q1919" t="inlineStr">
        <is>
          <t>NA</t>
        </is>
      </c>
      <c r="R1919" s="22"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2" t="n">
        <v>1399999.44</v>
      </c>
      <c r="K1920" s="23" t="n">
        <v>44948</v>
      </c>
      <c r="L1920" t="inlineStr">
        <is>
          <t>Capacitation des femme, agricultures et divers</t>
        </is>
      </c>
      <c r="M1920" t="inlineStr">
        <is>
          <t>N/A</t>
        </is>
      </c>
      <c r="N1920" t="inlineStr">
        <is>
          <t>N/A</t>
        </is>
      </c>
      <c r="O1920" t="inlineStr">
        <is>
          <t>N/A</t>
        </is>
      </c>
      <c r="Q1920" t="inlineStr">
        <is>
          <t>NA</t>
        </is>
      </c>
      <c r="R1920" s="22"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2" t="n">
        <v>599998.03</v>
      </c>
      <c r="K1921" s="23" t="n">
        <v>44948</v>
      </c>
      <c r="L1921" t="inlineStr">
        <is>
          <t>Capacitation des femme, agricultures et divers</t>
        </is>
      </c>
      <c r="M1921" t="inlineStr">
        <is>
          <t>N/A</t>
        </is>
      </c>
      <c r="N1921" t="inlineStr">
        <is>
          <t>N/A</t>
        </is>
      </c>
      <c r="O1921" t="inlineStr">
        <is>
          <t>N/A</t>
        </is>
      </c>
      <c r="Q1921" t="inlineStr">
        <is>
          <t>NA</t>
        </is>
      </c>
      <c r="R1921" s="22"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2" t="n">
        <v>2701425.43</v>
      </c>
      <c r="K1922" s="23" t="n">
        <v>44952</v>
      </c>
      <c r="L1922" t="inlineStr">
        <is>
          <t>Capacitation des femme, agricultures et divers</t>
        </is>
      </c>
      <c r="M1922" t="inlineStr">
        <is>
          <t>N/A</t>
        </is>
      </c>
      <c r="N1922" t="inlineStr">
        <is>
          <t>N/A</t>
        </is>
      </c>
      <c r="O1922" t="inlineStr">
        <is>
          <t>N/A</t>
        </is>
      </c>
      <c r="Q1922" t="inlineStr">
        <is>
          <t>NA</t>
        </is>
      </c>
      <c r="R1922" s="22"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2" t="n">
        <v>1800946.29</v>
      </c>
      <c r="K1923" s="23" t="n">
        <v>44952</v>
      </c>
      <c r="L1923" t="inlineStr">
        <is>
          <t>Capacitation des femme, agricultures et divers</t>
        </is>
      </c>
      <c r="M1923" t="inlineStr">
        <is>
          <t>N/A</t>
        </is>
      </c>
      <c r="N1923" t="inlineStr">
        <is>
          <t>N/A</t>
        </is>
      </c>
      <c r="O1923" t="inlineStr">
        <is>
          <t>N/A</t>
        </is>
      </c>
      <c r="Q1923" t="inlineStr">
        <is>
          <t>NA</t>
        </is>
      </c>
      <c r="R1923" s="22"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2" t="n">
        <v>1800946.28</v>
      </c>
      <c r="K1924" s="23" t="n">
        <v>44952</v>
      </c>
      <c r="L1924" t="inlineStr">
        <is>
          <t>Capacitation des femme, agricultures et divers</t>
        </is>
      </c>
      <c r="M1924" t="inlineStr">
        <is>
          <t>N/A</t>
        </is>
      </c>
      <c r="N1924" t="inlineStr">
        <is>
          <t>N/A</t>
        </is>
      </c>
      <c r="O1924" t="inlineStr">
        <is>
          <t>N/A</t>
        </is>
      </c>
      <c r="Q1924" t="inlineStr">
        <is>
          <t>NA</t>
        </is>
      </c>
      <c r="R1924" s="22"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2" t="n">
        <v>105000</v>
      </c>
      <c r="K1925" s="23" t="n">
        <v>44956</v>
      </c>
      <c r="L1925" t="inlineStr">
        <is>
          <t>Capacitation des femme, agricultures et divers</t>
        </is>
      </c>
      <c r="M1925" t="inlineStr">
        <is>
          <t>N/A</t>
        </is>
      </c>
      <c r="N1925" t="inlineStr">
        <is>
          <t>N/A</t>
        </is>
      </c>
      <c r="O1925" t="inlineStr">
        <is>
          <t>N/A</t>
        </is>
      </c>
      <c r="Q1925" t="inlineStr">
        <is>
          <t>NA</t>
        </is>
      </c>
      <c r="R1925" s="22"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2" t="n">
        <v>95000</v>
      </c>
      <c r="K1926" s="23" t="n">
        <v>44957</v>
      </c>
      <c r="L1926" t="inlineStr">
        <is>
          <t>Santé</t>
        </is>
      </c>
      <c r="M1926" t="inlineStr">
        <is>
          <t>N/A</t>
        </is>
      </c>
      <c r="N1926" t="inlineStr">
        <is>
          <t>N/A</t>
        </is>
      </c>
      <c r="O1926" t="inlineStr">
        <is>
          <t>N/A</t>
        </is>
      </c>
      <c r="Q1926" t="inlineStr">
        <is>
          <t>NA</t>
        </is>
      </c>
      <c r="R1926" s="22"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2" t="n">
        <v>3379345</v>
      </c>
      <c r="K1927" s="23" t="n">
        <v>44957</v>
      </c>
      <c r="L1927" t="inlineStr">
        <is>
          <t>Education</t>
        </is>
      </c>
      <c r="M1927" t="inlineStr">
        <is>
          <t>N/A</t>
        </is>
      </c>
      <c r="N1927" t="inlineStr">
        <is>
          <t>N/A</t>
        </is>
      </c>
      <c r="O1927" t="inlineStr">
        <is>
          <t>N/A</t>
        </is>
      </c>
      <c r="Q1927" t="inlineStr">
        <is>
          <t>NA</t>
        </is>
      </c>
      <c r="R1927" s="22"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2" t="n">
        <v>5638000</v>
      </c>
      <c r="K1928" s="23" t="n">
        <v>44957</v>
      </c>
      <c r="L1928" t="inlineStr">
        <is>
          <t>Education</t>
        </is>
      </c>
      <c r="M1928" t="inlineStr">
        <is>
          <t>N/A</t>
        </is>
      </c>
      <c r="N1928" t="inlineStr">
        <is>
          <t>N/A</t>
        </is>
      </c>
      <c r="O1928" t="inlineStr">
        <is>
          <t>N/A</t>
        </is>
      </c>
      <c r="Q1928" t="inlineStr">
        <is>
          <t>NA</t>
        </is>
      </c>
      <c r="R1928" s="22"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2" t="n">
        <v>1134597</v>
      </c>
      <c r="K1929" s="23" t="n">
        <v>44957</v>
      </c>
      <c r="L1929" t="inlineStr">
        <is>
          <t>Capacitation des femme, agricultures et divers</t>
        </is>
      </c>
      <c r="M1929" t="inlineStr">
        <is>
          <t>N/A</t>
        </is>
      </c>
      <c r="N1929" t="inlineStr">
        <is>
          <t>N/A</t>
        </is>
      </c>
      <c r="O1929" t="inlineStr">
        <is>
          <t>N/A</t>
        </is>
      </c>
      <c r="Q1929" t="inlineStr">
        <is>
          <t>NA</t>
        </is>
      </c>
      <c r="R1929" s="22"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2" t="n">
        <v>150000.02</v>
      </c>
      <c r="K1930" s="23" t="n">
        <v>44957</v>
      </c>
      <c r="L1930" t="inlineStr">
        <is>
          <t>Capacitation des femme, agricultures et divers</t>
        </is>
      </c>
      <c r="M1930" t="inlineStr">
        <is>
          <t>N/A</t>
        </is>
      </c>
      <c r="N1930" t="inlineStr">
        <is>
          <t>N/A</t>
        </is>
      </c>
      <c r="O1930" t="inlineStr">
        <is>
          <t>N/A</t>
        </is>
      </c>
      <c r="Q1930" t="inlineStr">
        <is>
          <t>NA</t>
        </is>
      </c>
      <c r="R1930" s="22"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2" t="n">
        <v>14998.8</v>
      </c>
      <c r="K1931" s="23" t="n">
        <v>44957</v>
      </c>
      <c r="L1931" t="inlineStr">
        <is>
          <t>Capacitation des femme, agricultures et divers</t>
        </is>
      </c>
      <c r="M1931" t="inlineStr">
        <is>
          <t>N/A</t>
        </is>
      </c>
      <c r="N1931" t="inlineStr">
        <is>
          <t>N/A</t>
        </is>
      </c>
      <c r="O1931" t="inlineStr">
        <is>
          <t>N/A</t>
        </is>
      </c>
      <c r="Q1931" t="inlineStr">
        <is>
          <t>NA</t>
        </is>
      </c>
      <c r="R1931" s="22"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2" t="n">
        <v>14250.67</v>
      </c>
      <c r="K1932" s="23" t="n">
        <v>44957</v>
      </c>
      <c r="L1932" t="inlineStr">
        <is>
          <t>Capacitation des femme, agricultures et divers</t>
        </is>
      </c>
      <c r="M1932" t="inlineStr">
        <is>
          <t>N/A</t>
        </is>
      </c>
      <c r="N1932" t="inlineStr">
        <is>
          <t>N/A</t>
        </is>
      </c>
      <c r="O1932" t="inlineStr">
        <is>
          <t>N/A</t>
        </is>
      </c>
      <c r="Q1932" t="inlineStr">
        <is>
          <t>NA</t>
        </is>
      </c>
      <c r="R1932" s="22"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2" t="n">
        <v>225000.03</v>
      </c>
      <c r="K1933" s="23" t="n">
        <v>44957</v>
      </c>
      <c r="L1933" t="inlineStr">
        <is>
          <t>Capacitation des femme, agricultures et divers</t>
        </is>
      </c>
      <c r="M1933" t="inlineStr">
        <is>
          <t>N/A</t>
        </is>
      </c>
      <c r="N1933" t="inlineStr">
        <is>
          <t>N/A</t>
        </is>
      </c>
      <c r="O1933" t="inlineStr">
        <is>
          <t>N/A</t>
        </is>
      </c>
      <c r="Q1933" t="inlineStr">
        <is>
          <t>NA</t>
        </is>
      </c>
      <c r="R1933" s="22"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2" t="n">
        <v>45002.42</v>
      </c>
      <c r="K1934" s="23" t="n">
        <v>44957</v>
      </c>
      <c r="L1934" t="inlineStr">
        <is>
          <t>Capacitation des femme, agricultures et divers</t>
        </is>
      </c>
      <c r="M1934" t="inlineStr">
        <is>
          <t>N/A</t>
        </is>
      </c>
      <c r="N1934" t="inlineStr">
        <is>
          <t>N/A</t>
        </is>
      </c>
      <c r="O1934" t="inlineStr">
        <is>
          <t>N/A</t>
        </is>
      </c>
      <c r="Q1934" t="inlineStr">
        <is>
          <t>NA</t>
        </is>
      </c>
      <c r="R1934" s="22"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2" t="n">
        <v>17997.35</v>
      </c>
      <c r="K1935" s="23" t="n">
        <v>44957</v>
      </c>
      <c r="L1935" t="inlineStr">
        <is>
          <t>Capacitation des femme, agricultures et divers</t>
        </is>
      </c>
      <c r="M1935" t="inlineStr">
        <is>
          <t>N/A</t>
        </is>
      </c>
      <c r="N1935" t="inlineStr">
        <is>
          <t>N/A</t>
        </is>
      </c>
      <c r="O1935" t="inlineStr">
        <is>
          <t>N/A</t>
        </is>
      </c>
      <c r="Q1935" t="inlineStr">
        <is>
          <t>NA</t>
        </is>
      </c>
      <c r="R1935" s="22"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2" t="n">
        <v>9001.690000000001</v>
      </c>
      <c r="K1936" s="23" t="n">
        <v>44957</v>
      </c>
      <c r="L1936" t="inlineStr">
        <is>
          <t>Capacitation des femme, agricultures et divers</t>
        </is>
      </c>
      <c r="M1936" t="inlineStr">
        <is>
          <t>N/A</t>
        </is>
      </c>
      <c r="N1936" t="inlineStr">
        <is>
          <t>N/A</t>
        </is>
      </c>
      <c r="O1936" t="inlineStr">
        <is>
          <t>N/A</t>
        </is>
      </c>
      <c r="Q1936" t="inlineStr">
        <is>
          <t>NA</t>
        </is>
      </c>
      <c r="R1936" s="22"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2" t="n">
        <v>187497</v>
      </c>
      <c r="K1937" s="23" t="n">
        <v>44957</v>
      </c>
      <c r="L1937" t="inlineStr">
        <is>
          <t>Capacitation des femme, agricultures et divers</t>
        </is>
      </c>
      <c r="M1937" t="inlineStr">
        <is>
          <t>N/A</t>
        </is>
      </c>
      <c r="N1937" t="inlineStr">
        <is>
          <t>N/A</t>
        </is>
      </c>
      <c r="O1937" t="inlineStr">
        <is>
          <t>N/A</t>
        </is>
      </c>
      <c r="Q1937" t="inlineStr">
        <is>
          <t>NA</t>
        </is>
      </c>
      <c r="R1937" s="22"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2" t="n">
        <v>100002.02</v>
      </c>
      <c r="K1938" s="23" t="n">
        <v>44957</v>
      </c>
      <c r="L1938" t="inlineStr">
        <is>
          <t>Capacitation des femme, agricultures et divers</t>
        </is>
      </c>
      <c r="M1938" t="inlineStr">
        <is>
          <t>N/A</t>
        </is>
      </c>
      <c r="N1938" t="inlineStr">
        <is>
          <t>N/A</t>
        </is>
      </c>
      <c r="O1938" t="inlineStr">
        <is>
          <t>N/A</t>
        </is>
      </c>
      <c r="Q1938" t="inlineStr">
        <is>
          <t>NA</t>
        </is>
      </c>
      <c r="R1938" s="22"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2" t="n">
        <v>12500000</v>
      </c>
      <c r="K1939" s="23" t="n">
        <v>44964</v>
      </c>
      <c r="L1939" t="inlineStr">
        <is>
          <t>Education</t>
        </is>
      </c>
      <c r="M1939" t="inlineStr">
        <is>
          <t>N/A</t>
        </is>
      </c>
      <c r="N1939" t="inlineStr">
        <is>
          <t>N/A</t>
        </is>
      </c>
      <c r="O1939" t="inlineStr">
        <is>
          <t>N/A</t>
        </is>
      </c>
      <c r="Q1939" t="inlineStr">
        <is>
          <t>NA</t>
        </is>
      </c>
      <c r="R1939" s="22"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2" t="n">
        <v>566116.62</v>
      </c>
      <c r="K1940" s="23" t="n">
        <v>44966</v>
      </c>
      <c r="L1940" t="inlineStr">
        <is>
          <t>Hydraulique</t>
        </is>
      </c>
      <c r="M1940" t="inlineStr">
        <is>
          <t>N/A</t>
        </is>
      </c>
      <c r="N1940" t="inlineStr">
        <is>
          <t>N/A</t>
        </is>
      </c>
      <c r="O1940" t="inlineStr">
        <is>
          <t>N/A</t>
        </is>
      </c>
      <c r="Q1940" t="inlineStr">
        <is>
          <t>NA</t>
        </is>
      </c>
      <c r="R1940" s="22"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2" t="n">
        <v>0.00243072002194822</v>
      </c>
      <c r="K1941" s="23"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2" t="n">
        <v>2425549</v>
      </c>
      <c r="K1942" s="23" t="n">
        <v>44966</v>
      </c>
      <c r="L1942" t="inlineStr">
        <is>
          <t>Capacitation des femme, agricultures et divers</t>
        </is>
      </c>
      <c r="M1942" t="inlineStr">
        <is>
          <t>N/A</t>
        </is>
      </c>
      <c r="N1942" t="inlineStr">
        <is>
          <t>N/A</t>
        </is>
      </c>
      <c r="O1942" t="inlineStr">
        <is>
          <t>N/A</t>
        </is>
      </c>
      <c r="Q1942" t="inlineStr">
        <is>
          <t>NA</t>
        </is>
      </c>
      <c r="R1942" s="22"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2" t="n">
        <v>761.67</v>
      </c>
      <c r="K1943" s="23" t="n">
        <v>44968</v>
      </c>
      <c r="L1943" t="inlineStr">
        <is>
          <t>Capacitation des femme, agricultures et divers</t>
        </is>
      </c>
      <c r="M1943" t="inlineStr">
        <is>
          <t>N/A</t>
        </is>
      </c>
      <c r="N1943" t="inlineStr">
        <is>
          <t>N/A</t>
        </is>
      </c>
      <c r="O1943" t="inlineStr">
        <is>
          <t>N/A</t>
        </is>
      </c>
      <c r="Q1943" t="inlineStr">
        <is>
          <t>NA</t>
        </is>
      </c>
      <c r="R1943" s="22"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2" t="n">
        <v>25319.29</v>
      </c>
      <c r="K1944" s="23" t="n">
        <v>44968</v>
      </c>
      <c r="L1944" t="inlineStr">
        <is>
          <t>Capacitation des femme, agricultures et divers</t>
        </is>
      </c>
      <c r="M1944" t="inlineStr">
        <is>
          <t>N/A</t>
        </is>
      </c>
      <c r="N1944" t="inlineStr">
        <is>
          <t>N/A</t>
        </is>
      </c>
      <c r="O1944" t="inlineStr">
        <is>
          <t>N/A</t>
        </is>
      </c>
      <c r="Q1944" t="inlineStr">
        <is>
          <t>NA</t>
        </is>
      </c>
      <c r="R1944" s="22"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2" t="n">
        <v>374.69</v>
      </c>
      <c r="K1945" s="23" t="n">
        <v>44968</v>
      </c>
      <c r="L1945" t="inlineStr">
        <is>
          <t>Capacitation des femme, agricultures et divers</t>
        </is>
      </c>
      <c r="M1945" t="inlineStr">
        <is>
          <t>N/A</t>
        </is>
      </c>
      <c r="N1945" t="inlineStr">
        <is>
          <t>N/A</t>
        </is>
      </c>
      <c r="O1945" t="inlineStr">
        <is>
          <t>N/A</t>
        </is>
      </c>
      <c r="Q1945" t="inlineStr">
        <is>
          <t>NA</t>
        </is>
      </c>
      <c r="R1945" s="22"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2" t="n">
        <v>792.38</v>
      </c>
      <c r="K1946" s="23" t="n">
        <v>44968</v>
      </c>
      <c r="L1946" t="inlineStr">
        <is>
          <t>Capacitation des femme, agricultures et divers</t>
        </is>
      </c>
      <c r="M1946" t="inlineStr">
        <is>
          <t>N/A</t>
        </is>
      </c>
      <c r="N1946" t="inlineStr">
        <is>
          <t>N/A</t>
        </is>
      </c>
      <c r="O1946" t="inlineStr">
        <is>
          <t>N/A</t>
        </is>
      </c>
      <c r="Q1946" t="inlineStr">
        <is>
          <t>NA</t>
        </is>
      </c>
      <c r="R1946" s="22"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2" t="n">
        <v>374.69</v>
      </c>
      <c r="K1947" s="23" t="n">
        <v>44968</v>
      </c>
      <c r="L1947" t="inlineStr">
        <is>
          <t>Capacitation des femme, agricultures et divers</t>
        </is>
      </c>
      <c r="M1947" t="inlineStr">
        <is>
          <t>N/A</t>
        </is>
      </c>
      <c r="N1947" t="inlineStr">
        <is>
          <t>N/A</t>
        </is>
      </c>
      <c r="O1947" t="inlineStr">
        <is>
          <t>N/A</t>
        </is>
      </c>
      <c r="Q1947" t="inlineStr">
        <is>
          <t>NA</t>
        </is>
      </c>
      <c r="R1947" s="22"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2" t="n">
        <v>12831.63</v>
      </c>
      <c r="K1948" s="23" t="n">
        <v>44968</v>
      </c>
      <c r="L1948" t="inlineStr">
        <is>
          <t>Capacitation des femme, agricultures et divers</t>
        </is>
      </c>
      <c r="M1948" t="inlineStr">
        <is>
          <t>N/A</t>
        </is>
      </c>
      <c r="N1948" t="inlineStr">
        <is>
          <t>N/A</t>
        </is>
      </c>
      <c r="O1948" t="inlineStr">
        <is>
          <t>N/A</t>
        </is>
      </c>
      <c r="Q1948" t="inlineStr">
        <is>
          <t>NA</t>
        </is>
      </c>
      <c r="R1948" s="22"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2" t="n">
        <v>5589.65</v>
      </c>
      <c r="K1949" s="23" t="n">
        <v>44968</v>
      </c>
      <c r="L1949" t="inlineStr">
        <is>
          <t>Capacitation des femme, agricultures et divers</t>
        </is>
      </c>
      <c r="M1949" t="inlineStr">
        <is>
          <t>N/A</t>
        </is>
      </c>
      <c r="N1949" t="inlineStr">
        <is>
          <t>N/A</t>
        </is>
      </c>
      <c r="O1949" t="inlineStr">
        <is>
          <t>N/A</t>
        </is>
      </c>
      <c r="Q1949" t="inlineStr">
        <is>
          <t>NA</t>
        </is>
      </c>
      <c r="R1949" s="22"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2" t="n">
        <v>6707.58</v>
      </c>
      <c r="K1950" s="23" t="n">
        <v>44968</v>
      </c>
      <c r="L1950" t="inlineStr">
        <is>
          <t>Capacitation des femme, agricultures et divers</t>
        </is>
      </c>
      <c r="M1950" t="inlineStr">
        <is>
          <t>N/A</t>
        </is>
      </c>
      <c r="N1950" t="inlineStr">
        <is>
          <t>N/A</t>
        </is>
      </c>
      <c r="O1950" t="inlineStr">
        <is>
          <t>N/A</t>
        </is>
      </c>
      <c r="Q1950" t="inlineStr">
        <is>
          <t>NA</t>
        </is>
      </c>
      <c r="R1950" s="22"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2" t="n">
        <v>815825.23</v>
      </c>
      <c r="K1951" s="23" t="n">
        <v>44968</v>
      </c>
      <c r="L1951" t="inlineStr">
        <is>
          <t>Capacitation des femme, agricultures et divers</t>
        </is>
      </c>
      <c r="M1951" t="inlineStr">
        <is>
          <t>N/A</t>
        </is>
      </c>
      <c r="N1951" t="inlineStr">
        <is>
          <t>N/A</t>
        </is>
      </c>
      <c r="O1951" t="inlineStr">
        <is>
          <t>N/A</t>
        </is>
      </c>
      <c r="Q1951" t="inlineStr">
        <is>
          <t>NA</t>
        </is>
      </c>
      <c r="R1951" s="22"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2" t="n">
        <v>71627.41</v>
      </c>
      <c r="K1952" s="23" t="n">
        <v>44968</v>
      </c>
      <c r="L1952" t="inlineStr">
        <is>
          <t>Capacitation des femme, agricultures et divers</t>
        </is>
      </c>
      <c r="M1952" t="inlineStr">
        <is>
          <t>N/A</t>
        </is>
      </c>
      <c r="N1952" t="inlineStr">
        <is>
          <t>N/A</t>
        </is>
      </c>
      <c r="O1952" t="inlineStr">
        <is>
          <t>N/A</t>
        </is>
      </c>
      <c r="Q1952" t="inlineStr">
        <is>
          <t>NA</t>
        </is>
      </c>
      <c r="R1952" s="22"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2" t="n">
        <v>372528.88</v>
      </c>
      <c r="K1953" s="23" t="n">
        <v>44968</v>
      </c>
      <c r="L1953" t="inlineStr">
        <is>
          <t>Capacitation des femme, agricultures et divers</t>
        </is>
      </c>
      <c r="M1953" t="inlineStr">
        <is>
          <t>N/A</t>
        </is>
      </c>
      <c r="N1953" t="inlineStr">
        <is>
          <t>N/A</t>
        </is>
      </c>
      <c r="O1953" t="inlineStr">
        <is>
          <t>N/A</t>
        </is>
      </c>
      <c r="Q1953" t="inlineStr">
        <is>
          <t>NA</t>
        </is>
      </c>
      <c r="R1953" s="22"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2" t="n">
        <v>40706.19</v>
      </c>
      <c r="K1954" s="23" t="n">
        <v>44968</v>
      </c>
      <c r="L1954" t="inlineStr">
        <is>
          <t>Capacitation des femme, agricultures et divers</t>
        </is>
      </c>
      <c r="M1954" t="inlineStr">
        <is>
          <t>N/A</t>
        </is>
      </c>
      <c r="N1954" t="inlineStr">
        <is>
          <t>N/A</t>
        </is>
      </c>
      <c r="O1954" t="inlineStr">
        <is>
          <t>N/A</t>
        </is>
      </c>
      <c r="Q1954" t="inlineStr">
        <is>
          <t>NA</t>
        </is>
      </c>
      <c r="R1954" s="22"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2" t="n">
        <v>17622.76</v>
      </c>
      <c r="K1955" s="23" t="n">
        <v>44968</v>
      </c>
      <c r="L1955" t="inlineStr">
        <is>
          <t>Capacitation des femme, agricultures et divers</t>
        </is>
      </c>
      <c r="M1955" t="inlineStr">
        <is>
          <t>N/A</t>
        </is>
      </c>
      <c r="N1955" t="inlineStr">
        <is>
          <t>N/A</t>
        </is>
      </c>
      <c r="O1955" t="inlineStr">
        <is>
          <t>N/A</t>
        </is>
      </c>
      <c r="Q1955" t="inlineStr">
        <is>
          <t>NA</t>
        </is>
      </c>
      <c r="R1955" s="22"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2" t="n">
        <v>8132.64</v>
      </c>
      <c r="K1956" s="23" t="n">
        <v>44968</v>
      </c>
      <c r="L1956" t="inlineStr">
        <is>
          <t>Capacitation des femme, agricultures et divers</t>
        </is>
      </c>
      <c r="M1956" t="inlineStr">
        <is>
          <t>N/A</t>
        </is>
      </c>
      <c r="N1956" t="inlineStr">
        <is>
          <t>N/A</t>
        </is>
      </c>
      <c r="O1956" t="inlineStr">
        <is>
          <t>N/A</t>
        </is>
      </c>
      <c r="Q1956" t="inlineStr">
        <is>
          <t>NA</t>
        </is>
      </c>
      <c r="R1956" s="22"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2" t="n">
        <v>2432.42</v>
      </c>
      <c r="K1957" s="23" t="n">
        <v>44968</v>
      </c>
      <c r="L1957" t="inlineStr">
        <is>
          <t>Capacitation des femme, agricultures et divers</t>
        </is>
      </c>
      <c r="M1957" t="inlineStr">
        <is>
          <t>N/A</t>
        </is>
      </c>
      <c r="N1957" t="inlineStr">
        <is>
          <t>N/A</t>
        </is>
      </c>
      <c r="O1957" t="inlineStr">
        <is>
          <t>N/A</t>
        </is>
      </c>
      <c r="Q1957" t="inlineStr">
        <is>
          <t>NA</t>
        </is>
      </c>
      <c r="R1957" s="22"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2" t="n">
        <v>125890.05</v>
      </c>
      <c r="K1958" s="23" t="n">
        <v>44968</v>
      </c>
      <c r="L1958" t="inlineStr">
        <is>
          <t>Capacitation des femme, agricultures et divers</t>
        </is>
      </c>
      <c r="M1958" t="inlineStr">
        <is>
          <t>N/A</t>
        </is>
      </c>
      <c r="N1958" t="inlineStr">
        <is>
          <t>N/A</t>
        </is>
      </c>
      <c r="O1958" t="inlineStr">
        <is>
          <t>N/A</t>
        </is>
      </c>
      <c r="Q1958" t="inlineStr">
        <is>
          <t>NA</t>
        </is>
      </c>
      <c r="R1958" s="22"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2" t="n">
        <v>42346.23</v>
      </c>
      <c r="K1959" s="23" t="n">
        <v>44968</v>
      </c>
      <c r="L1959" t="inlineStr">
        <is>
          <t>Capacitation des femme, agricultures et divers</t>
        </is>
      </c>
      <c r="M1959" t="inlineStr">
        <is>
          <t>N/A</t>
        </is>
      </c>
      <c r="N1959" t="inlineStr">
        <is>
          <t>N/A</t>
        </is>
      </c>
      <c r="O1959" t="inlineStr">
        <is>
          <t>N/A</t>
        </is>
      </c>
      <c r="Q1959" t="inlineStr">
        <is>
          <t>NA</t>
        </is>
      </c>
      <c r="R1959" s="22"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2" t="n">
        <v>5712.5</v>
      </c>
      <c r="K1960" s="23" t="n">
        <v>44968</v>
      </c>
      <c r="L1960" t="inlineStr">
        <is>
          <t>Capacitation des femme, agricultures et divers</t>
        </is>
      </c>
      <c r="M1960" t="inlineStr">
        <is>
          <t>N/A</t>
        </is>
      </c>
      <c r="N1960" t="inlineStr">
        <is>
          <t>N/A</t>
        </is>
      </c>
      <c r="O1960" t="inlineStr">
        <is>
          <t>N/A</t>
        </is>
      </c>
      <c r="Q1960" t="inlineStr">
        <is>
          <t>NA</t>
        </is>
      </c>
      <c r="R1960" s="22"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2" t="n">
        <v>369746.34</v>
      </c>
      <c r="K1961" s="23" t="n">
        <v>44968</v>
      </c>
      <c r="L1961" t="inlineStr">
        <is>
          <t>Capacitation des femme, agricultures et divers</t>
        </is>
      </c>
      <c r="M1961" t="inlineStr">
        <is>
          <t>N/A</t>
        </is>
      </c>
      <c r="N1961" t="inlineStr">
        <is>
          <t>N/A</t>
        </is>
      </c>
      <c r="O1961" t="inlineStr">
        <is>
          <t>N/A</t>
        </is>
      </c>
      <c r="Q1961" t="inlineStr">
        <is>
          <t>NA</t>
        </is>
      </c>
      <c r="R1961" s="22"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2" t="n">
        <v>29047.77</v>
      </c>
      <c r="K1962" s="23" t="n">
        <v>44968</v>
      </c>
      <c r="L1962" t="inlineStr">
        <is>
          <t>Capacitation des femme, agricultures et divers</t>
        </is>
      </c>
      <c r="M1962" t="inlineStr">
        <is>
          <t>N/A</t>
        </is>
      </c>
      <c r="N1962" t="inlineStr">
        <is>
          <t>N/A</t>
        </is>
      </c>
      <c r="O1962" t="inlineStr">
        <is>
          <t>N/A</t>
        </is>
      </c>
      <c r="Q1962" t="inlineStr">
        <is>
          <t>NA</t>
        </is>
      </c>
      <c r="R1962" s="22"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2" t="n">
        <v>311896.5</v>
      </c>
      <c r="K1963" s="23" t="n">
        <v>44968</v>
      </c>
      <c r="L1963" t="inlineStr">
        <is>
          <t>Capacitation des femme, agricultures et divers</t>
        </is>
      </c>
      <c r="M1963" t="inlineStr">
        <is>
          <t>N/A</t>
        </is>
      </c>
      <c r="N1963" t="inlineStr">
        <is>
          <t>N/A</t>
        </is>
      </c>
      <c r="O1963" t="inlineStr">
        <is>
          <t>N/A</t>
        </is>
      </c>
      <c r="Q1963" t="inlineStr">
        <is>
          <t>NA</t>
        </is>
      </c>
      <c r="R1963" s="22"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2" t="n">
        <v>356030.19</v>
      </c>
      <c r="K1964" s="23" t="n">
        <v>44968</v>
      </c>
      <c r="L1964" t="inlineStr">
        <is>
          <t>Capacitation des femme, agricultures et divers</t>
        </is>
      </c>
      <c r="M1964" t="inlineStr">
        <is>
          <t>N/A</t>
        </is>
      </c>
      <c r="N1964" t="inlineStr">
        <is>
          <t>N/A</t>
        </is>
      </c>
      <c r="O1964" t="inlineStr">
        <is>
          <t>N/A</t>
        </is>
      </c>
      <c r="Q1964" t="inlineStr">
        <is>
          <t>NA</t>
        </is>
      </c>
      <c r="R1964" s="22"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2" t="n">
        <v>218868.7</v>
      </c>
      <c r="K1965" s="23" t="n">
        <v>44968</v>
      </c>
      <c r="L1965" t="inlineStr">
        <is>
          <t>Capacitation des femme, agricultures et divers</t>
        </is>
      </c>
      <c r="M1965" t="inlineStr">
        <is>
          <t>N/A</t>
        </is>
      </c>
      <c r="N1965" t="inlineStr">
        <is>
          <t>N/A</t>
        </is>
      </c>
      <c r="O1965" t="inlineStr">
        <is>
          <t>N/A</t>
        </is>
      </c>
      <c r="Q1965" t="inlineStr">
        <is>
          <t>NA</t>
        </is>
      </c>
      <c r="R1965" s="22"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2" t="n">
        <v>6216.19</v>
      </c>
      <c r="K1966" s="23" t="n">
        <v>44968</v>
      </c>
      <c r="L1966" t="inlineStr">
        <is>
          <t>Capacitation des femme, agricultures et divers</t>
        </is>
      </c>
      <c r="M1966" t="inlineStr">
        <is>
          <t>N/A</t>
        </is>
      </c>
      <c r="N1966" t="inlineStr">
        <is>
          <t>N/A</t>
        </is>
      </c>
      <c r="O1966" t="inlineStr">
        <is>
          <t>N/A</t>
        </is>
      </c>
      <c r="Q1966" t="inlineStr">
        <is>
          <t>NA</t>
        </is>
      </c>
      <c r="R1966" s="22"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2" t="n">
        <v>195607.15</v>
      </c>
      <c r="K1967" s="23" t="n">
        <v>44968</v>
      </c>
      <c r="L1967" t="inlineStr">
        <is>
          <t>Capacitation des femme, agricultures et divers</t>
        </is>
      </c>
      <c r="M1967" t="inlineStr">
        <is>
          <t>N/A</t>
        </is>
      </c>
      <c r="N1967" t="inlineStr">
        <is>
          <t>N/A</t>
        </is>
      </c>
      <c r="O1967" t="inlineStr">
        <is>
          <t>N/A</t>
        </is>
      </c>
      <c r="Q1967" t="inlineStr">
        <is>
          <t>NA</t>
        </is>
      </c>
      <c r="R1967" s="22"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2" t="n">
        <v>12002.4</v>
      </c>
      <c r="K1968" s="23" t="n">
        <v>44968</v>
      </c>
      <c r="L1968" t="inlineStr">
        <is>
          <t>Capacitation des femme, agricultures et divers</t>
        </is>
      </c>
      <c r="M1968" t="inlineStr">
        <is>
          <t>N/A</t>
        </is>
      </c>
      <c r="N1968" t="inlineStr">
        <is>
          <t>N/A</t>
        </is>
      </c>
      <c r="O1968" t="inlineStr">
        <is>
          <t>N/A</t>
        </is>
      </c>
      <c r="Q1968" t="inlineStr">
        <is>
          <t>NA</t>
        </is>
      </c>
      <c r="R1968" s="22"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2" t="n">
        <v>55589.41</v>
      </c>
      <c r="K1969" s="23" t="n">
        <v>44968</v>
      </c>
      <c r="L1969" t="inlineStr">
        <is>
          <t>Capacitation des femme, agricultures et divers</t>
        </is>
      </c>
      <c r="M1969" t="inlineStr">
        <is>
          <t>N/A</t>
        </is>
      </c>
      <c r="N1969" t="inlineStr">
        <is>
          <t>N/A</t>
        </is>
      </c>
      <c r="O1969" t="inlineStr">
        <is>
          <t>N/A</t>
        </is>
      </c>
      <c r="Q1969" t="inlineStr">
        <is>
          <t>NA</t>
        </is>
      </c>
      <c r="R1969" s="22"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2" t="n">
        <v>27849.99</v>
      </c>
      <c r="K1970" s="23" t="n">
        <v>44968</v>
      </c>
      <c r="L1970" t="inlineStr">
        <is>
          <t>Capacitation des femme, agricultures et divers</t>
        </is>
      </c>
      <c r="M1970" t="inlineStr">
        <is>
          <t>N/A</t>
        </is>
      </c>
      <c r="N1970" t="inlineStr">
        <is>
          <t>N/A</t>
        </is>
      </c>
      <c r="O1970" t="inlineStr">
        <is>
          <t>N/A</t>
        </is>
      </c>
      <c r="Q1970" t="inlineStr">
        <is>
          <t>NA</t>
        </is>
      </c>
      <c r="R1970" s="22"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2" t="n">
        <v>27794.7</v>
      </c>
      <c r="K1971" s="23" t="n">
        <v>44968</v>
      </c>
      <c r="L1971" t="inlineStr">
        <is>
          <t>Capacitation des femme, agricultures et divers</t>
        </is>
      </c>
      <c r="M1971" t="inlineStr">
        <is>
          <t>N/A</t>
        </is>
      </c>
      <c r="N1971" t="inlineStr">
        <is>
          <t>N/A</t>
        </is>
      </c>
      <c r="O1971" t="inlineStr">
        <is>
          <t>N/A</t>
        </is>
      </c>
      <c r="Q1971" t="inlineStr">
        <is>
          <t>NA</t>
        </is>
      </c>
      <c r="R1971" s="22"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2" t="n">
        <v>13924.99</v>
      </c>
      <c r="K1972" s="23" t="n">
        <v>44968</v>
      </c>
      <c r="L1972" t="inlineStr">
        <is>
          <t>Capacitation des femme, agricultures et divers</t>
        </is>
      </c>
      <c r="M1972" t="inlineStr">
        <is>
          <t>N/A</t>
        </is>
      </c>
      <c r="N1972" t="inlineStr">
        <is>
          <t>N/A</t>
        </is>
      </c>
      <c r="O1972" t="inlineStr">
        <is>
          <t>N/A</t>
        </is>
      </c>
      <c r="Q1972" t="inlineStr">
        <is>
          <t>NA</t>
        </is>
      </c>
      <c r="R1972" s="22"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2" t="n">
        <v>404334.63</v>
      </c>
      <c r="K1973" s="23" t="n">
        <v>44968</v>
      </c>
      <c r="L1973" t="inlineStr">
        <is>
          <t>Capacitation des femme, agricultures et divers</t>
        </is>
      </c>
      <c r="M1973" t="inlineStr">
        <is>
          <t>N/A</t>
        </is>
      </c>
      <c r="N1973" t="inlineStr">
        <is>
          <t>N/A</t>
        </is>
      </c>
      <c r="O1973" t="inlineStr">
        <is>
          <t>N/A</t>
        </is>
      </c>
      <c r="Q1973" t="inlineStr">
        <is>
          <t>NA</t>
        </is>
      </c>
      <c r="R1973" s="22"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2" t="n">
        <v>166983.21</v>
      </c>
      <c r="K1974" s="23" t="n">
        <v>44968</v>
      </c>
      <c r="L1974" t="inlineStr">
        <is>
          <t>Capacitation des femme, agricultures et divers</t>
        </is>
      </c>
      <c r="M1974" t="inlineStr">
        <is>
          <t>N/A</t>
        </is>
      </c>
      <c r="N1974" t="inlineStr">
        <is>
          <t>N/A</t>
        </is>
      </c>
      <c r="O1974" t="inlineStr">
        <is>
          <t>N/A</t>
        </is>
      </c>
      <c r="Q1974" t="inlineStr">
        <is>
          <t>NA</t>
        </is>
      </c>
      <c r="R1974" s="22"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2" t="n">
        <v>208475.64</v>
      </c>
      <c r="K1975" s="23" t="n">
        <v>44968</v>
      </c>
      <c r="L1975" t="inlineStr">
        <is>
          <t>Capacitation des femme, agricultures et divers</t>
        </is>
      </c>
      <c r="M1975" t="inlineStr">
        <is>
          <t>N/A</t>
        </is>
      </c>
      <c r="N1975" t="inlineStr">
        <is>
          <t>N/A</t>
        </is>
      </c>
      <c r="O1975" t="inlineStr">
        <is>
          <t>N/A</t>
        </is>
      </c>
      <c r="Q1975" t="inlineStr">
        <is>
          <t>NA</t>
        </is>
      </c>
      <c r="R1975" s="22"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2" t="n">
        <v>14993.78</v>
      </c>
      <c r="K1976" s="23" t="n">
        <v>44968</v>
      </c>
      <c r="L1976" t="inlineStr">
        <is>
          <t>Capacitation des femme, agricultures et divers</t>
        </is>
      </c>
      <c r="M1976" t="inlineStr">
        <is>
          <t>N/A</t>
        </is>
      </c>
      <c r="N1976" t="inlineStr">
        <is>
          <t>N/A</t>
        </is>
      </c>
      <c r="O1976" t="inlineStr">
        <is>
          <t>N/A</t>
        </is>
      </c>
      <c r="Q1976" t="inlineStr">
        <is>
          <t>NA</t>
        </is>
      </c>
      <c r="R1976" s="22"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2" t="n">
        <v>38132.49</v>
      </c>
      <c r="K1977" s="23" t="n">
        <v>44968</v>
      </c>
      <c r="L1977" t="inlineStr">
        <is>
          <t>Capacitation des femme, agricultures et divers</t>
        </is>
      </c>
      <c r="M1977" t="inlineStr">
        <is>
          <t>N/A</t>
        </is>
      </c>
      <c r="N1977" t="inlineStr">
        <is>
          <t>N/A</t>
        </is>
      </c>
      <c r="O1977" t="inlineStr">
        <is>
          <t>N/A</t>
        </is>
      </c>
      <c r="Q1977" t="inlineStr">
        <is>
          <t>NA</t>
        </is>
      </c>
      <c r="R1977" s="22"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2" t="n">
        <v>206037.07</v>
      </c>
      <c r="K1978" s="23" t="n">
        <v>44968</v>
      </c>
      <c r="L1978" t="inlineStr">
        <is>
          <t>Capacitation des femme, agricultures et divers</t>
        </is>
      </c>
      <c r="M1978" t="inlineStr">
        <is>
          <t>N/A</t>
        </is>
      </c>
      <c r="N1978" t="inlineStr">
        <is>
          <t>N/A</t>
        </is>
      </c>
      <c r="O1978" t="inlineStr">
        <is>
          <t>N/A</t>
        </is>
      </c>
      <c r="Q1978" t="inlineStr">
        <is>
          <t>NA</t>
        </is>
      </c>
      <c r="R1978" s="22"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2" t="n">
        <v>61836.31</v>
      </c>
      <c r="K1979" s="23" t="n">
        <v>44968</v>
      </c>
      <c r="L1979" t="inlineStr">
        <is>
          <t>Capacitation des femme, agricultures et divers</t>
        </is>
      </c>
      <c r="M1979" t="inlineStr">
        <is>
          <t>N/A</t>
        </is>
      </c>
      <c r="N1979" t="inlineStr">
        <is>
          <t>N/A</t>
        </is>
      </c>
      <c r="O1979" t="inlineStr">
        <is>
          <t>N/A</t>
        </is>
      </c>
      <c r="Q1979" t="inlineStr">
        <is>
          <t>NA</t>
        </is>
      </c>
      <c r="R1979" s="22"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2" t="n">
        <v>3310.79</v>
      </c>
      <c r="K1980" s="23" t="n">
        <v>44968</v>
      </c>
      <c r="L1980" t="inlineStr">
        <is>
          <t>Capacitation des femme, agricultures et divers</t>
        </is>
      </c>
      <c r="M1980" t="inlineStr">
        <is>
          <t>N/A</t>
        </is>
      </c>
      <c r="N1980" t="inlineStr">
        <is>
          <t>N/A</t>
        </is>
      </c>
      <c r="O1980" t="inlineStr">
        <is>
          <t>N/A</t>
        </is>
      </c>
      <c r="Q1980" t="inlineStr">
        <is>
          <t>NA</t>
        </is>
      </c>
      <c r="R1980" s="22"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2" t="n">
        <v>72198.66</v>
      </c>
      <c r="K1981" s="23" t="n">
        <v>44968</v>
      </c>
      <c r="L1981" t="inlineStr">
        <is>
          <t>Capacitation des femme, agricultures et divers</t>
        </is>
      </c>
      <c r="M1981" t="inlineStr">
        <is>
          <t>N/A</t>
        </is>
      </c>
      <c r="N1981" t="inlineStr">
        <is>
          <t>N/A</t>
        </is>
      </c>
      <c r="O1981" t="inlineStr">
        <is>
          <t>N/A</t>
        </is>
      </c>
      <c r="Q1981" t="inlineStr">
        <is>
          <t>NA</t>
        </is>
      </c>
      <c r="R1981" s="22"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2" t="n">
        <v>279279.96</v>
      </c>
      <c r="K1982" s="23" t="n">
        <v>44968</v>
      </c>
      <c r="L1982" t="inlineStr">
        <is>
          <t>Capacitation des femme, agricultures et divers</t>
        </is>
      </c>
      <c r="M1982" t="inlineStr">
        <is>
          <t>N/A</t>
        </is>
      </c>
      <c r="N1982" t="inlineStr">
        <is>
          <t>N/A</t>
        </is>
      </c>
      <c r="O1982" t="inlineStr">
        <is>
          <t>N/A</t>
        </is>
      </c>
      <c r="Q1982" t="inlineStr">
        <is>
          <t>NA</t>
        </is>
      </c>
      <c r="R1982" s="22"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2" t="n">
        <v>6885.72</v>
      </c>
      <c r="K1983" s="23" t="n">
        <v>44968</v>
      </c>
      <c r="L1983" t="inlineStr">
        <is>
          <t>Capacitation des femme, agricultures et divers</t>
        </is>
      </c>
      <c r="M1983" t="inlineStr">
        <is>
          <t>N/A</t>
        </is>
      </c>
      <c r="N1983" t="inlineStr">
        <is>
          <t>N/A</t>
        </is>
      </c>
      <c r="O1983" t="inlineStr">
        <is>
          <t>N/A</t>
        </is>
      </c>
      <c r="Q1983" t="inlineStr">
        <is>
          <t>NA</t>
        </is>
      </c>
      <c r="R1983" s="22"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2" t="n">
        <v>251577.39</v>
      </c>
      <c r="K1984" s="23" t="n">
        <v>44968</v>
      </c>
      <c r="L1984" t="inlineStr">
        <is>
          <t>Capacitation des femme, agricultures et divers</t>
        </is>
      </c>
      <c r="M1984" t="inlineStr">
        <is>
          <t>N/A</t>
        </is>
      </c>
      <c r="N1984" t="inlineStr">
        <is>
          <t>N/A</t>
        </is>
      </c>
      <c r="O1984" t="inlineStr">
        <is>
          <t>N/A</t>
        </is>
      </c>
      <c r="Q1984" t="inlineStr">
        <is>
          <t>NA</t>
        </is>
      </c>
      <c r="R1984" s="22"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2" t="n">
        <v>67131.12</v>
      </c>
      <c r="K1985" s="23" t="n">
        <v>44968</v>
      </c>
      <c r="L1985" t="inlineStr">
        <is>
          <t>Capacitation des femme, agricultures et divers</t>
        </is>
      </c>
      <c r="M1985" t="inlineStr">
        <is>
          <t>N/A</t>
        </is>
      </c>
      <c r="N1985" t="inlineStr">
        <is>
          <t>N/A</t>
        </is>
      </c>
      <c r="O1985" t="inlineStr">
        <is>
          <t>N/A</t>
        </is>
      </c>
      <c r="Q1985" t="inlineStr">
        <is>
          <t>NA</t>
        </is>
      </c>
      <c r="R1985" s="22"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2" t="n">
        <v>67131.12</v>
      </c>
      <c r="K1986" s="23" t="n">
        <v>44968</v>
      </c>
      <c r="L1986" t="inlineStr">
        <is>
          <t>Capacitation des femme, agricultures et divers</t>
        </is>
      </c>
      <c r="M1986" t="inlineStr">
        <is>
          <t>N/A</t>
        </is>
      </c>
      <c r="N1986" t="inlineStr">
        <is>
          <t>N/A</t>
        </is>
      </c>
      <c r="O1986" t="inlineStr">
        <is>
          <t>N/A</t>
        </is>
      </c>
      <c r="Q1986" t="inlineStr">
        <is>
          <t>NA</t>
        </is>
      </c>
      <c r="R1986" s="22"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2" t="n">
        <v>64139.73</v>
      </c>
      <c r="K1987" s="23" t="n">
        <v>44968</v>
      </c>
      <c r="L1987" t="inlineStr">
        <is>
          <t>Capacitation des femme, agricultures et divers</t>
        </is>
      </c>
      <c r="M1987" t="inlineStr">
        <is>
          <t>N/A</t>
        </is>
      </c>
      <c r="N1987" t="inlineStr">
        <is>
          <t>N/A</t>
        </is>
      </c>
      <c r="O1987" t="inlineStr">
        <is>
          <t>N/A</t>
        </is>
      </c>
      <c r="Q1987" t="inlineStr">
        <is>
          <t>NA</t>
        </is>
      </c>
      <c r="R1987" s="22"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2" t="n">
        <v>29404.03</v>
      </c>
      <c r="K1988" s="23" t="n">
        <v>44968</v>
      </c>
      <c r="L1988" t="inlineStr">
        <is>
          <t>Capacitation des femme, agricultures et divers</t>
        </is>
      </c>
      <c r="M1988" t="inlineStr">
        <is>
          <t>N/A</t>
        </is>
      </c>
      <c r="N1988" t="inlineStr">
        <is>
          <t>N/A</t>
        </is>
      </c>
      <c r="O1988" t="inlineStr">
        <is>
          <t>N/A</t>
        </is>
      </c>
      <c r="Q1988" t="inlineStr">
        <is>
          <t>NA</t>
        </is>
      </c>
      <c r="R1988" s="22"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2" t="n">
        <v>26904.04</v>
      </c>
      <c r="K1989" s="23" t="n">
        <v>44968</v>
      </c>
      <c r="L1989" t="inlineStr">
        <is>
          <t>Capacitation des femme, agricultures et divers</t>
        </is>
      </c>
      <c r="M1989" t="inlineStr">
        <is>
          <t>N/A</t>
        </is>
      </c>
      <c r="N1989" t="inlineStr">
        <is>
          <t>N/A</t>
        </is>
      </c>
      <c r="O1989" t="inlineStr">
        <is>
          <t>N/A</t>
        </is>
      </c>
      <c r="Q1989" t="inlineStr">
        <is>
          <t>NA</t>
        </is>
      </c>
      <c r="R1989" s="22"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2" t="n">
        <v>41308.15</v>
      </c>
      <c r="K1990" s="23" t="n">
        <v>44968</v>
      </c>
      <c r="L1990" t="inlineStr">
        <is>
          <t>Capacitation des femme, agricultures et divers</t>
        </is>
      </c>
      <c r="M1990" t="inlineStr">
        <is>
          <t>N/A</t>
        </is>
      </c>
      <c r="N1990" t="inlineStr">
        <is>
          <t>N/A</t>
        </is>
      </c>
      <c r="O1990" t="inlineStr">
        <is>
          <t>N/A</t>
        </is>
      </c>
      <c r="Q1990" t="inlineStr">
        <is>
          <t>NA</t>
        </is>
      </c>
      <c r="R1990" s="22"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2" t="n">
        <v>7708.81</v>
      </c>
      <c r="K1991" s="23" t="n">
        <v>44968</v>
      </c>
      <c r="L1991" t="inlineStr">
        <is>
          <t>Capacitation des femme, agricultures et divers</t>
        </is>
      </c>
      <c r="M1991" t="inlineStr">
        <is>
          <t>N/A</t>
        </is>
      </c>
      <c r="N1991" t="inlineStr">
        <is>
          <t>N/A</t>
        </is>
      </c>
      <c r="O1991" t="inlineStr">
        <is>
          <t>N/A</t>
        </is>
      </c>
      <c r="Q1991" t="inlineStr">
        <is>
          <t>NA</t>
        </is>
      </c>
      <c r="R1991" s="22"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2" t="n">
        <v>233561.51</v>
      </c>
      <c r="K1992" s="23" t="n">
        <v>44968</v>
      </c>
      <c r="L1992" t="inlineStr">
        <is>
          <t>Capacitation des femme, agricultures et divers</t>
        </is>
      </c>
      <c r="M1992" t="inlineStr">
        <is>
          <t>N/A</t>
        </is>
      </c>
      <c r="N1992" t="inlineStr">
        <is>
          <t>N/A</t>
        </is>
      </c>
      <c r="O1992" t="inlineStr">
        <is>
          <t>N/A</t>
        </is>
      </c>
      <c r="Q1992" t="inlineStr">
        <is>
          <t>NA</t>
        </is>
      </c>
      <c r="R1992" s="22"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2" t="n">
        <v>5046854.84</v>
      </c>
      <c r="K1993" s="23" t="n">
        <v>44968</v>
      </c>
      <c r="L1993" t="inlineStr">
        <is>
          <t>Capacitation des femme, agricultures et divers</t>
        </is>
      </c>
      <c r="M1993" t="inlineStr">
        <is>
          <t>N/A</t>
        </is>
      </c>
      <c r="N1993" t="inlineStr">
        <is>
          <t>N/A</t>
        </is>
      </c>
      <c r="O1993" t="inlineStr">
        <is>
          <t>N/A</t>
        </is>
      </c>
      <c r="Q1993" t="inlineStr">
        <is>
          <t>NA</t>
        </is>
      </c>
      <c r="R1993" s="22"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2" t="n">
        <v>5108488.45</v>
      </c>
      <c r="K1994" s="23" t="n">
        <v>44968</v>
      </c>
      <c r="L1994" t="inlineStr">
        <is>
          <t>Capacitation des femme, agricultures et divers</t>
        </is>
      </c>
      <c r="M1994" t="inlineStr">
        <is>
          <t>N/A</t>
        </is>
      </c>
      <c r="N1994" t="inlineStr">
        <is>
          <t>N/A</t>
        </is>
      </c>
      <c r="O1994" t="inlineStr">
        <is>
          <t>N/A</t>
        </is>
      </c>
      <c r="Q1994" t="inlineStr">
        <is>
          <t>NA</t>
        </is>
      </c>
      <c r="R1994" s="22"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2" t="n">
        <v>3370816</v>
      </c>
      <c r="K1995" s="23" t="n">
        <v>44969</v>
      </c>
      <c r="L1995" t="inlineStr">
        <is>
          <t>Education</t>
        </is>
      </c>
      <c r="M1995" t="inlineStr">
        <is>
          <t>N/A</t>
        </is>
      </c>
      <c r="N1995" t="inlineStr">
        <is>
          <t>N/A</t>
        </is>
      </c>
      <c r="O1995" t="inlineStr">
        <is>
          <t>N/A</t>
        </is>
      </c>
      <c r="Q1995" t="inlineStr">
        <is>
          <t>NA</t>
        </is>
      </c>
      <c r="R1995" s="22"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2" t="n">
        <v>374000</v>
      </c>
      <c r="K1996" s="23" t="n">
        <v>44972</v>
      </c>
      <c r="L1996" t="inlineStr">
        <is>
          <t>Capacitation des femme, agricultures et divers</t>
        </is>
      </c>
      <c r="M1996" t="inlineStr">
        <is>
          <t>N/A</t>
        </is>
      </c>
      <c r="N1996" t="inlineStr">
        <is>
          <t>N/A</t>
        </is>
      </c>
      <c r="O1996" t="inlineStr">
        <is>
          <t>N/A</t>
        </is>
      </c>
      <c r="Q1996" t="inlineStr">
        <is>
          <t>NA</t>
        </is>
      </c>
      <c r="R1996" s="22"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2" t="n">
        <v>1901600</v>
      </c>
      <c r="K1997" s="23" t="n">
        <v>44972</v>
      </c>
      <c r="L1997" t="inlineStr">
        <is>
          <t>Capacitation des femme, agricultures et divers</t>
        </is>
      </c>
      <c r="M1997" t="inlineStr">
        <is>
          <t>N/A</t>
        </is>
      </c>
      <c r="N1997" t="inlineStr">
        <is>
          <t>N/A</t>
        </is>
      </c>
      <c r="O1997" t="inlineStr">
        <is>
          <t>N/A</t>
        </is>
      </c>
      <c r="Q1997" t="inlineStr">
        <is>
          <t>NA</t>
        </is>
      </c>
      <c r="R1997" s="22"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2" t="n">
        <v>919510</v>
      </c>
      <c r="K1998" s="23" t="n">
        <v>44975</v>
      </c>
      <c r="L1998" t="inlineStr">
        <is>
          <t>Capacitation des femme, agricultures et divers</t>
        </is>
      </c>
      <c r="M1998" t="inlineStr">
        <is>
          <t>N/A</t>
        </is>
      </c>
      <c r="N1998" t="inlineStr">
        <is>
          <t>N/A</t>
        </is>
      </c>
      <c r="O1998" t="inlineStr">
        <is>
          <t>N/A</t>
        </is>
      </c>
      <c r="Q1998" t="inlineStr">
        <is>
          <t>NA</t>
        </is>
      </c>
      <c r="R1998" s="22"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2" t="n">
        <v>972698.34</v>
      </c>
      <c r="K1999" s="23" t="n">
        <v>44975</v>
      </c>
      <c r="L1999" t="inlineStr">
        <is>
          <t>Capacitation des femme, agricultures et divers</t>
        </is>
      </c>
      <c r="M1999" t="inlineStr">
        <is>
          <t>N/A</t>
        </is>
      </c>
      <c r="N1999" t="inlineStr">
        <is>
          <t>N/A</t>
        </is>
      </c>
      <c r="O1999" t="inlineStr">
        <is>
          <t>N/A</t>
        </is>
      </c>
      <c r="Q1999" t="inlineStr">
        <is>
          <t>NA</t>
        </is>
      </c>
      <c r="R1999" s="22"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2" t="n">
        <v>908720</v>
      </c>
      <c r="K2000" s="23" t="n">
        <v>44975</v>
      </c>
      <c r="L2000" t="inlineStr">
        <is>
          <t>Capacitation des femme, agricultures et divers</t>
        </is>
      </c>
      <c r="M2000" t="inlineStr">
        <is>
          <t>N/A</t>
        </is>
      </c>
      <c r="N2000" t="inlineStr">
        <is>
          <t>N/A</t>
        </is>
      </c>
      <c r="O2000" t="inlineStr">
        <is>
          <t>N/A</t>
        </is>
      </c>
      <c r="Q2000" t="inlineStr">
        <is>
          <t>NA</t>
        </is>
      </c>
      <c r="R2000" s="22"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2" t="n">
        <v>630003.11</v>
      </c>
      <c r="K2001" s="23" t="n">
        <v>45038</v>
      </c>
      <c r="L2001" t="inlineStr">
        <is>
          <t>Appui divers</t>
        </is>
      </c>
      <c r="M2001" t="inlineStr">
        <is>
          <t>N/A</t>
        </is>
      </c>
      <c r="N2001" t="inlineStr">
        <is>
          <t>N/A</t>
        </is>
      </c>
      <c r="O2001" t="inlineStr">
        <is>
          <t>N/A</t>
        </is>
      </c>
      <c r="R2001" s="22"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2" t="n">
        <v>630002.3100000001</v>
      </c>
      <c r="K2002" s="23" t="n">
        <v>45044</v>
      </c>
      <c r="L2002" t="inlineStr">
        <is>
          <t>Appui divers</t>
        </is>
      </c>
      <c r="M2002" t="inlineStr">
        <is>
          <t>N/A</t>
        </is>
      </c>
      <c r="N2002" t="inlineStr">
        <is>
          <t>N/A</t>
        </is>
      </c>
      <c r="O2002" t="inlineStr">
        <is>
          <t>N/A</t>
        </is>
      </c>
      <c r="R2002" s="22"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2" t="n">
        <v>1350001.2</v>
      </c>
      <c r="K2003" s="23" t="n">
        <v>44979</v>
      </c>
      <c r="L2003" t="inlineStr">
        <is>
          <t>Capacitation des femme, agricultures et divers</t>
        </is>
      </c>
      <c r="M2003" t="inlineStr">
        <is>
          <t>N/A</t>
        </is>
      </c>
      <c r="N2003" t="inlineStr">
        <is>
          <t>N/A</t>
        </is>
      </c>
      <c r="O2003" t="inlineStr">
        <is>
          <t>N/A</t>
        </is>
      </c>
      <c r="Q2003" t="inlineStr">
        <is>
          <t>NA</t>
        </is>
      </c>
      <c r="R2003" s="22"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2" t="n">
        <v>71097.07000000001</v>
      </c>
      <c r="K2004" s="23" t="n">
        <v>44979</v>
      </c>
      <c r="L2004" t="inlineStr">
        <is>
          <t>Capacitation des femme, agricultures et divers</t>
        </is>
      </c>
      <c r="M2004" t="inlineStr">
        <is>
          <t>N/A</t>
        </is>
      </c>
      <c r="N2004" t="inlineStr">
        <is>
          <t>N/A</t>
        </is>
      </c>
      <c r="O2004" t="inlineStr">
        <is>
          <t>N/A</t>
        </is>
      </c>
      <c r="Q2004" t="inlineStr">
        <is>
          <t>NA</t>
        </is>
      </c>
      <c r="R2004" s="22"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2" t="n">
        <v>143997.42</v>
      </c>
      <c r="K2005" s="23" t="n">
        <v>44979</v>
      </c>
      <c r="L2005" t="inlineStr">
        <is>
          <t>Capacitation des femme, agricultures et divers</t>
        </is>
      </c>
      <c r="M2005" t="inlineStr">
        <is>
          <t>N/A</t>
        </is>
      </c>
      <c r="N2005" t="inlineStr">
        <is>
          <t>N/A</t>
        </is>
      </c>
      <c r="O2005" t="inlineStr">
        <is>
          <t>N/A</t>
        </is>
      </c>
      <c r="Q2005" t="inlineStr">
        <is>
          <t>NA</t>
        </is>
      </c>
      <c r="R2005" s="22"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2" t="n">
        <v>971701.01</v>
      </c>
      <c r="K2006" s="23" t="n">
        <v>44979</v>
      </c>
      <c r="L2006" t="inlineStr">
        <is>
          <t>Capacitation des femme, agricultures et divers</t>
        </is>
      </c>
      <c r="M2006" t="inlineStr">
        <is>
          <t>N/A</t>
        </is>
      </c>
      <c r="N2006" t="inlineStr">
        <is>
          <t>N/A</t>
        </is>
      </c>
      <c r="O2006" t="inlineStr">
        <is>
          <t>N/A</t>
        </is>
      </c>
      <c r="Q2006" t="inlineStr">
        <is>
          <t>NA</t>
        </is>
      </c>
      <c r="R2006" s="22"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2" t="n">
        <v>516598.51</v>
      </c>
      <c r="K2007" s="23" t="n">
        <v>44979</v>
      </c>
      <c r="L2007" t="inlineStr">
        <is>
          <t>Capacitation des femme, agricultures et divers</t>
        </is>
      </c>
      <c r="M2007" t="inlineStr">
        <is>
          <t>N/A</t>
        </is>
      </c>
      <c r="N2007" t="inlineStr">
        <is>
          <t>N/A</t>
        </is>
      </c>
      <c r="O2007" t="inlineStr">
        <is>
          <t>N/A</t>
        </is>
      </c>
      <c r="Q2007" t="inlineStr">
        <is>
          <t>NA</t>
        </is>
      </c>
      <c r="R2007" s="22"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2" t="n">
        <v>768749.4</v>
      </c>
      <c r="K2008" s="23" t="n">
        <v>44979</v>
      </c>
      <c r="L2008" t="inlineStr">
        <is>
          <t>Capacitation des femme, agricultures et divers</t>
        </is>
      </c>
      <c r="M2008" t="inlineStr">
        <is>
          <t>N/A</t>
        </is>
      </c>
      <c r="N2008" t="inlineStr">
        <is>
          <t>N/A</t>
        </is>
      </c>
      <c r="O2008" t="inlineStr">
        <is>
          <t>N/A</t>
        </is>
      </c>
      <c r="Q2008" t="inlineStr">
        <is>
          <t>NA</t>
        </is>
      </c>
      <c r="R2008" s="22"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2" t="n">
        <v>242999.11</v>
      </c>
      <c r="K2009" s="23" t="n">
        <v>44979</v>
      </c>
      <c r="L2009" t="inlineStr">
        <is>
          <t>Capacitation des femme, agricultures et divers</t>
        </is>
      </c>
      <c r="M2009" t="inlineStr">
        <is>
          <t>N/A</t>
        </is>
      </c>
      <c r="N2009" t="inlineStr">
        <is>
          <t>N/A</t>
        </is>
      </c>
      <c r="O2009" t="inlineStr">
        <is>
          <t>N/A</t>
        </is>
      </c>
      <c r="Q2009" t="inlineStr">
        <is>
          <t>NA</t>
        </is>
      </c>
      <c r="R2009" s="22"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2" t="n">
        <v>360002.78</v>
      </c>
      <c r="K2010" s="23" t="n">
        <v>44979</v>
      </c>
      <c r="L2010" t="inlineStr">
        <is>
          <t>Capacitation des femme, agricultures et divers</t>
        </is>
      </c>
      <c r="M2010" t="inlineStr">
        <is>
          <t>N/A</t>
        </is>
      </c>
      <c r="N2010" t="inlineStr">
        <is>
          <t>N/A</t>
        </is>
      </c>
      <c r="O2010" t="inlineStr">
        <is>
          <t>N/A</t>
        </is>
      </c>
      <c r="Q2010" t="inlineStr">
        <is>
          <t>NA</t>
        </is>
      </c>
      <c r="R2010" s="22"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2" t="n">
        <v>750002.72</v>
      </c>
      <c r="K2011" s="23" t="n">
        <v>44979</v>
      </c>
      <c r="L2011" t="inlineStr">
        <is>
          <t>Capacitation des femme, agricultures et divers</t>
        </is>
      </c>
      <c r="M2011" t="inlineStr">
        <is>
          <t>N/A</t>
        </is>
      </c>
      <c r="N2011" t="inlineStr">
        <is>
          <t>N/A</t>
        </is>
      </c>
      <c r="O2011" t="inlineStr">
        <is>
          <t>N/A</t>
        </is>
      </c>
      <c r="Q2011" t="inlineStr">
        <is>
          <t>NA</t>
        </is>
      </c>
      <c r="R2011" s="22"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2" t="n">
        <v>149998.08</v>
      </c>
      <c r="K2012" s="23" t="n">
        <v>44979</v>
      </c>
      <c r="L2012" t="inlineStr">
        <is>
          <t>Capacitation des femme, agricultures et divers</t>
        </is>
      </c>
      <c r="M2012" t="inlineStr">
        <is>
          <t>N/A</t>
        </is>
      </c>
      <c r="N2012" t="inlineStr">
        <is>
          <t>N/A</t>
        </is>
      </c>
      <c r="O2012" t="inlineStr">
        <is>
          <t>N/A</t>
        </is>
      </c>
      <c r="Q2012" t="inlineStr">
        <is>
          <t>NA</t>
        </is>
      </c>
      <c r="R2012" s="22"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2" t="n">
        <v>1800001.59</v>
      </c>
      <c r="K2013" s="23" t="n">
        <v>44979</v>
      </c>
      <c r="L2013" t="inlineStr">
        <is>
          <t>Capacitation des femme, agricultures et divers</t>
        </is>
      </c>
      <c r="M2013" t="inlineStr">
        <is>
          <t>N/A</t>
        </is>
      </c>
      <c r="N2013" t="inlineStr">
        <is>
          <t>N/A</t>
        </is>
      </c>
      <c r="O2013" t="inlineStr">
        <is>
          <t>N/A</t>
        </is>
      </c>
      <c r="Q2013" t="inlineStr">
        <is>
          <t>NA</t>
        </is>
      </c>
      <c r="R2013" s="22"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2" t="n">
        <v>94398.10000000001</v>
      </c>
      <c r="K2014" s="23" t="n">
        <v>44979</v>
      </c>
      <c r="L2014" t="inlineStr">
        <is>
          <t>Capacitation des femme, agricultures et divers</t>
        </is>
      </c>
      <c r="M2014" t="inlineStr">
        <is>
          <t>N/A</t>
        </is>
      </c>
      <c r="N2014" t="inlineStr">
        <is>
          <t>N/A</t>
        </is>
      </c>
      <c r="O2014" t="inlineStr">
        <is>
          <t>N/A</t>
        </is>
      </c>
      <c r="Q2014" t="inlineStr">
        <is>
          <t>NA</t>
        </is>
      </c>
      <c r="R2014" s="22"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2" t="n">
        <v>187202.18</v>
      </c>
      <c r="K2015" s="23" t="n">
        <v>44979</v>
      </c>
      <c r="L2015" t="inlineStr">
        <is>
          <t>Capacitation des femme, agricultures et divers</t>
        </is>
      </c>
      <c r="M2015" t="inlineStr">
        <is>
          <t>N/A</t>
        </is>
      </c>
      <c r="N2015" t="inlineStr">
        <is>
          <t>N/A</t>
        </is>
      </c>
      <c r="O2015" t="inlineStr">
        <is>
          <t>N/A</t>
        </is>
      </c>
      <c r="Q2015" t="inlineStr">
        <is>
          <t>NA</t>
        </is>
      </c>
      <c r="R2015" s="22"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2" t="n">
        <v>1295601.35</v>
      </c>
      <c r="K2016" s="23" t="n">
        <v>44979</v>
      </c>
      <c r="L2016" t="inlineStr">
        <is>
          <t>Capacitation des femme, agricultures et divers</t>
        </is>
      </c>
      <c r="M2016" t="inlineStr">
        <is>
          <t>N/A</t>
        </is>
      </c>
      <c r="N2016" t="inlineStr">
        <is>
          <t>N/A</t>
        </is>
      </c>
      <c r="O2016" t="inlineStr">
        <is>
          <t>N/A</t>
        </is>
      </c>
      <c r="Q2016" t="inlineStr">
        <is>
          <t>NA</t>
        </is>
      </c>
      <c r="R2016" s="22"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2" t="n">
        <v>688802.12</v>
      </c>
      <c r="K2017" s="23" t="n">
        <v>44979</v>
      </c>
      <c r="L2017" t="inlineStr">
        <is>
          <t>Capacitation des femme, agricultures et divers</t>
        </is>
      </c>
      <c r="M2017" t="inlineStr">
        <is>
          <t>N/A</t>
        </is>
      </c>
      <c r="N2017" t="inlineStr">
        <is>
          <t>N/A</t>
        </is>
      </c>
      <c r="O2017" t="inlineStr">
        <is>
          <t>N/A</t>
        </is>
      </c>
      <c r="Q2017" t="inlineStr">
        <is>
          <t>NA</t>
        </is>
      </c>
      <c r="R2017" s="22"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2" t="n">
        <v>1024999.2</v>
      </c>
      <c r="K2018" s="23" t="n">
        <v>44979</v>
      </c>
      <c r="L2018" t="inlineStr">
        <is>
          <t>Capacitation des femme, agricultures et divers</t>
        </is>
      </c>
      <c r="M2018" t="inlineStr">
        <is>
          <t>N/A</t>
        </is>
      </c>
      <c r="N2018" t="inlineStr">
        <is>
          <t>N/A</t>
        </is>
      </c>
      <c r="O2018" t="inlineStr">
        <is>
          <t>N/A</t>
        </is>
      </c>
      <c r="Q2018" t="inlineStr">
        <is>
          <t>NA</t>
        </is>
      </c>
      <c r="R2018" s="22"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2" t="n">
        <v>311997.49</v>
      </c>
      <c r="K2019" s="23" t="n">
        <v>44979</v>
      </c>
      <c r="L2019" t="inlineStr">
        <is>
          <t>Capacitation des femme, agricultures et divers</t>
        </is>
      </c>
      <c r="M2019" t="inlineStr">
        <is>
          <t>N/A</t>
        </is>
      </c>
      <c r="N2019" t="inlineStr">
        <is>
          <t>N/A</t>
        </is>
      </c>
      <c r="O2019" t="inlineStr">
        <is>
          <t>N/A</t>
        </is>
      </c>
      <c r="Q2019" t="inlineStr">
        <is>
          <t>NA</t>
        </is>
      </c>
      <c r="R2019" s="22"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2" t="n">
        <v>480003.71</v>
      </c>
      <c r="K2020" s="23" t="n">
        <v>44979</v>
      </c>
      <c r="L2020" t="inlineStr">
        <is>
          <t>Capacitation des femme, agricultures et divers</t>
        </is>
      </c>
      <c r="M2020" t="inlineStr">
        <is>
          <t>N/A</t>
        </is>
      </c>
      <c r="N2020" t="inlineStr">
        <is>
          <t>N/A</t>
        </is>
      </c>
      <c r="O2020" t="inlineStr">
        <is>
          <t>N/A</t>
        </is>
      </c>
      <c r="Q2020" t="inlineStr">
        <is>
          <t>NA</t>
        </is>
      </c>
      <c r="R2020" s="22"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2" t="n">
        <v>999999.52</v>
      </c>
      <c r="K2021" s="23" t="n">
        <v>44979</v>
      </c>
      <c r="L2021" t="inlineStr">
        <is>
          <t>Capacitation des femme, agricultures et divers</t>
        </is>
      </c>
      <c r="M2021" t="inlineStr">
        <is>
          <t>N/A</t>
        </is>
      </c>
      <c r="N2021" t="inlineStr">
        <is>
          <t>N/A</t>
        </is>
      </c>
      <c r="O2021" t="inlineStr">
        <is>
          <t>N/A</t>
        </is>
      </c>
      <c r="R2021" s="22"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2" t="n">
        <v>199997.44</v>
      </c>
      <c r="K2022" s="23" t="n">
        <v>44979</v>
      </c>
      <c r="L2022" t="inlineStr">
        <is>
          <t>Capacitation des femme, agricultures et divers</t>
        </is>
      </c>
      <c r="M2022" t="inlineStr">
        <is>
          <t>N/A</t>
        </is>
      </c>
      <c r="N2022" t="inlineStr">
        <is>
          <t>N/A</t>
        </is>
      </c>
      <c r="O2022" t="inlineStr">
        <is>
          <t>N/A</t>
        </is>
      </c>
      <c r="R2022" s="22"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2" t="n">
        <v>-5009.78</v>
      </c>
      <c r="K2023" s="23" t="n">
        <v>44980</v>
      </c>
      <c r="L2023" t="inlineStr">
        <is>
          <t>Capacitation des femme, agricultures et divers</t>
        </is>
      </c>
      <c r="M2023" t="inlineStr">
        <is>
          <t>N/A</t>
        </is>
      </c>
      <c r="N2023" t="inlineStr">
        <is>
          <t>N/A</t>
        </is>
      </c>
      <c r="O2023" t="inlineStr">
        <is>
          <t>N/A</t>
        </is>
      </c>
      <c r="R2023" s="22"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2" t="n">
        <v>2880000</v>
      </c>
      <c r="K2024" s="23" t="n">
        <v>44984</v>
      </c>
      <c r="L2024" t="inlineStr">
        <is>
          <t>Capacitation des femme, agricultures et divers</t>
        </is>
      </c>
      <c r="M2024" t="inlineStr">
        <is>
          <t>N/A</t>
        </is>
      </c>
      <c r="N2024" t="inlineStr">
        <is>
          <t>N/A</t>
        </is>
      </c>
      <c r="O2024" t="inlineStr">
        <is>
          <t>N/A</t>
        </is>
      </c>
      <c r="R2024" s="22"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2" t="n">
        <v>8048506</v>
      </c>
      <c r="K2025" s="23" t="n">
        <v>44984</v>
      </c>
      <c r="L2025" t="inlineStr">
        <is>
          <t>Capacitation des femme, agricultures et divers</t>
        </is>
      </c>
      <c r="M2025" t="inlineStr">
        <is>
          <t>N/A</t>
        </is>
      </c>
      <c r="N2025" t="inlineStr">
        <is>
          <t>N/A</t>
        </is>
      </c>
      <c r="O2025" t="inlineStr">
        <is>
          <t>N/A</t>
        </is>
      </c>
      <c r="R2025" s="22"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2" t="n">
        <v>626000</v>
      </c>
      <c r="K2026" s="23"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2"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2" t="n">
        <v>342288</v>
      </c>
      <c r="K2027" s="23" t="n">
        <v>44985</v>
      </c>
      <c r="L2027" t="inlineStr">
        <is>
          <t>Capacitation des femme, agricultures et divers</t>
        </is>
      </c>
      <c r="M2027" t="inlineStr">
        <is>
          <t>N/A</t>
        </is>
      </c>
      <c r="N2027" t="inlineStr">
        <is>
          <t>N/A</t>
        </is>
      </c>
      <c r="O2027" t="inlineStr">
        <is>
          <t>N/A</t>
        </is>
      </c>
      <c r="R2027" s="22"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2" t="n">
        <v>518400</v>
      </c>
      <c r="K2028" s="23" t="n">
        <v>44985</v>
      </c>
      <c r="L2028" t="inlineStr">
        <is>
          <t>Capacitation des femme, agricultures et divers</t>
        </is>
      </c>
      <c r="M2028" t="inlineStr">
        <is>
          <t>N/A</t>
        </is>
      </c>
      <c r="N2028" t="inlineStr">
        <is>
          <t>N/A</t>
        </is>
      </c>
      <c r="O2028" t="inlineStr">
        <is>
          <t>N/A</t>
        </is>
      </c>
      <c r="R2028" s="22"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2" t="n">
        <v>1448731</v>
      </c>
      <c r="K2029" s="23" t="n">
        <v>44985</v>
      </c>
      <c r="L2029" t="inlineStr">
        <is>
          <t>Capacitation des femme, agricultures et divers</t>
        </is>
      </c>
      <c r="M2029" t="inlineStr">
        <is>
          <t>N/A</t>
        </is>
      </c>
      <c r="N2029" t="inlineStr">
        <is>
          <t>N/A</t>
        </is>
      </c>
      <c r="O2029" t="inlineStr">
        <is>
          <t>N/A</t>
        </is>
      </c>
      <c r="R2029" s="22"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2" t="n">
        <v>2172347</v>
      </c>
      <c r="K2030" s="23" t="n">
        <v>44985</v>
      </c>
      <c r="L2030" t="inlineStr">
        <is>
          <t>Capacitation des femme, agricultures et divers</t>
        </is>
      </c>
      <c r="M2030" t="inlineStr">
        <is>
          <t>N/A</t>
        </is>
      </c>
      <c r="N2030" t="inlineStr">
        <is>
          <t>N/A</t>
        </is>
      </c>
      <c r="O2030" t="inlineStr">
        <is>
          <t>N/A</t>
        </is>
      </c>
      <c r="R2030" s="22"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2" t="n">
        <v>9192757.41</v>
      </c>
      <c r="K2031" s="23" t="n">
        <v>44985</v>
      </c>
      <c r="L2031" t="inlineStr">
        <is>
          <t>Capacitation des femme, agricultures et divers</t>
        </is>
      </c>
      <c r="M2031" t="inlineStr">
        <is>
          <t>N/A</t>
        </is>
      </c>
      <c r="N2031" t="inlineStr">
        <is>
          <t>N/A</t>
        </is>
      </c>
      <c r="O2031" t="inlineStr">
        <is>
          <t>N/A</t>
        </is>
      </c>
      <c r="R2031" s="22"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2" t="n">
        <v>2880751.59</v>
      </c>
      <c r="K2032" s="23" t="n">
        <v>44985</v>
      </c>
      <c r="L2032" t="inlineStr">
        <is>
          <t>Capacitation des femme, agricultures et divers</t>
        </is>
      </c>
      <c r="M2032" t="inlineStr">
        <is>
          <t>N/A</t>
        </is>
      </c>
      <c r="N2032" t="inlineStr">
        <is>
          <t>N/A</t>
        </is>
      </c>
      <c r="O2032" t="inlineStr">
        <is>
          <t>N/A</t>
        </is>
      </c>
      <c r="R2032" s="22"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2" t="n">
        <v>617000</v>
      </c>
      <c r="K2033" s="23"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2"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2" t="n">
        <v>616745</v>
      </c>
      <c r="L2034" t="inlineStr">
        <is>
          <t>APPUIS DIVERS</t>
        </is>
      </c>
      <c r="R2034" s="22"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2" t="n">
        <v>550001.1800000001</v>
      </c>
      <c r="K2035" s="23" t="n">
        <v>45014</v>
      </c>
      <c r="L2035" t="inlineStr">
        <is>
          <t>Hydraulique</t>
        </is>
      </c>
      <c r="M2035" t="inlineStr">
        <is>
          <t>N/A</t>
        </is>
      </c>
      <c r="N2035" t="inlineStr">
        <is>
          <t>N/A</t>
        </is>
      </c>
      <c r="O2035" t="inlineStr">
        <is>
          <t>N/A</t>
        </is>
      </c>
      <c r="R2035" s="22"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2" t="n">
        <v>550001.1899999999</v>
      </c>
      <c r="K2036" s="23" t="n">
        <v>45014</v>
      </c>
      <c r="L2036" t="inlineStr">
        <is>
          <t>Hydraulique</t>
        </is>
      </c>
      <c r="M2036" t="inlineStr">
        <is>
          <t>N/A</t>
        </is>
      </c>
      <c r="N2036" t="inlineStr">
        <is>
          <t>N/A</t>
        </is>
      </c>
      <c r="O2036" t="inlineStr">
        <is>
          <t>N/A</t>
        </is>
      </c>
      <c r="R2036" s="22"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2" t="n">
        <v>550001.1800000001</v>
      </c>
      <c r="K2037" s="23" t="n">
        <v>45014</v>
      </c>
      <c r="L2037" t="inlineStr">
        <is>
          <t>Hydraulique</t>
        </is>
      </c>
      <c r="M2037" t="inlineStr">
        <is>
          <t>N/A</t>
        </is>
      </c>
      <c r="N2037" t="inlineStr">
        <is>
          <t>N/A</t>
        </is>
      </c>
      <c r="O2037" t="inlineStr">
        <is>
          <t>N/A</t>
        </is>
      </c>
      <c r="R2037" s="22"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2" t="n">
        <v>119996.96</v>
      </c>
      <c r="K2038" s="23" t="n">
        <v>45014</v>
      </c>
      <c r="L2038" t="inlineStr">
        <is>
          <t>Hydraulique</t>
        </is>
      </c>
      <c r="M2038" t="inlineStr">
        <is>
          <t>N/A</t>
        </is>
      </c>
      <c r="N2038" t="inlineStr">
        <is>
          <t>N/A</t>
        </is>
      </c>
      <c r="O2038" t="inlineStr">
        <is>
          <t>N/A</t>
        </is>
      </c>
      <c r="R2038" s="22"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2" t="n">
        <v>19999.49</v>
      </c>
      <c r="K2039" s="23" t="n">
        <v>45014</v>
      </c>
      <c r="L2039" t="inlineStr">
        <is>
          <t>Hydraulique</t>
        </is>
      </c>
      <c r="M2039" t="inlineStr">
        <is>
          <t>N/A</t>
        </is>
      </c>
      <c r="N2039" t="inlineStr">
        <is>
          <t>N/A</t>
        </is>
      </c>
      <c r="O2039" t="inlineStr">
        <is>
          <t>N/A</t>
        </is>
      </c>
      <c r="R2039" s="22"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2" t="n">
        <v>4608018.06</v>
      </c>
      <c r="K2040" s="23" t="n">
        <v>45022</v>
      </c>
      <c r="L2040" t="inlineStr">
        <is>
          <t>Sport et Culture</t>
        </is>
      </c>
      <c r="M2040" t="inlineStr">
        <is>
          <t>N/A</t>
        </is>
      </c>
      <c r="N2040" t="inlineStr">
        <is>
          <t>N/A</t>
        </is>
      </c>
      <c r="O2040" t="inlineStr">
        <is>
          <t>N/A</t>
        </is>
      </c>
      <c r="R2040" s="22"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2" t="n">
        <v>108658.14</v>
      </c>
      <c r="K2041" s="23" t="n">
        <v>45022</v>
      </c>
      <c r="L2041" t="inlineStr">
        <is>
          <t>Sport et Culture</t>
        </is>
      </c>
      <c r="M2041" t="inlineStr">
        <is>
          <t>N/A</t>
        </is>
      </c>
      <c r="N2041" t="inlineStr">
        <is>
          <t>N/A</t>
        </is>
      </c>
      <c r="O2041" t="inlineStr">
        <is>
          <t>N/A</t>
        </is>
      </c>
      <c r="R2041" s="22"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2" t="n">
        <v>2809498.8</v>
      </c>
      <c r="K2042" s="23" t="n">
        <v>45022</v>
      </c>
      <c r="L2042" t="inlineStr">
        <is>
          <t>Sport et Culture</t>
        </is>
      </c>
      <c r="M2042" t="inlineStr">
        <is>
          <t>N/A</t>
        </is>
      </c>
      <c r="N2042" t="inlineStr">
        <is>
          <t>N/A</t>
        </is>
      </c>
      <c r="O2042" t="inlineStr">
        <is>
          <t>N/A</t>
        </is>
      </c>
      <c r="R2042" s="22"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2" t="n">
        <v>239999.03</v>
      </c>
      <c r="K2043" s="23" t="n">
        <v>45026</v>
      </c>
      <c r="L2043" t="inlineStr">
        <is>
          <t>Hydraulique</t>
        </is>
      </c>
      <c r="M2043" t="inlineStr">
        <is>
          <t>N/A</t>
        </is>
      </c>
      <c r="N2043" t="inlineStr">
        <is>
          <t>N/A</t>
        </is>
      </c>
      <c r="O2043" t="inlineStr">
        <is>
          <t>N/A</t>
        </is>
      </c>
      <c r="R2043" s="22"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2" t="n">
        <v>3059998.15</v>
      </c>
      <c r="K2044" s="23" t="n">
        <v>45026</v>
      </c>
      <c r="L2044" t="inlineStr">
        <is>
          <t>Hydraulique</t>
        </is>
      </c>
      <c r="M2044" t="inlineStr">
        <is>
          <t>N/A</t>
        </is>
      </c>
      <c r="N2044" t="inlineStr">
        <is>
          <t>N/A</t>
        </is>
      </c>
      <c r="O2044" t="inlineStr">
        <is>
          <t>N/A</t>
        </is>
      </c>
      <c r="R2044" s="22"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2" t="n">
        <v>360001.56</v>
      </c>
      <c r="K2045" s="23" t="n">
        <v>45026</v>
      </c>
      <c r="L2045" t="inlineStr">
        <is>
          <t>Hydraulique</t>
        </is>
      </c>
      <c r="M2045" t="inlineStr">
        <is>
          <t>N/A</t>
        </is>
      </c>
      <c r="N2045" t="inlineStr">
        <is>
          <t>N/A</t>
        </is>
      </c>
      <c r="O2045" t="inlineStr">
        <is>
          <t>N/A</t>
        </is>
      </c>
      <c r="R2045" s="22"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2" t="n">
        <v>60001.26</v>
      </c>
      <c r="K2046" s="23" t="n">
        <v>45026</v>
      </c>
      <c r="L2046" t="inlineStr">
        <is>
          <t>Hydraulique</t>
        </is>
      </c>
      <c r="M2046" t="inlineStr">
        <is>
          <t>N/A</t>
        </is>
      </c>
      <c r="N2046" t="inlineStr">
        <is>
          <t>N/A</t>
        </is>
      </c>
      <c r="O2046" t="inlineStr">
        <is>
          <t>N/A</t>
        </is>
      </c>
      <c r="R2046" s="22"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2" t="n">
        <v>1711440</v>
      </c>
      <c r="K2047" s="23" t="n">
        <v>45027</v>
      </c>
      <c r="L2047" t="inlineStr">
        <is>
          <t>Capacitation des femme, agricultures et divers</t>
        </is>
      </c>
      <c r="M2047" t="inlineStr">
        <is>
          <t>N/A</t>
        </is>
      </c>
      <c r="N2047" t="inlineStr">
        <is>
          <t>N/A</t>
        </is>
      </c>
      <c r="O2047" t="inlineStr">
        <is>
          <t>N/A</t>
        </is>
      </c>
      <c r="R2047" s="22"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2" t="n">
        <v>1349997.92</v>
      </c>
      <c r="K2048" s="23" t="n">
        <v>45030</v>
      </c>
      <c r="L2048" t="inlineStr">
        <is>
          <t>Capacitation des femme, agricultures et divers</t>
        </is>
      </c>
      <c r="M2048" t="inlineStr">
        <is>
          <t>N/A</t>
        </is>
      </c>
      <c r="N2048" t="inlineStr">
        <is>
          <t>N/A</t>
        </is>
      </c>
      <c r="O2048" t="inlineStr">
        <is>
          <t>N/A</t>
        </is>
      </c>
      <c r="R2048" s="22"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2" t="n">
        <v>70801.23</v>
      </c>
      <c r="K2049" s="23" t="n">
        <v>45030</v>
      </c>
      <c r="L2049" t="inlineStr">
        <is>
          <t>Capacitation des femme, agricultures et divers</t>
        </is>
      </c>
      <c r="M2049" t="inlineStr">
        <is>
          <t>N/A</t>
        </is>
      </c>
      <c r="N2049" t="inlineStr">
        <is>
          <t>N/A</t>
        </is>
      </c>
      <c r="O2049" t="inlineStr">
        <is>
          <t>N/A</t>
        </is>
      </c>
      <c r="R2049" s="22"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2" t="n">
        <v>140399.93</v>
      </c>
      <c r="K2050" s="23" t="n">
        <v>45030</v>
      </c>
      <c r="L2050" t="inlineStr">
        <is>
          <t>Capacitation des femme, agricultures et divers</t>
        </is>
      </c>
      <c r="M2050" t="inlineStr">
        <is>
          <t>N/A</t>
        </is>
      </c>
      <c r="N2050" t="inlineStr">
        <is>
          <t>N/A</t>
        </is>
      </c>
      <c r="O2050" t="inlineStr">
        <is>
          <t>N/A</t>
        </is>
      </c>
      <c r="R2050" s="22"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2" t="n">
        <v>965549.39</v>
      </c>
      <c r="K2051" s="23" t="n">
        <v>45030</v>
      </c>
      <c r="L2051" t="inlineStr">
        <is>
          <t>Capacitation des femme, agricultures et divers</t>
        </is>
      </c>
      <c r="M2051" t="inlineStr">
        <is>
          <t>N/A</t>
        </is>
      </c>
      <c r="N2051" t="inlineStr">
        <is>
          <t>N/A</t>
        </is>
      </c>
      <c r="O2051" t="inlineStr">
        <is>
          <t>N/A</t>
        </is>
      </c>
      <c r="R2051" s="22"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2" t="n">
        <v>516596.61</v>
      </c>
      <c r="K2052" s="23" t="n">
        <v>45030</v>
      </c>
      <c r="L2052" t="inlineStr">
        <is>
          <t>Capacitation des femme, agricultures et divers</t>
        </is>
      </c>
      <c r="M2052" t="inlineStr">
        <is>
          <t>N/A</t>
        </is>
      </c>
      <c r="N2052" t="inlineStr">
        <is>
          <t>N/A</t>
        </is>
      </c>
      <c r="O2052" t="inlineStr">
        <is>
          <t>N/A</t>
        </is>
      </c>
      <c r="R2052" s="22"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2" t="n">
        <v>768748.98</v>
      </c>
      <c r="K2053" s="23" t="n">
        <v>45030</v>
      </c>
      <c r="L2053" t="inlineStr">
        <is>
          <t>Capacitation des femme, agricultures et divers</t>
        </is>
      </c>
      <c r="M2053" t="inlineStr">
        <is>
          <t>N/A</t>
        </is>
      </c>
      <c r="N2053" t="inlineStr">
        <is>
          <t>N/A</t>
        </is>
      </c>
      <c r="O2053" t="inlineStr">
        <is>
          <t>N/A</t>
        </is>
      </c>
      <c r="R2053" s="22"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2" t="n">
        <v>234001.85</v>
      </c>
      <c r="K2054" s="23" t="n">
        <v>45030</v>
      </c>
      <c r="L2054" t="inlineStr">
        <is>
          <t>Capacitation des femme, agricultures et divers</t>
        </is>
      </c>
      <c r="M2054" t="inlineStr">
        <is>
          <t>N/A</t>
        </is>
      </c>
      <c r="N2054" t="inlineStr">
        <is>
          <t>N/A</t>
        </is>
      </c>
      <c r="O2054" t="inlineStr">
        <is>
          <t>N/A</t>
        </is>
      </c>
      <c r="R2054" s="22"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2" t="n">
        <v>360001.03</v>
      </c>
      <c r="K2055" s="23" t="n">
        <v>45030</v>
      </c>
      <c r="L2055" t="inlineStr">
        <is>
          <t>Capacitation des femme, agricultures et divers</t>
        </is>
      </c>
      <c r="M2055" t="inlineStr">
        <is>
          <t>N/A</t>
        </is>
      </c>
      <c r="N2055" t="inlineStr">
        <is>
          <t>N/A</t>
        </is>
      </c>
      <c r="O2055" t="inlineStr">
        <is>
          <t>N/A</t>
        </is>
      </c>
      <c r="R2055" s="22"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2" t="n">
        <v>750000.16</v>
      </c>
      <c r="K2056" s="23" t="n">
        <v>45030</v>
      </c>
      <c r="L2056" t="inlineStr">
        <is>
          <t>Capacitation des femme, agricultures et divers</t>
        </is>
      </c>
      <c r="M2056" t="inlineStr">
        <is>
          <t>N/A</t>
        </is>
      </c>
      <c r="N2056" t="inlineStr">
        <is>
          <t>N/A</t>
        </is>
      </c>
      <c r="O2056" t="inlineStr">
        <is>
          <t>N/A</t>
        </is>
      </c>
      <c r="R2056" s="22"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2" t="n">
        <v>150002.4</v>
      </c>
      <c r="K2057" s="23" t="n">
        <v>45030</v>
      </c>
      <c r="L2057" t="inlineStr">
        <is>
          <t>Capacitation des femme, agricultures et divers</t>
        </is>
      </c>
      <c r="M2057" t="inlineStr">
        <is>
          <t>N/A</t>
        </is>
      </c>
      <c r="N2057" t="inlineStr">
        <is>
          <t>N/A</t>
        </is>
      </c>
      <c r="O2057" t="inlineStr">
        <is>
          <t>N/A</t>
        </is>
      </c>
      <c r="R2057" s="22"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2" t="n">
        <v>360001.03</v>
      </c>
      <c r="K2058" s="23" t="n">
        <v>45030</v>
      </c>
      <c r="L2058" t="inlineStr">
        <is>
          <t>Capacitation des femme, agricultures et divers</t>
        </is>
      </c>
      <c r="M2058" t="inlineStr">
        <is>
          <t>N/A</t>
        </is>
      </c>
      <c r="N2058" t="inlineStr">
        <is>
          <t>N/A</t>
        </is>
      </c>
      <c r="O2058" t="inlineStr">
        <is>
          <t>N/A</t>
        </is>
      </c>
      <c r="R2058" s="22"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2" t="n">
        <v>59599.33</v>
      </c>
      <c r="K2059" s="23" t="n">
        <v>45030</v>
      </c>
      <c r="L2059" t="inlineStr">
        <is>
          <t>Capacitation des femme, agricultures et divers</t>
        </is>
      </c>
      <c r="M2059" t="inlineStr">
        <is>
          <t>N/A</t>
        </is>
      </c>
      <c r="N2059" t="inlineStr">
        <is>
          <t>N/A</t>
        </is>
      </c>
      <c r="O2059" t="inlineStr">
        <is>
          <t>N/A</t>
        </is>
      </c>
      <c r="R2059" s="22"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2" t="n">
        <v>192002.13</v>
      </c>
      <c r="K2060" s="23" t="n">
        <v>45030</v>
      </c>
      <c r="L2060" t="inlineStr">
        <is>
          <t>Capacitation des femme, agricultures et divers</t>
        </is>
      </c>
      <c r="M2060" t="inlineStr">
        <is>
          <t>N/A</t>
        </is>
      </c>
      <c r="N2060" t="inlineStr">
        <is>
          <t>N/A</t>
        </is>
      </c>
      <c r="O2060" t="inlineStr">
        <is>
          <t>N/A</t>
        </is>
      </c>
      <c r="R2060" s="22"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2" t="n">
        <v>1287395.23</v>
      </c>
      <c r="K2061" s="23" t="n">
        <v>45030</v>
      </c>
      <c r="L2061" t="inlineStr">
        <is>
          <t>Capacitation des femme, agricultures et divers</t>
        </is>
      </c>
      <c r="M2061" t="inlineStr">
        <is>
          <t>N/A</t>
        </is>
      </c>
      <c r="N2061" t="inlineStr">
        <is>
          <t>N/A</t>
        </is>
      </c>
      <c r="O2061" t="inlineStr">
        <is>
          <t>N/A</t>
        </is>
      </c>
      <c r="R2061" s="22"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2" t="n">
        <v>688801.41</v>
      </c>
      <c r="K2062" s="23" t="n">
        <v>45030</v>
      </c>
      <c r="L2062" t="inlineStr">
        <is>
          <t>Capacitation des femme, agricultures et divers</t>
        </is>
      </c>
      <c r="M2062" t="inlineStr">
        <is>
          <t>N/A</t>
        </is>
      </c>
      <c r="N2062" t="inlineStr">
        <is>
          <t>N/A</t>
        </is>
      </c>
      <c r="O2062" t="inlineStr">
        <is>
          <t>N/A</t>
        </is>
      </c>
      <c r="R2062" s="22"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2" t="n">
        <v>1025000.62</v>
      </c>
      <c r="K2063" s="23" t="n">
        <v>45030</v>
      </c>
      <c r="L2063" t="inlineStr">
        <is>
          <t>Capacitation des femme, agricultures et divers</t>
        </is>
      </c>
      <c r="M2063" t="inlineStr">
        <is>
          <t>N/A</t>
        </is>
      </c>
      <c r="N2063" t="inlineStr">
        <is>
          <t>N/A</t>
        </is>
      </c>
      <c r="O2063" t="inlineStr">
        <is>
          <t>N/A</t>
        </is>
      </c>
      <c r="R2063" s="22"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2" t="n">
        <v>324002.11</v>
      </c>
      <c r="K2064" s="23" t="n">
        <v>45030</v>
      </c>
      <c r="L2064" t="inlineStr">
        <is>
          <t>Capacitation des femme, agricultures et divers</t>
        </is>
      </c>
      <c r="M2064" t="inlineStr">
        <is>
          <t>N/A</t>
        </is>
      </c>
      <c r="N2064" t="inlineStr">
        <is>
          <t>N/A</t>
        </is>
      </c>
      <c r="O2064" t="inlineStr">
        <is>
          <t>N/A</t>
        </is>
      </c>
      <c r="R2064" s="22"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2" t="n">
        <v>479999.39</v>
      </c>
      <c r="K2065" s="23" t="n">
        <v>45030</v>
      </c>
      <c r="L2065" t="inlineStr">
        <is>
          <t>Capacitation des femme, agricultures et divers</t>
        </is>
      </c>
      <c r="M2065" t="inlineStr">
        <is>
          <t>N/A</t>
        </is>
      </c>
      <c r="N2065" t="inlineStr">
        <is>
          <t>N/A</t>
        </is>
      </c>
      <c r="O2065" t="inlineStr">
        <is>
          <t>N/A</t>
        </is>
      </c>
      <c r="R2065" s="22"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2" t="n">
        <v>199999.25</v>
      </c>
      <c r="K2066" s="23" t="n">
        <v>45030</v>
      </c>
      <c r="L2066" t="inlineStr">
        <is>
          <t>Capacitation des femme, agricultures et divers</t>
        </is>
      </c>
      <c r="M2066" t="inlineStr">
        <is>
          <t>N/A</t>
        </is>
      </c>
      <c r="N2066" t="inlineStr">
        <is>
          <t>N/A</t>
        </is>
      </c>
      <c r="O2066" t="inlineStr">
        <is>
          <t>N/A</t>
        </is>
      </c>
      <c r="R2066" s="22"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2" t="n">
        <v>298502.99</v>
      </c>
      <c r="K2067" s="23" t="n">
        <v>45031</v>
      </c>
      <c r="L2067" t="inlineStr">
        <is>
          <t>Capacitation des femme, agricultures et divers</t>
        </is>
      </c>
      <c r="M2067" t="inlineStr">
        <is>
          <t>N/A</t>
        </is>
      </c>
      <c r="N2067" t="inlineStr">
        <is>
          <t>N/A</t>
        </is>
      </c>
      <c r="O2067" t="inlineStr">
        <is>
          <t>N/A</t>
        </is>
      </c>
      <c r="R2067" s="22"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2" t="n">
        <v>1431311.26</v>
      </c>
      <c r="K2068" s="23" t="n">
        <v>45031</v>
      </c>
      <c r="L2068" t="inlineStr">
        <is>
          <t>Capacitation des femme, agricultures et divers</t>
        </is>
      </c>
      <c r="M2068" t="inlineStr">
        <is>
          <t>N/A</t>
        </is>
      </c>
      <c r="N2068" t="inlineStr">
        <is>
          <t>N/A</t>
        </is>
      </c>
      <c r="O2068" t="inlineStr">
        <is>
          <t>N/A</t>
        </is>
      </c>
      <c r="R2068" s="22"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2" t="n">
        <v>669600</v>
      </c>
      <c r="K2069" s="23" t="n">
        <v>45032</v>
      </c>
      <c r="L2069" t="inlineStr">
        <is>
          <t>Hydraulique</t>
        </is>
      </c>
      <c r="M2069" t="inlineStr">
        <is>
          <t>N/A</t>
        </is>
      </c>
      <c r="N2069" t="inlineStr">
        <is>
          <t>N/A</t>
        </is>
      </c>
      <c r="O2069" t="inlineStr">
        <is>
          <t>N/A</t>
        </is>
      </c>
      <c r="R2069" s="22"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2" t="n">
        <v>169032.71</v>
      </c>
      <c r="K2070" s="23" t="n">
        <v>45032</v>
      </c>
      <c r="L2070" t="inlineStr">
        <is>
          <t>Hydraulique</t>
        </is>
      </c>
      <c r="M2070" t="inlineStr">
        <is>
          <t>N/A</t>
        </is>
      </c>
      <c r="N2070" t="inlineStr">
        <is>
          <t>N/A</t>
        </is>
      </c>
      <c r="O2070" t="inlineStr">
        <is>
          <t>N/A</t>
        </is>
      </c>
      <c r="R2070" s="22"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2" t="n">
        <v>608275.96</v>
      </c>
      <c r="K2071" s="23" t="n">
        <v>45525</v>
      </c>
      <c r="M2071" t="inlineStr">
        <is>
          <t>134182AB</t>
        </is>
      </c>
      <c r="N2071" t="inlineStr">
        <is>
          <t>N/A</t>
        </is>
      </c>
      <c r="O2071" t="inlineStr">
        <is>
          <t>N/A</t>
        </is>
      </c>
      <c r="P2071" t="inlineStr">
        <is>
          <t>Convention minère et Code minier (Fond Social et Fond d'appui au developpement local)</t>
        </is>
      </c>
      <c r="Q2071" t="inlineStr">
        <is>
          <t>NA</t>
        </is>
      </c>
      <c r="R2071" s="22"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2" t="n">
        <v>29001.07</v>
      </c>
      <c r="K2072" s="23" t="n">
        <v>45034</v>
      </c>
      <c r="L2072" t="inlineStr">
        <is>
          <t>Appui divers</t>
        </is>
      </c>
      <c r="M2072" t="inlineStr">
        <is>
          <t>N/A</t>
        </is>
      </c>
      <c r="N2072" t="inlineStr">
        <is>
          <t>N/A</t>
        </is>
      </c>
      <c r="O2072" t="inlineStr">
        <is>
          <t>N/A</t>
        </is>
      </c>
      <c r="R2072" s="22"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2" t="n">
        <v>602000</v>
      </c>
      <c r="K2073" t="inlineStr">
        <is>
          <t>08/03/2023</t>
        </is>
      </c>
      <c r="L2073" t="inlineStr">
        <is>
          <t>Appuis divers</t>
        </is>
      </c>
      <c r="R2073" s="22"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2" t="n">
        <v>602000</v>
      </c>
      <c r="K2074" t="inlineStr">
        <is>
          <t>08/03/2023</t>
        </is>
      </c>
      <c r="L2074" t="inlineStr">
        <is>
          <t>Appuis divers</t>
        </is>
      </c>
      <c r="R2074" s="22"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2" t="n">
        <v>600001.96</v>
      </c>
      <c r="K2075" s="23" t="n">
        <v>45378</v>
      </c>
      <c r="M2075" t="inlineStr">
        <is>
          <t>Formateur</t>
        </is>
      </c>
      <c r="N2075" t="inlineStr">
        <is>
          <t>N/A</t>
        </is>
      </c>
      <c r="O2075" t="inlineStr">
        <is>
          <t>N/A</t>
        </is>
      </c>
      <c r="P2075" t="inlineStr">
        <is>
          <t>Convention minère et Code minier (Fond Social et Fond d'appui au developpement local)</t>
        </is>
      </c>
      <c r="Q2075" t="inlineStr">
        <is>
          <t>NA</t>
        </is>
      </c>
      <c r="R2075" s="22"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2" t="n">
        <v>600000.5699999999</v>
      </c>
      <c r="K2076" s="23"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2"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2" t="n">
        <v>600000</v>
      </c>
      <c r="K2077" s="23" t="n">
        <v>45327</v>
      </c>
      <c r="R2077" s="22"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2" t="n">
        <v>600000</v>
      </c>
      <c r="K2078" s="23" t="n">
        <v>45062</v>
      </c>
      <c r="M2078" t="inlineStr">
        <is>
          <t>Appuis divers</t>
        </is>
      </c>
      <c r="R2078" s="22"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2" t="n">
        <v>600000</v>
      </c>
      <c r="K2079" s="23" t="n">
        <v>45070</v>
      </c>
      <c r="R2079" s="22"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2" t="n">
        <v>600000</v>
      </c>
      <c r="K2080" t="inlineStr">
        <is>
          <t>27/10/2023</t>
        </is>
      </c>
      <c r="L2080" t="inlineStr">
        <is>
          <t>Appuis divers</t>
        </is>
      </c>
      <c r="R2080" s="22"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2" t="n">
        <v>102807.7</v>
      </c>
      <c r="K2081" s="23" t="n">
        <v>45044</v>
      </c>
      <c r="L2081" t="inlineStr">
        <is>
          <t>Hydraulique</t>
        </is>
      </c>
      <c r="M2081" t="inlineStr">
        <is>
          <t>N/A</t>
        </is>
      </c>
      <c r="N2081" t="inlineStr">
        <is>
          <t>N/A</t>
        </is>
      </c>
      <c r="O2081" t="inlineStr">
        <is>
          <t>N/A</t>
        </is>
      </c>
      <c r="R2081" s="22"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2" t="n">
        <v>1395103.27</v>
      </c>
      <c r="K2082" s="23" t="n">
        <v>45044</v>
      </c>
      <c r="L2082" t="inlineStr">
        <is>
          <t>Education</t>
        </is>
      </c>
      <c r="M2082" t="inlineStr">
        <is>
          <t>N/A</t>
        </is>
      </c>
      <c r="N2082" t="inlineStr">
        <is>
          <t>N/A</t>
        </is>
      </c>
      <c r="O2082" t="inlineStr">
        <is>
          <t>N/A</t>
        </is>
      </c>
      <c r="R2082" s="22"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2" t="n">
        <v>1600689.73</v>
      </c>
      <c r="K2083" s="23" t="n">
        <v>45044</v>
      </c>
      <c r="L2083" t="inlineStr">
        <is>
          <t>Education</t>
        </is>
      </c>
      <c r="M2083" t="inlineStr">
        <is>
          <t>N/A</t>
        </is>
      </c>
      <c r="N2083" t="inlineStr">
        <is>
          <t>N/A</t>
        </is>
      </c>
      <c r="O2083" t="inlineStr">
        <is>
          <t>N/A</t>
        </is>
      </c>
      <c r="R2083" s="22"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2" t="n">
        <v>865394.5</v>
      </c>
      <c r="K2084" s="23" t="n">
        <v>45052</v>
      </c>
      <c r="L2084" t="inlineStr">
        <is>
          <t>Education</t>
        </is>
      </c>
      <c r="M2084" t="inlineStr">
        <is>
          <t>N/A</t>
        </is>
      </c>
      <c r="N2084" t="inlineStr">
        <is>
          <t>N/A</t>
        </is>
      </c>
      <c r="O2084" t="inlineStr">
        <is>
          <t>N/A</t>
        </is>
      </c>
      <c r="R2084" s="22"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2" t="n">
        <v>842704</v>
      </c>
      <c r="K2085" s="23" t="n">
        <v>45052</v>
      </c>
      <c r="L2085" t="inlineStr">
        <is>
          <t>Education</t>
        </is>
      </c>
      <c r="M2085" t="inlineStr">
        <is>
          <t>N/A</t>
        </is>
      </c>
      <c r="N2085" t="inlineStr">
        <is>
          <t>N/A</t>
        </is>
      </c>
      <c r="O2085" t="inlineStr">
        <is>
          <t>N/A</t>
        </is>
      </c>
      <c r="R2085" s="22"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2" t="n">
        <v>190160</v>
      </c>
      <c r="K2086" s="23" t="n">
        <v>45052</v>
      </c>
      <c r="L2086" t="inlineStr">
        <is>
          <t>Capacitation des femme, agricultures et divers</t>
        </is>
      </c>
      <c r="M2086" t="inlineStr">
        <is>
          <t>N/A</t>
        </is>
      </c>
      <c r="N2086" t="inlineStr">
        <is>
          <t>N/A</t>
        </is>
      </c>
      <c r="O2086" t="inlineStr">
        <is>
          <t>N/A</t>
        </is>
      </c>
      <c r="R2086" s="22"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2" t="n">
        <v>1536006.14</v>
      </c>
      <c r="K2087" s="23" t="n">
        <v>45052</v>
      </c>
      <c r="L2087" t="inlineStr">
        <is>
          <t>Sport et Culture</t>
        </is>
      </c>
      <c r="M2087" t="inlineStr">
        <is>
          <t>N/A</t>
        </is>
      </c>
      <c r="N2087" t="inlineStr">
        <is>
          <t>N/A</t>
        </is>
      </c>
      <c r="O2087" t="inlineStr">
        <is>
          <t>N/A</t>
        </is>
      </c>
      <c r="R2087" s="22"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2" t="n">
        <v>36220.07</v>
      </c>
      <c r="K2088" s="23" t="n">
        <v>45052</v>
      </c>
      <c r="L2088" t="inlineStr">
        <is>
          <t>Sport et Culture</t>
        </is>
      </c>
      <c r="M2088" t="inlineStr">
        <is>
          <t>N/A</t>
        </is>
      </c>
      <c r="N2088" t="inlineStr">
        <is>
          <t>N/A</t>
        </is>
      </c>
      <c r="O2088" t="inlineStr">
        <is>
          <t>N/A</t>
        </is>
      </c>
      <c r="R2088" s="22"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2" t="n">
        <v>936499.34</v>
      </c>
      <c r="K2089" s="23" t="n">
        <v>45052</v>
      </c>
      <c r="L2089" t="inlineStr">
        <is>
          <t>Sport et Culture</t>
        </is>
      </c>
      <c r="M2089" t="inlineStr">
        <is>
          <t>N/A</t>
        </is>
      </c>
      <c r="N2089" t="inlineStr">
        <is>
          <t>N/A</t>
        </is>
      </c>
      <c r="O2089" t="inlineStr">
        <is>
          <t>N/A</t>
        </is>
      </c>
      <c r="R2089" s="22"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2" t="n">
        <v>424999.45</v>
      </c>
      <c r="K2090" s="23" t="n">
        <v>45052</v>
      </c>
      <c r="L2090" t="inlineStr">
        <is>
          <t>Sport et Culture</t>
        </is>
      </c>
      <c r="M2090" t="inlineStr">
        <is>
          <t>N/A</t>
        </is>
      </c>
      <c r="N2090" t="inlineStr">
        <is>
          <t>N/A</t>
        </is>
      </c>
      <c r="O2090" t="inlineStr">
        <is>
          <t>N/A</t>
        </is>
      </c>
      <c r="R2090" s="22"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2" t="n">
        <v>83725</v>
      </c>
      <c r="K2091" s="23" t="n">
        <v>45052</v>
      </c>
      <c r="L2091" t="inlineStr">
        <is>
          <t>Sport et Culture</t>
        </is>
      </c>
      <c r="M2091" t="inlineStr">
        <is>
          <t>N/A</t>
        </is>
      </c>
      <c r="N2091" t="inlineStr">
        <is>
          <t>N/A</t>
        </is>
      </c>
      <c r="O2091" t="inlineStr">
        <is>
          <t>N/A</t>
        </is>
      </c>
      <c r="R2091" s="22"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2" t="n">
        <v>80376.32000000001</v>
      </c>
      <c r="K2092" s="23" t="n">
        <v>45061</v>
      </c>
      <c r="L2092" t="inlineStr">
        <is>
          <t>Education</t>
        </is>
      </c>
      <c r="M2092" t="inlineStr">
        <is>
          <t>N/A</t>
        </is>
      </c>
      <c r="N2092" t="inlineStr">
        <is>
          <t>N/A</t>
        </is>
      </c>
      <c r="O2092" t="inlineStr">
        <is>
          <t>N/A</t>
        </is>
      </c>
      <c r="R2092" s="22"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2" t="n">
        <v>-190160</v>
      </c>
      <c r="K2093" s="23" t="n">
        <v>45061</v>
      </c>
      <c r="L2093" t="inlineStr">
        <is>
          <t>Capacitation des femme, agricultures et divers</t>
        </is>
      </c>
      <c r="M2093" t="inlineStr">
        <is>
          <t>N/A</t>
        </is>
      </c>
      <c r="N2093" t="inlineStr">
        <is>
          <t>N/A</t>
        </is>
      </c>
      <c r="O2093" t="inlineStr">
        <is>
          <t>N/A</t>
        </is>
      </c>
      <c r="R2093" s="22"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2" t="n">
        <v>205373</v>
      </c>
      <c r="K2094" s="23" t="n">
        <v>45061</v>
      </c>
      <c r="L2094" t="inlineStr">
        <is>
          <t>Capacitation des femme, agricultures et divers</t>
        </is>
      </c>
      <c r="M2094" t="inlineStr">
        <is>
          <t>N/A</t>
        </is>
      </c>
      <c r="N2094" t="inlineStr">
        <is>
          <t>N/A</t>
        </is>
      </c>
      <c r="O2094" t="inlineStr">
        <is>
          <t>N/A</t>
        </is>
      </c>
      <c r="R2094" s="22"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2" t="n">
        <v>3840013.29</v>
      </c>
      <c r="K2095" s="23" t="n">
        <v>45061</v>
      </c>
      <c r="L2095" t="inlineStr">
        <is>
          <t>Sport et Culture</t>
        </is>
      </c>
      <c r="M2095" t="inlineStr">
        <is>
          <t>N/A</t>
        </is>
      </c>
      <c r="N2095" t="inlineStr">
        <is>
          <t>N/A</t>
        </is>
      </c>
      <c r="O2095" t="inlineStr">
        <is>
          <t>N/A</t>
        </is>
      </c>
      <c r="R2095" s="22"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2" t="n">
        <v>90547.59</v>
      </c>
      <c r="K2096" s="23" t="n">
        <v>45061</v>
      </c>
      <c r="L2096" t="inlineStr">
        <is>
          <t>Sport et Culture</t>
        </is>
      </c>
      <c r="M2096" t="inlineStr">
        <is>
          <t>N/A</t>
        </is>
      </c>
      <c r="N2096" t="inlineStr">
        <is>
          <t>N/A</t>
        </is>
      </c>
      <c r="O2096" t="inlineStr">
        <is>
          <t>N/A</t>
        </is>
      </c>
      <c r="R2096" s="22"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2" t="n">
        <v>2341249.4</v>
      </c>
      <c r="K2097" s="23" t="n">
        <v>45061</v>
      </c>
      <c r="L2097" t="inlineStr">
        <is>
          <t>Sport et Culture</t>
        </is>
      </c>
      <c r="M2097" t="inlineStr">
        <is>
          <t>N/A</t>
        </is>
      </c>
      <c r="N2097" t="inlineStr">
        <is>
          <t>N/A</t>
        </is>
      </c>
      <c r="O2097" t="inlineStr">
        <is>
          <t>N/A</t>
        </is>
      </c>
      <c r="R2097" s="22"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2" t="n">
        <v>2508777.22</v>
      </c>
      <c r="K2098" s="23" t="n">
        <v>45061</v>
      </c>
      <c r="L2098" t="inlineStr">
        <is>
          <t>Sport et Culture</t>
        </is>
      </c>
      <c r="M2098" t="inlineStr">
        <is>
          <t>N/A</t>
        </is>
      </c>
      <c r="N2098" t="inlineStr">
        <is>
          <t>N/A</t>
        </is>
      </c>
      <c r="O2098" t="inlineStr">
        <is>
          <t>N/A</t>
        </is>
      </c>
      <c r="R2098" s="22"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2" t="n">
        <v>0</v>
      </c>
      <c r="K2099" s="23"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2" t="n">
        <v>1439999.05</v>
      </c>
      <c r="K2100" s="23" t="n">
        <v>45084</v>
      </c>
      <c r="L2100" t="inlineStr">
        <is>
          <t>Capacitation des femme, agricultures et divers</t>
        </is>
      </c>
      <c r="M2100" t="inlineStr">
        <is>
          <t>N/A</t>
        </is>
      </c>
      <c r="N2100" t="inlineStr">
        <is>
          <t>N/A</t>
        </is>
      </c>
      <c r="O2100" t="inlineStr">
        <is>
          <t>N/A</t>
        </is>
      </c>
      <c r="R2100" s="22"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2" t="n">
        <v>35201.44</v>
      </c>
      <c r="K2101" s="23" t="n">
        <v>45084</v>
      </c>
      <c r="L2101" t="inlineStr">
        <is>
          <t>Capacitation des femme, agricultures et divers</t>
        </is>
      </c>
      <c r="M2101" t="inlineStr">
        <is>
          <t>N/A</t>
        </is>
      </c>
      <c r="N2101" t="inlineStr">
        <is>
          <t>N/A</t>
        </is>
      </c>
      <c r="O2101" t="inlineStr">
        <is>
          <t>N/A</t>
        </is>
      </c>
      <c r="R2101" s="22"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2" t="n">
        <v>800000.84</v>
      </c>
      <c r="K2102" s="23" t="n">
        <v>45084</v>
      </c>
      <c r="L2102" t="inlineStr">
        <is>
          <t>Capacitation des femme, agricultures et divers</t>
        </is>
      </c>
      <c r="M2102" t="inlineStr">
        <is>
          <t>N/A</t>
        </is>
      </c>
      <c r="N2102" t="inlineStr">
        <is>
          <t>N/A</t>
        </is>
      </c>
      <c r="O2102" t="inlineStr">
        <is>
          <t>N/A</t>
        </is>
      </c>
      <c r="R2102" s="22"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2" t="n">
        <v>199998.67</v>
      </c>
      <c r="K2103" s="23" t="n">
        <v>45084</v>
      </c>
      <c r="L2103" t="inlineStr">
        <is>
          <t>Capacitation des femme, agricultures et divers</t>
        </is>
      </c>
      <c r="M2103" t="inlineStr">
        <is>
          <t>N/A</t>
        </is>
      </c>
      <c r="N2103" t="inlineStr">
        <is>
          <t>N/A</t>
        </is>
      </c>
      <c r="O2103" t="inlineStr">
        <is>
          <t>N/A</t>
        </is>
      </c>
      <c r="R2103" s="22"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2" t="n">
        <v>453443.87</v>
      </c>
      <c r="K2104" s="23" t="n">
        <v>45086</v>
      </c>
      <c r="L2104" t="inlineStr">
        <is>
          <t>Capacitation des femme, agricultures et divers</t>
        </is>
      </c>
      <c r="M2104" t="inlineStr">
        <is>
          <t>N/A</t>
        </is>
      </c>
      <c r="N2104" t="inlineStr">
        <is>
          <t>N/A</t>
        </is>
      </c>
      <c r="O2104" t="inlineStr">
        <is>
          <t>N/A</t>
        </is>
      </c>
      <c r="R2104" s="22"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2" t="n">
        <v>136374.43</v>
      </c>
      <c r="K2105" s="23" t="n">
        <v>45086</v>
      </c>
      <c r="L2105" t="inlineStr">
        <is>
          <t>Capacitation des femme, agricultures et divers</t>
        </is>
      </c>
      <c r="M2105" t="inlineStr">
        <is>
          <t>N/A</t>
        </is>
      </c>
      <c r="N2105" t="inlineStr">
        <is>
          <t>N/A</t>
        </is>
      </c>
      <c r="O2105" t="inlineStr">
        <is>
          <t>N/A</t>
        </is>
      </c>
      <c r="R2105" s="22"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2"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2" t="n">
        <v>-1213368.13</v>
      </c>
      <c r="K2107" s="23" t="n">
        <v>45112</v>
      </c>
      <c r="L2107" t="inlineStr">
        <is>
          <t>sport et Culture</t>
        </is>
      </c>
      <c r="M2107" t="inlineStr">
        <is>
          <t>N/A</t>
        </is>
      </c>
      <c r="N2107" t="inlineStr">
        <is>
          <t>N/A</t>
        </is>
      </c>
      <c r="O2107" t="inlineStr">
        <is>
          <t>N/A</t>
        </is>
      </c>
      <c r="R2107" s="22"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2"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2" t="n">
        <v>463602</v>
      </c>
      <c r="K2109" s="23" t="n">
        <v>45216</v>
      </c>
      <c r="L2109" t="inlineStr">
        <is>
          <t>Education</t>
        </is>
      </c>
      <c r="M2109" t="inlineStr">
        <is>
          <t>N/A</t>
        </is>
      </c>
      <c r="N2109" t="inlineStr">
        <is>
          <t>N/A</t>
        </is>
      </c>
      <c r="O2109" t="inlineStr">
        <is>
          <t>N/A</t>
        </is>
      </c>
      <c r="R2109" s="22"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2" t="n">
        <v>75000</v>
      </c>
      <c r="K2110" s="23" t="n">
        <v>45261</v>
      </c>
      <c r="L2110" t="inlineStr">
        <is>
          <t>Education</t>
        </is>
      </c>
      <c r="M2110" t="inlineStr">
        <is>
          <t>N/A</t>
        </is>
      </c>
      <c r="N2110" t="inlineStr">
        <is>
          <t>N/A</t>
        </is>
      </c>
      <c r="O2110" t="inlineStr">
        <is>
          <t>N/A</t>
        </is>
      </c>
      <c r="R2110" s="22"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2" t="n">
        <v>91888.88</v>
      </c>
      <c r="K2111" s="23" t="n">
        <v>45287</v>
      </c>
      <c r="L2111" t="inlineStr">
        <is>
          <t>Education</t>
        </is>
      </c>
      <c r="M2111" t="inlineStr">
        <is>
          <t>N/A</t>
        </is>
      </c>
      <c r="N2111" t="inlineStr">
        <is>
          <t>N/A</t>
        </is>
      </c>
      <c r="O2111" t="inlineStr">
        <is>
          <t>N/A</t>
        </is>
      </c>
      <c r="R2111" s="22"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2" t="n">
        <v>599998.8199999999</v>
      </c>
      <c r="K2112" s="23"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2"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2" t="n">
        <v>3000000</v>
      </c>
      <c r="L2114" t="inlineStr">
        <is>
          <t>APPUIS DIVERS (COURS DE VACANCES, SENSIBILISATIONS ET REBOISEMENT)</t>
        </is>
      </c>
      <c r="R2114" s="22"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2" t="n">
        <v>300000</v>
      </c>
      <c r="L2115" t="inlineStr">
        <is>
          <t>APPUIS DIVERS (IMPRIMANTE ET FOURNITURES BUREAU)</t>
        </is>
      </c>
      <c r="R2115" s="22"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2" t="n">
        <v>300000</v>
      </c>
      <c r="L2116" t="inlineStr">
        <is>
          <t>APPUIS DIVERS (IMPRIMANTE ET FOURNITURES BUREAU)</t>
        </is>
      </c>
      <c r="R2116" s="22"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2" t="n">
        <v>300000</v>
      </c>
      <c r="L2117" t="inlineStr">
        <is>
          <t>APPUIS DIVERS (IMPRIMANTE ET FOURNITURES BUREAU)</t>
        </is>
      </c>
      <c r="R2117" s="22"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2" t="n">
        <v>300000</v>
      </c>
      <c r="L2118" t="inlineStr">
        <is>
          <t>APPUIS DIVERS (SPORT)</t>
        </is>
      </c>
      <c r="R2118" s="22"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2" t="n">
        <v>6480650</v>
      </c>
      <c r="L2119" t="inlineStr">
        <is>
          <t>EDUCATION</t>
        </is>
      </c>
      <c r="R2119" s="22"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2" t="n">
        <v>2025000</v>
      </c>
      <c r="L2120" t="inlineStr">
        <is>
          <t>APPUIS DIVERS (CONSTRUCTION ABRIS MOULINS)</t>
        </is>
      </c>
      <c r="R2120" s="22"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2" t="n">
        <v>5900000</v>
      </c>
      <c r="L2121" t="inlineStr">
        <is>
          <t>HYDRAULIQUE</t>
        </is>
      </c>
      <c r="R2121" s="22"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2" t="n">
        <v>405000</v>
      </c>
      <c r="L2122" t="inlineStr">
        <is>
          <t>APPUIS DIVERS (SPORT)</t>
        </is>
      </c>
      <c r="R2122" s="22"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2" t="n">
        <v>1510000</v>
      </c>
      <c r="L2123" t="inlineStr">
        <is>
          <t>SANTE</t>
        </is>
      </c>
      <c r="R2123" s="22"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2" t="n">
        <v>5411700</v>
      </c>
      <c r="L2124" t="inlineStr">
        <is>
          <t>EDUCATION</t>
        </is>
      </c>
      <c r="R2124" s="22"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2" t="n">
        <v>599998.8199999999</v>
      </c>
      <c r="K2125" s="23"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2"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2" t="n">
        <v>4800000</v>
      </c>
      <c r="L2126" t="inlineStr">
        <is>
          <t>SANTE</t>
        </is>
      </c>
      <c r="R2126" s="22"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2" t="n">
        <v>3091155</v>
      </c>
      <c r="L2127" t="inlineStr">
        <is>
          <t>APPUIS DIVERS (REHABILITATION LATRINES)</t>
        </is>
      </c>
      <c r="R2127" s="22"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2" t="n">
        <v>6800000</v>
      </c>
      <c r="L2128" t="inlineStr">
        <is>
          <t>HYDRAULIQUE</t>
        </is>
      </c>
      <c r="R2128" s="22"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2" t="n">
        <v>5273202.5</v>
      </c>
      <c r="L2129" t="inlineStr">
        <is>
          <t>APPUIS DIVERS (CONSTRUCTION LATRINES)</t>
        </is>
      </c>
      <c r="R2129" s="22"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2" t="n">
        <v>12805000</v>
      </c>
      <c r="L2130" t="inlineStr">
        <is>
          <t>APPUIS DIVERS (ENERGIE SOLAIRE)</t>
        </is>
      </c>
      <c r="R2130" s="22"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2" t="n">
        <v>5273202.5</v>
      </c>
      <c r="L2131" t="inlineStr">
        <is>
          <t>APPUIS DIVERS (CONSTRUCTION LATRINES)</t>
        </is>
      </c>
      <c r="R2131" s="22"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2" t="n">
        <v>2436250</v>
      </c>
      <c r="L2132" t="inlineStr">
        <is>
          <t>HYDRAULIQUE</t>
        </is>
      </c>
      <c r="R2132" s="22"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2" t="n">
        <v>1485000</v>
      </c>
      <c r="L2133" t="inlineStr">
        <is>
          <t>EDUCATION</t>
        </is>
      </c>
      <c r="R2133" s="22"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2" t="n">
        <v>31640767</v>
      </c>
      <c r="L2134" t="inlineStr">
        <is>
          <t>APPUIS DIVERS (CONSTRUCTION D'UNE MAIRIE)</t>
        </is>
      </c>
      <c r="R2134" s="22"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2" t="n">
        <v>2436250</v>
      </c>
      <c r="L2135" t="inlineStr">
        <is>
          <t>HYDRAULIQUE</t>
        </is>
      </c>
      <c r="R2135" s="22"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2" t="n">
        <v>2100000</v>
      </c>
      <c r="L2136" t="inlineStr">
        <is>
          <t>Développement économique</t>
        </is>
      </c>
      <c r="M2136" t="inlineStr">
        <is>
          <t>moulin 2en 1</t>
        </is>
      </c>
      <c r="R2136" s="22"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2" t="n">
        <v>8004000</v>
      </c>
      <c r="L2137" t="inlineStr">
        <is>
          <t xml:space="preserve">Accès à l'eau potable </t>
        </is>
      </c>
      <c r="M2137" t="inlineStr">
        <is>
          <t xml:space="preserve">forage </t>
        </is>
      </c>
      <c r="R2137" s="22"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2" t="n">
        <v>2100000</v>
      </c>
      <c r="L2138" t="inlineStr">
        <is>
          <t>Développement économique</t>
        </is>
      </c>
      <c r="M2138" t="inlineStr">
        <is>
          <t>moulin 2en 1</t>
        </is>
      </c>
      <c r="R2138" s="22"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2" t="n">
        <v>8004000</v>
      </c>
      <c r="L2139" t="inlineStr">
        <is>
          <t xml:space="preserve">Accès à l'eau potable </t>
        </is>
      </c>
      <c r="M2139" t="inlineStr">
        <is>
          <t xml:space="preserve">forage </t>
        </is>
      </c>
      <c r="R2139" s="22"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2" t="n">
        <v>1194857</v>
      </c>
      <c r="L2140" t="inlineStr">
        <is>
          <t>Education</t>
        </is>
      </c>
      <c r="M2140" t="inlineStr">
        <is>
          <t>Fournitures scolaires</t>
        </is>
      </c>
      <c r="R2140" s="22"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2" t="n">
        <v>2100000</v>
      </c>
      <c r="L2141" t="inlineStr">
        <is>
          <t>Développement économique</t>
        </is>
      </c>
      <c r="M2141" t="inlineStr">
        <is>
          <t>moulin 2en 1</t>
        </is>
      </c>
      <c r="R2141" s="22"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2" t="n">
        <v>2100000</v>
      </c>
      <c r="L2142" t="inlineStr">
        <is>
          <t>Développement économique</t>
        </is>
      </c>
      <c r="M2142" t="inlineStr">
        <is>
          <t>moulin 2en 1</t>
        </is>
      </c>
      <c r="R2142" s="22"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2" t="n">
        <v>1194857</v>
      </c>
      <c r="L2143" t="inlineStr">
        <is>
          <t>Education</t>
        </is>
      </c>
      <c r="M2143" t="inlineStr">
        <is>
          <t>Fournitures scolaires</t>
        </is>
      </c>
      <c r="R2143" s="22"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2" t="n">
        <v>2100000</v>
      </c>
      <c r="L2144" t="inlineStr">
        <is>
          <t>Développement économique</t>
        </is>
      </c>
      <c r="M2144" t="inlineStr">
        <is>
          <t>moulin 2en 1</t>
        </is>
      </c>
      <c r="R2144" s="22"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2" t="n">
        <v>2500000</v>
      </c>
      <c r="L2145" t="inlineStr">
        <is>
          <t>Développement économique</t>
        </is>
      </c>
      <c r="M2145" t="inlineStr">
        <is>
          <t>perimetre maraicher</t>
        </is>
      </c>
      <c r="R2145" s="22"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2" t="n">
        <v>2249500</v>
      </c>
      <c r="L2146" t="inlineStr">
        <is>
          <t xml:space="preserve">Accès à l'eau potable </t>
        </is>
      </c>
      <c r="M2146" t="inlineStr">
        <is>
          <t>Adduction d'eau au niveau de l'école</t>
        </is>
      </c>
      <c r="R2146" s="22"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2" t="n">
        <v>4520500</v>
      </c>
      <c r="L2147" t="inlineStr">
        <is>
          <t>Santé</t>
        </is>
      </c>
      <c r="M2147" t="inlineStr">
        <is>
          <t>Construction case de santé+matériel</t>
        </is>
      </c>
      <c r="R2147" s="22"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2" t="n">
        <v>2500000</v>
      </c>
      <c r="L2148" t="inlineStr">
        <is>
          <t>Santé</t>
        </is>
      </c>
      <c r="M2148" t="inlineStr">
        <is>
          <t>Solarisation case de santé</t>
        </is>
      </c>
      <c r="R2148" s="22"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2" t="n">
        <v>8004000</v>
      </c>
      <c r="L2149" t="inlineStr">
        <is>
          <t xml:space="preserve">Accès à l'eau potable </t>
        </is>
      </c>
      <c r="M2149" t="inlineStr">
        <is>
          <t xml:space="preserve">forage </t>
        </is>
      </c>
      <c r="R2149" s="22"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2" t="n">
        <v>1567000</v>
      </c>
      <c r="L2150" t="inlineStr">
        <is>
          <t>Education</t>
        </is>
      </c>
      <c r="M2150" t="inlineStr">
        <is>
          <t>Latrines pour l'ecole</t>
        </is>
      </c>
      <c r="R2150" s="22"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2" t="n">
        <v>1194857</v>
      </c>
      <c r="L2151" t="inlineStr">
        <is>
          <t>Education</t>
        </is>
      </c>
      <c r="M2151" t="inlineStr">
        <is>
          <t>Fournitures scolaires</t>
        </is>
      </c>
      <c r="R2151" s="22"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2" t="n">
        <v>4520500</v>
      </c>
      <c r="L2152" t="inlineStr">
        <is>
          <t>Santé</t>
        </is>
      </c>
      <c r="M2152" t="inlineStr">
        <is>
          <t>salle d'hospitalisation + materiel medical</t>
        </is>
      </c>
      <c r="R2152" s="22"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2" t="n">
        <v>2500000</v>
      </c>
      <c r="L2153" t="inlineStr">
        <is>
          <t>Santé</t>
        </is>
      </c>
      <c r="M2153" t="inlineStr">
        <is>
          <t xml:space="preserve">solarisation de la salle d'hospitalisation </t>
        </is>
      </c>
      <c r="R2153" s="22"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2" t="n">
        <v>307142</v>
      </c>
      <c r="L2154" t="inlineStr">
        <is>
          <t>Education</t>
        </is>
      </c>
      <c r="M2154" t="inlineStr">
        <is>
          <t>Remise en etat des batteries de l'école</t>
        </is>
      </c>
      <c r="R2154" s="22"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2" t="n">
        <v>8004000</v>
      </c>
      <c r="L2155" t="inlineStr">
        <is>
          <t xml:space="preserve">Accès à l'eau potable </t>
        </is>
      </c>
      <c r="M2155" t="inlineStr">
        <is>
          <t xml:space="preserve">forage </t>
        </is>
      </c>
      <c r="R2155" s="22"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2" t="n">
        <v>307142</v>
      </c>
      <c r="L2156" t="inlineStr">
        <is>
          <t>Education</t>
        </is>
      </c>
      <c r="M2156" t="inlineStr">
        <is>
          <t>Remise en etat des batteries de l'école</t>
        </is>
      </c>
      <c r="R2156" s="22"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2" t="n">
        <v>1194857</v>
      </c>
      <c r="L2157" t="inlineStr">
        <is>
          <t>Education</t>
        </is>
      </c>
      <c r="M2157" t="inlineStr">
        <is>
          <t>Fournitures scolaires</t>
        </is>
      </c>
      <c r="R2157" s="22"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2" t="n">
        <v>2000000</v>
      </c>
      <c r="L2158" t="inlineStr">
        <is>
          <t>Santé</t>
        </is>
      </c>
      <c r="M2158" t="inlineStr">
        <is>
          <t>achat de 8 batteries pour le poste</t>
        </is>
      </c>
      <c r="R2158" s="22"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2" t="n">
        <v>900000</v>
      </c>
      <c r="L2159" t="inlineStr">
        <is>
          <t>Santé</t>
        </is>
      </c>
      <c r="M2159" t="inlineStr">
        <is>
          <t>reparation et peinture poste de santé</t>
        </is>
      </c>
      <c r="R2159" s="22"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2" t="n">
        <v>4000000</v>
      </c>
      <c r="L2160" t="inlineStr">
        <is>
          <t>Education</t>
        </is>
      </c>
      <c r="M2160" t="inlineStr">
        <is>
          <t>finition 2 Salles de classes</t>
        </is>
      </c>
      <c r="R2160" s="22"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2" t="n">
        <v>1194857</v>
      </c>
      <c r="L2161" t="inlineStr">
        <is>
          <t>Education</t>
        </is>
      </c>
      <c r="M2161" t="inlineStr">
        <is>
          <t>Fournitures scolaires</t>
        </is>
      </c>
      <c r="R2161" s="22"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2" t="n">
        <v>8004000</v>
      </c>
      <c r="L2162" t="inlineStr">
        <is>
          <t xml:space="preserve">Accès à l'eau potable </t>
        </is>
      </c>
      <c r="M2162" t="inlineStr">
        <is>
          <t xml:space="preserve">forage </t>
        </is>
      </c>
      <c r="R2162" s="22"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2" t="n">
        <v>11200600</v>
      </c>
      <c r="L2163" t="inlineStr">
        <is>
          <t>Santé</t>
        </is>
      </c>
      <c r="M2163" t="inlineStr">
        <is>
          <t xml:space="preserve">Appui en matériel et équipements médical pour le centre de santé </t>
        </is>
      </c>
      <c r="R2163" s="22"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2" t="n">
        <v>800000</v>
      </c>
      <c r="L2164" t="inlineStr">
        <is>
          <t>Santé</t>
        </is>
      </c>
      <c r="M2164" t="inlineStr">
        <is>
          <t>2 climatiseur /3ch</t>
        </is>
      </c>
      <c r="R2164" s="22"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2" t="n">
        <v>307142</v>
      </c>
      <c r="L2165" t="inlineStr">
        <is>
          <t>Education</t>
        </is>
      </c>
      <c r="M2165" t="inlineStr">
        <is>
          <t xml:space="preserve">Remise en état des batteries du solaire de l’école. </t>
        </is>
      </c>
      <c r="R2165" s="22"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2" t="n">
        <v>1194857</v>
      </c>
      <c r="L2166" t="inlineStr">
        <is>
          <t>Education</t>
        </is>
      </c>
      <c r="M2166" t="inlineStr">
        <is>
          <t>Fournitures scolaires</t>
        </is>
      </c>
      <c r="R2166" s="22"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2" t="n">
        <v>307142</v>
      </c>
      <c r="L2167" t="inlineStr">
        <is>
          <t>Education</t>
        </is>
      </c>
      <c r="M2167" t="inlineStr">
        <is>
          <t xml:space="preserve">Remise en état des batteries du solaire de l’école. </t>
        </is>
      </c>
      <c r="R2167" s="22"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2" t="n">
        <v>8004000</v>
      </c>
      <c r="L2168" t="inlineStr">
        <is>
          <t xml:space="preserve">Accès à l'eau potable </t>
        </is>
      </c>
      <c r="M2168" t="inlineStr">
        <is>
          <t>Construction d’un forage à pompe manuelle pour les femmes du village</t>
        </is>
      </c>
      <c r="R2168" s="22"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2" t="n">
        <v>1194857</v>
      </c>
      <c r="L2169" t="inlineStr">
        <is>
          <t>Education</t>
        </is>
      </c>
      <c r="M2169" t="inlineStr">
        <is>
          <t>Fournitures scolaires</t>
        </is>
      </c>
      <c r="R2169" s="22"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2" t="n">
        <v>307142</v>
      </c>
      <c r="L2170" t="inlineStr">
        <is>
          <t>Education</t>
        </is>
      </c>
      <c r="M2170" t="inlineStr">
        <is>
          <t xml:space="preserve">Remise en état des batteries du solaire pour l’école. </t>
        </is>
      </c>
      <c r="R2170" s="22"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2" t="n">
        <v>2100000</v>
      </c>
      <c r="L2171" t="inlineStr">
        <is>
          <t>Développement économique</t>
        </is>
      </c>
      <c r="M2171" t="inlineStr">
        <is>
          <t>Moulin</t>
        </is>
      </c>
      <c r="R2171" s="22"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2" t="n">
        <v>8004000</v>
      </c>
      <c r="L2172" t="inlineStr">
        <is>
          <t xml:space="preserve">Accès à l'eau potable </t>
        </is>
      </c>
      <c r="M2172" t="inlineStr">
        <is>
          <t xml:space="preserve">forage </t>
        </is>
      </c>
      <c r="R2172" s="22"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2" t="n">
        <v>8004000</v>
      </c>
      <c r="L2173" t="inlineStr">
        <is>
          <t xml:space="preserve">Accès à l'eau potable </t>
        </is>
      </c>
      <c r="M2173" t="inlineStr">
        <is>
          <t xml:space="preserve">forage </t>
        </is>
      </c>
      <c r="R2173" s="22"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2" t="n">
        <v>2100000</v>
      </c>
      <c r="L2174" t="inlineStr">
        <is>
          <t>Développement économique</t>
        </is>
      </c>
      <c r="M2174" t="inlineStr">
        <is>
          <t>Moulin</t>
        </is>
      </c>
      <c r="R2174" s="22"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2" t="n">
        <v>615285</v>
      </c>
      <c r="L2175" t="inlineStr">
        <is>
          <t>Santé</t>
        </is>
      </c>
      <c r="M2175" t="inlineStr">
        <is>
          <t xml:space="preserve">Remise en état des batteries du solaire de l’école et du poste de santé. </t>
        </is>
      </c>
      <c r="R2175" s="22"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2" t="n">
        <v>1240000</v>
      </c>
      <c r="L2176" t="inlineStr">
        <is>
          <t>Education</t>
        </is>
      </c>
      <c r="M2176" t="inlineStr">
        <is>
          <t xml:space="preserve">Electrification de l’école à partir de panneaux solaires. </t>
        </is>
      </c>
      <c r="R2176" s="22"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2" t="n">
        <v>1240000</v>
      </c>
      <c r="L2177" t="inlineStr">
        <is>
          <t>Education</t>
        </is>
      </c>
      <c r="M2177" t="inlineStr">
        <is>
          <t>Electrification de l’école.</t>
        </is>
      </c>
      <c r="R2177" s="22"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2" t="n">
        <v>2000000</v>
      </c>
      <c r="L2178" t="inlineStr">
        <is>
          <t>Sécurité alimentaire</t>
        </is>
      </c>
      <c r="M2178" t="inlineStr">
        <is>
          <t>Une remise de don de vivres pour le village de  incendié récemment.</t>
        </is>
      </c>
      <c r="R2178" s="22"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2" t="n">
        <v>3210000</v>
      </c>
      <c r="L2179" t="inlineStr">
        <is>
          <t xml:space="preserve">Accès à l'eau potable </t>
        </is>
      </c>
      <c r="M2179" t="inlineStr">
        <is>
          <t xml:space="preserve">Equipement solaire du château d’eau du village </t>
        </is>
      </c>
      <c r="R2179" s="22"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2" t="n">
        <v>21179868</v>
      </c>
      <c r="K2180" s="23" t="n">
        <v>45159</v>
      </c>
      <c r="L2180" t="inlineStr">
        <is>
          <t>SOCIALE</t>
        </is>
      </c>
      <c r="M2180" t="inlineStr">
        <is>
          <t xml:space="preserve">RECEVEUR PERCEPTEUR </t>
        </is>
      </c>
      <c r="N2180" s="22" t="n">
        <v>21179868</v>
      </c>
      <c r="R2180" s="22"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2" t="n">
        <v>2500000</v>
      </c>
      <c r="K2181" s="23" t="n">
        <v>45161</v>
      </c>
      <c r="L2181" t="inlineStr">
        <is>
          <t>SOCIALE</t>
        </is>
      </c>
      <c r="M2181" t="inlineStr">
        <is>
          <t>COMMISION DES EVALUATION DES IMPENSES CHQN0290485</t>
        </is>
      </c>
      <c r="N2181" s="22" t="n">
        <v>2500000</v>
      </c>
      <c r="R2181" s="22"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2" t="n">
        <v>4207820</v>
      </c>
      <c r="K2182" s="23" t="n">
        <v>45188</v>
      </c>
      <c r="L2182" t="inlineStr">
        <is>
          <t>SOCIALE</t>
        </is>
      </c>
      <c r="M2182" t="inlineStr">
        <is>
          <t>INDEMINISATION DES EXPLOITANTS AGRICOLE POUR LA VOIE D'ACCES</t>
        </is>
      </c>
      <c r="N2182" s="22" t="n">
        <v>4207820</v>
      </c>
      <c r="R2182" s="22"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2" t="n">
        <v>6014500</v>
      </c>
      <c r="K2183" s="23" t="n">
        <v>45222</v>
      </c>
      <c r="L2183" t="inlineStr">
        <is>
          <t>SOCIALE</t>
        </is>
      </c>
      <c r="M2183" t="inlineStr">
        <is>
          <t>IMPENSES DES CHAMPS INONDES PAR LES EAUX DE PLUIES</t>
        </is>
      </c>
      <c r="N2183" s="22" t="n">
        <v>6014500</v>
      </c>
      <c r="R2183" s="22"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2" t="n">
        <v>3000000</v>
      </c>
      <c r="K2184" s="23" t="n">
        <v>45246</v>
      </c>
      <c r="L2184" t="inlineStr">
        <is>
          <t>SOCIALE</t>
        </is>
      </c>
      <c r="M2184" t="inlineStr">
        <is>
          <t>ORGANISATION COMMISION IMPENSES/ PREFET BAMBEY</t>
        </is>
      </c>
      <c r="N2184" s="22" t="n">
        <v>3000000</v>
      </c>
      <c r="R2184" s="22"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2" t="n">
        <v>16340963</v>
      </c>
      <c r="K2185" s="23" t="n">
        <v>45260</v>
      </c>
      <c r="L2185" t="inlineStr">
        <is>
          <t>SOCIALE</t>
        </is>
      </c>
      <c r="M2185" t="inlineStr">
        <is>
          <t>IMPENSES AGRICOLES ET FORESTIERES/ PERSONNES AFFECTEES PAR LE PAP</t>
        </is>
      </c>
      <c r="N2185" s="22" t="n">
        <v>16340963</v>
      </c>
      <c r="R2185" s="22"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2" t="n">
        <v>4193730</v>
      </c>
      <c r="K2186" s="23" t="n">
        <v>45264</v>
      </c>
      <c r="L2186" t="inlineStr">
        <is>
          <t>SOCIALE</t>
        </is>
      </c>
      <c r="M2186" t="inlineStr">
        <is>
          <t>IMPENSES/ INDEMNISATIONS DES CHAMPS IMPACTES PAR LA VOIE D'ACCES</t>
        </is>
      </c>
      <c r="N2186" s="22" t="n">
        <v>4193730</v>
      </c>
      <c r="R2186" s="22"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2" t="n">
        <v>16340960</v>
      </c>
      <c r="K2187" s="23" t="n">
        <v>45265</v>
      </c>
      <c r="L2187" t="inlineStr">
        <is>
          <t>SOCIALE</t>
        </is>
      </c>
      <c r="M2187" t="inlineStr">
        <is>
          <t>Impenses forestieres et agricoles</t>
        </is>
      </c>
      <c r="N2187" s="22" t="n">
        <v>16340960</v>
      </c>
      <c r="R2187" s="22"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2" t="n">
        <v>409041</v>
      </c>
      <c r="K2188" s="23" t="n">
        <v>45013</v>
      </c>
      <c r="L2188" t="inlineStr">
        <is>
          <t>IMPENSE</t>
        </is>
      </c>
      <c r="R2188" s="22"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2" t="n">
        <v>141775</v>
      </c>
      <c r="K2189" s="23" t="n">
        <v>45013</v>
      </c>
      <c r="L2189" t="inlineStr">
        <is>
          <t>IMPENSE</t>
        </is>
      </c>
      <c r="R2189" s="22"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2" t="n">
        <v>1122184</v>
      </c>
      <c r="K2190" s="23" t="n">
        <v>45013</v>
      </c>
      <c r="L2190" t="inlineStr">
        <is>
          <t>IMPENSE</t>
        </is>
      </c>
      <c r="R2190" s="22"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2" t="n">
        <v>4626394</v>
      </c>
      <c r="K2191" s="23" t="n">
        <v>45046</v>
      </c>
      <c r="L2191" t="inlineStr">
        <is>
          <t>IMPENSE</t>
        </is>
      </c>
      <c r="R2191" s="22"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2" t="n">
        <v>5570893</v>
      </c>
      <c r="K2192" s="23" t="n">
        <v>45046</v>
      </c>
      <c r="L2192" t="inlineStr">
        <is>
          <t>IMPENSE</t>
        </is>
      </c>
      <c r="R2192" s="22"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2" t="n">
        <v>3244753</v>
      </c>
      <c r="K2193" s="23" t="n">
        <v>45046</v>
      </c>
      <c r="L2193" t="inlineStr">
        <is>
          <t>IMPENSE</t>
        </is>
      </c>
      <c r="R2193" s="22"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2" t="n">
        <v>8777228</v>
      </c>
      <c r="K2194" s="23" t="n">
        <v>45046</v>
      </c>
      <c r="L2194" t="inlineStr">
        <is>
          <t>IMPENSE</t>
        </is>
      </c>
      <c r="R2194" s="22"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2" t="n">
        <v>5491660</v>
      </c>
      <c r="K2195" s="23" t="n">
        <v>45046</v>
      </c>
      <c r="L2195" t="inlineStr">
        <is>
          <t>IMPENSE</t>
        </is>
      </c>
      <c r="R2195" s="22"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2" t="n">
        <v>10415530</v>
      </c>
      <c r="K2196" s="23" t="n">
        <v>45046</v>
      </c>
      <c r="L2196" t="inlineStr">
        <is>
          <t>IMPENSE</t>
        </is>
      </c>
      <c r="R2196" s="22"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2" t="n">
        <v>3464746</v>
      </c>
      <c r="K2197" s="23" t="n">
        <v>45046</v>
      </c>
      <c r="L2197" t="inlineStr">
        <is>
          <t>IMPENSE</t>
        </is>
      </c>
      <c r="R2197" s="22"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2" t="n">
        <v>3246618</v>
      </c>
      <c r="K2198" s="23" t="n">
        <v>45046</v>
      </c>
      <c r="L2198" t="inlineStr">
        <is>
          <t>IMPENSE</t>
        </is>
      </c>
      <c r="R2198" s="22"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2" t="n">
        <v>5324891</v>
      </c>
      <c r="K2199" s="23" t="n">
        <v>45046</v>
      </c>
      <c r="L2199" t="inlineStr">
        <is>
          <t>IMPENSE</t>
        </is>
      </c>
      <c r="R2199" s="22"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2" t="n">
        <v>6574203</v>
      </c>
      <c r="K2200" s="23" t="n">
        <v>45046</v>
      </c>
      <c r="L2200" t="inlineStr">
        <is>
          <t>IMPENSE</t>
        </is>
      </c>
      <c r="R2200" s="22"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2" t="n">
        <v>6855859</v>
      </c>
      <c r="K2201" s="23" t="n">
        <v>45046</v>
      </c>
      <c r="L2201" t="inlineStr">
        <is>
          <t>IMPENSE</t>
        </is>
      </c>
      <c r="R2201" s="22"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2" t="n">
        <v>4775714</v>
      </c>
      <c r="K2202" s="23" t="n">
        <v>45046</v>
      </c>
      <c r="L2202" t="inlineStr">
        <is>
          <t>IMPENSE</t>
        </is>
      </c>
      <c r="R2202" s="22"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2" t="n">
        <v>3390998</v>
      </c>
      <c r="K2203" s="23" t="n">
        <v>45046</v>
      </c>
      <c r="L2203" t="inlineStr">
        <is>
          <t>IMPENSE</t>
        </is>
      </c>
      <c r="R2203" s="22"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2" t="n">
        <v>15502609</v>
      </c>
      <c r="K2204" s="23" t="n">
        <v>45046</v>
      </c>
      <c r="L2204" t="inlineStr">
        <is>
          <t>IMPENSE</t>
        </is>
      </c>
      <c r="R2204" s="22"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2" t="n">
        <v>2040000</v>
      </c>
      <c r="K2205" s="23" t="n">
        <v>45046</v>
      </c>
      <c r="L2205" t="inlineStr">
        <is>
          <t>IMPENSE</t>
        </is>
      </c>
      <c r="R2205" s="22"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2" t="n">
        <v>2749282</v>
      </c>
      <c r="K2206" s="23" t="n">
        <v>45046</v>
      </c>
      <c r="L2206" t="inlineStr">
        <is>
          <t>IMPENSE</t>
        </is>
      </c>
      <c r="R2206" s="22"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2" t="n">
        <v>2654160</v>
      </c>
      <c r="K2207" s="23" t="n">
        <v>45046</v>
      </c>
      <c r="L2207" t="inlineStr">
        <is>
          <t>IMPENSE</t>
        </is>
      </c>
      <c r="R2207" s="22"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2" t="n">
        <v>17569558</v>
      </c>
      <c r="K2208" s="23" t="n">
        <v>45046</v>
      </c>
      <c r="L2208" t="inlineStr">
        <is>
          <t>IMPENSE</t>
        </is>
      </c>
      <c r="R2208" s="22"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2" t="n">
        <v>2640000</v>
      </c>
      <c r="K2209" s="23" t="n">
        <v>45046</v>
      </c>
      <c r="L2209" t="inlineStr">
        <is>
          <t>IMPENSE</t>
        </is>
      </c>
      <c r="R2209" s="22"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2" t="n">
        <v>2588275</v>
      </c>
      <c r="K2210" s="23" t="n">
        <v>45046</v>
      </c>
      <c r="L2210" t="inlineStr">
        <is>
          <t>IMPENSE</t>
        </is>
      </c>
      <c r="R2210" s="22"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2" t="n">
        <v>3629468</v>
      </c>
      <c r="K2211" s="23" t="n">
        <v>45046</v>
      </c>
      <c r="L2211" t="inlineStr">
        <is>
          <t>IMPENSE</t>
        </is>
      </c>
      <c r="R2211" s="22"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2" t="n">
        <v>2701997</v>
      </c>
      <c r="K2212" s="23" t="n">
        <v>45046</v>
      </c>
      <c r="L2212" t="inlineStr">
        <is>
          <t>IMPENSE</t>
        </is>
      </c>
      <c r="R2212" s="22"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2" t="n">
        <v>5088856</v>
      </c>
      <c r="K2213" s="23" t="n">
        <v>45046</v>
      </c>
      <c r="L2213" t="inlineStr">
        <is>
          <t>IMPENSE</t>
        </is>
      </c>
      <c r="R2213" s="22"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2" t="n">
        <v>4419610</v>
      </c>
      <c r="K2214" s="23" t="n">
        <v>45046</v>
      </c>
      <c r="L2214" t="inlineStr">
        <is>
          <t>IMPENSE</t>
        </is>
      </c>
      <c r="R2214" s="22"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2" t="n">
        <v>3680827</v>
      </c>
      <c r="K2215" s="23" t="n">
        <v>45046</v>
      </c>
      <c r="L2215" t="inlineStr">
        <is>
          <t>IMPENSE</t>
        </is>
      </c>
      <c r="R2215" s="22"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2" t="n">
        <v>4403410</v>
      </c>
      <c r="K2216" s="23" t="n">
        <v>45046</v>
      </c>
      <c r="L2216" t="inlineStr">
        <is>
          <t>IMPENSE</t>
        </is>
      </c>
      <c r="R2216" s="22"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2" t="n">
        <v>5119327</v>
      </c>
      <c r="K2217" s="23" t="n">
        <v>45046</v>
      </c>
      <c r="L2217" t="inlineStr">
        <is>
          <t>IMPENSE</t>
        </is>
      </c>
      <c r="R2217" s="22"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2" t="n">
        <v>4510070</v>
      </c>
      <c r="K2218" s="23" t="n">
        <v>45046</v>
      </c>
      <c r="L2218" t="inlineStr">
        <is>
          <t>IMPENSE</t>
        </is>
      </c>
      <c r="R2218" s="22"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2" t="n">
        <v>19696694</v>
      </c>
      <c r="K2219" s="23" t="n">
        <v>45046</v>
      </c>
      <c r="L2219" t="inlineStr">
        <is>
          <t>IMPENSE</t>
        </is>
      </c>
      <c r="R2219" s="22"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2" t="n">
        <v>3622633</v>
      </c>
      <c r="K2220" s="23" t="n">
        <v>45046</v>
      </c>
      <c r="L2220" t="inlineStr">
        <is>
          <t>IMPENSE</t>
        </is>
      </c>
      <c r="R2220" s="22"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2" t="n">
        <v>3470377</v>
      </c>
      <c r="K2221" s="23" t="n">
        <v>45046</v>
      </c>
      <c r="L2221" t="inlineStr">
        <is>
          <t>IMPENSE</t>
        </is>
      </c>
      <c r="R2221" s="22"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2" t="n">
        <v>4428166</v>
      </c>
      <c r="K2222" s="23" t="n">
        <v>45046</v>
      </c>
      <c r="L2222" t="inlineStr">
        <is>
          <t>IMPENSE</t>
        </is>
      </c>
      <c r="R2222" s="22"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2" t="n">
        <v>2847000</v>
      </c>
      <c r="K2223" s="23" t="n">
        <v>45046</v>
      </c>
      <c r="L2223" t="inlineStr">
        <is>
          <t>IMPENSE</t>
        </is>
      </c>
      <c r="R2223" s="22"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2" t="n">
        <v>2387890</v>
      </c>
      <c r="K2224" s="23" t="n">
        <v>45046</v>
      </c>
      <c r="L2224" t="inlineStr">
        <is>
          <t>IMPENSE</t>
        </is>
      </c>
      <c r="R2224" s="22"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2" t="n">
        <v>4366685</v>
      </c>
      <c r="K2225" s="23" t="n">
        <v>45046</v>
      </c>
      <c r="L2225" t="inlineStr">
        <is>
          <t>IMPENSE</t>
        </is>
      </c>
      <c r="R2225" s="22"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2" t="n">
        <v>3011577</v>
      </c>
      <c r="K2226" s="23" t="n">
        <v>45046</v>
      </c>
      <c r="L2226" t="inlineStr">
        <is>
          <t>IMPENSE</t>
        </is>
      </c>
      <c r="R2226" s="22"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2" t="n">
        <v>3955892</v>
      </c>
      <c r="K2227" s="23" t="n">
        <v>45046</v>
      </c>
      <c r="L2227" t="inlineStr">
        <is>
          <t>IMPENSE</t>
        </is>
      </c>
      <c r="R2227" s="22"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2" t="n">
        <v>12966326</v>
      </c>
      <c r="K2228" s="23" t="n">
        <v>45046</v>
      </c>
      <c r="L2228" t="inlineStr">
        <is>
          <t>IMPENSE</t>
        </is>
      </c>
      <c r="R2228" s="22"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2" t="n">
        <v>3499930</v>
      </c>
      <c r="K2229" s="23" t="n">
        <v>45046</v>
      </c>
      <c r="L2229" t="inlineStr">
        <is>
          <t>IMPENSE</t>
        </is>
      </c>
      <c r="R2229" s="22"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2" t="n">
        <v>1421926</v>
      </c>
      <c r="K2230" s="23" t="n">
        <v>45046</v>
      </c>
      <c r="L2230" t="inlineStr">
        <is>
          <t>IMPENSE</t>
        </is>
      </c>
      <c r="R2230" s="22"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2" t="n">
        <v>10000000</v>
      </c>
      <c r="K2231" s="23" t="n">
        <v>45046</v>
      </c>
      <c r="L2231" t="inlineStr">
        <is>
          <t>IMPENSE BATI</t>
        </is>
      </c>
      <c r="R2231" s="22"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2" t="n">
        <v>1350998</v>
      </c>
      <c r="K2232" s="23" t="n">
        <v>45071</v>
      </c>
      <c r="L2232" t="inlineStr">
        <is>
          <t>IMPENSE</t>
        </is>
      </c>
      <c r="R2232" s="22"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2" t="n">
        <v>26281426</v>
      </c>
      <c r="K2233" s="23" t="n">
        <v>45071</v>
      </c>
      <c r="L2233" t="inlineStr">
        <is>
          <t>IMPENSE</t>
        </is>
      </c>
      <c r="R2233" s="22"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2" t="n">
        <v>6982973</v>
      </c>
      <c r="K2234" s="23" t="n">
        <v>45071</v>
      </c>
      <c r="L2234" t="inlineStr">
        <is>
          <t>IMPENSE</t>
        </is>
      </c>
      <c r="R2234" s="22"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2" t="n">
        <v>2071200</v>
      </c>
      <c r="K2235" s="23" t="n">
        <v>45071</v>
      </c>
      <c r="L2235" t="inlineStr">
        <is>
          <t>IMPENSE</t>
        </is>
      </c>
      <c r="R2235" s="22"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2" t="n">
        <v>14283568</v>
      </c>
      <c r="K2236" s="23" t="n">
        <v>45083</v>
      </c>
      <c r="L2236" t="inlineStr">
        <is>
          <t>IMPENSE</t>
        </is>
      </c>
      <c r="R2236" s="22"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2" t="n">
        <v>2911123</v>
      </c>
      <c r="K2237" s="23" t="n">
        <v>45181</v>
      </c>
      <c r="L2237" t="inlineStr">
        <is>
          <t>IMPENSE</t>
        </is>
      </c>
      <c r="R2237" s="22"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2" t="n">
        <v>1898000</v>
      </c>
      <c r="K2238" s="23" t="n">
        <v>45181</v>
      </c>
      <c r="L2238" t="inlineStr">
        <is>
          <t>IMPENSE</t>
        </is>
      </c>
      <c r="R2238" s="22"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2" t="n">
        <v>2415088</v>
      </c>
      <c r="K2239" s="23" t="n">
        <v>45181</v>
      </c>
      <c r="L2239" t="inlineStr">
        <is>
          <t>IMPENSE</t>
        </is>
      </c>
      <c r="R2239" s="22"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2" t="n">
        <v>2333287</v>
      </c>
      <c r="K2240" s="23" t="n">
        <v>45181</v>
      </c>
      <c r="L2240" t="inlineStr">
        <is>
          <t>IMPENSE</t>
        </is>
      </c>
      <c r="R2240" s="22"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2" t="n">
        <v>4382802</v>
      </c>
      <c r="K2241" s="23" t="n">
        <v>45181</v>
      </c>
      <c r="L2241" t="inlineStr">
        <is>
          <t>IMPENSE</t>
        </is>
      </c>
      <c r="R2241" s="22"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2" t="n">
        <v>3084262</v>
      </c>
      <c r="K2242" s="23" t="n">
        <v>45181</v>
      </c>
      <c r="L2242" t="inlineStr">
        <is>
          <t>IMPENSE</t>
        </is>
      </c>
      <c r="R2242" s="22"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2" t="n">
        <v>1591926</v>
      </c>
      <c r="K2243" s="23" t="n">
        <v>45181</v>
      </c>
      <c r="L2243" t="inlineStr">
        <is>
          <t>IMPENSE</t>
        </is>
      </c>
      <c r="R2243" s="22"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2" t="n">
        <v>3412885</v>
      </c>
      <c r="K2244" s="23" t="n">
        <v>45181</v>
      </c>
      <c r="L2244" t="inlineStr">
        <is>
          <t>IMPENSE</t>
        </is>
      </c>
      <c r="R2244" s="22"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2" t="n">
        <v>2946407</v>
      </c>
      <c r="K2245" s="23" t="n">
        <v>45181</v>
      </c>
      <c r="L2245" t="inlineStr">
        <is>
          <t>IMPENSE</t>
        </is>
      </c>
      <c r="R2245" s="22"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2" t="n">
        <v>3183810</v>
      </c>
      <c r="K2246" s="23" t="n">
        <v>45181</v>
      </c>
      <c r="L2246" t="inlineStr">
        <is>
          <t>IMPENSE</t>
        </is>
      </c>
      <c r="R2246" s="22"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2" t="n">
        <v>1769440</v>
      </c>
      <c r="K2247" s="23" t="n">
        <v>45181</v>
      </c>
      <c r="L2247" t="inlineStr">
        <is>
          <t>IMPENSE</t>
        </is>
      </c>
      <c r="R2247" s="22"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2" t="n">
        <v>1801331</v>
      </c>
      <c r="K2248" s="23" t="n">
        <v>45181</v>
      </c>
      <c r="L2248" t="inlineStr">
        <is>
          <t>IMPENSE</t>
        </is>
      </c>
      <c r="R2248" s="22"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2" t="n">
        <v>3006713</v>
      </c>
      <c r="K2249" s="23" t="n">
        <v>45181</v>
      </c>
      <c r="L2249" t="inlineStr">
        <is>
          <t>IMPENSE</t>
        </is>
      </c>
      <c r="R2249" s="22"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2" t="n">
        <v>2313585</v>
      </c>
      <c r="K2250" s="23" t="n">
        <v>45181</v>
      </c>
      <c r="L2250" t="inlineStr">
        <is>
          <t>IMPENSE</t>
        </is>
      </c>
      <c r="R2250" s="22"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2" t="n">
        <v>2007718</v>
      </c>
      <c r="K2251" s="23" t="n">
        <v>45181</v>
      </c>
      <c r="L2251" t="inlineStr">
        <is>
          <t>IMPENSE</t>
        </is>
      </c>
      <c r="R2251" s="22"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2" t="n">
        <v>1760000</v>
      </c>
      <c r="K2252" s="23" t="n">
        <v>45181</v>
      </c>
      <c r="L2252" t="inlineStr">
        <is>
          <t>IMPENSE</t>
        </is>
      </c>
      <c r="R2252" s="22"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2" t="n">
        <v>1360000</v>
      </c>
      <c r="K2253" s="23" t="n">
        <v>45181</v>
      </c>
      <c r="L2253" t="inlineStr">
        <is>
          <t>IMPENSE</t>
        </is>
      </c>
      <c r="R2253" s="22"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2" t="n">
        <v>2453885</v>
      </c>
      <c r="K2254" s="23" t="n">
        <v>45181</v>
      </c>
      <c r="L2254" t="inlineStr">
        <is>
          <t>IMPENSE</t>
        </is>
      </c>
      <c r="R2254" s="22"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2" t="n">
        <v>2935607</v>
      </c>
      <c r="K2255" s="23" t="n">
        <v>45181</v>
      </c>
      <c r="L2255" t="inlineStr">
        <is>
          <t>IMPENSE</t>
        </is>
      </c>
      <c r="R2255" s="22"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2" t="n">
        <v>1380800</v>
      </c>
      <c r="K2256" s="23" t="n">
        <v>45181</v>
      </c>
      <c r="L2256" t="inlineStr">
        <is>
          <t>IMPENSE</t>
        </is>
      </c>
      <c r="R2256" s="22"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2" t="n">
        <v>4655315</v>
      </c>
      <c r="K2257" s="23" t="n">
        <v>45181</v>
      </c>
      <c r="L2257" t="inlineStr">
        <is>
          <t>IMPENSE</t>
        </is>
      </c>
      <c r="R2257" s="22"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2" t="n">
        <v>4570572</v>
      </c>
      <c r="K2258" s="23" t="n">
        <v>45181</v>
      </c>
      <c r="L2258" t="inlineStr">
        <is>
          <t>IMPENSE</t>
        </is>
      </c>
      <c r="R2258" s="22"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2" t="n">
        <v>2952110</v>
      </c>
      <c r="K2259" s="23" t="n">
        <v>45181</v>
      </c>
      <c r="L2259" t="inlineStr">
        <is>
          <t>IMPENSE</t>
        </is>
      </c>
      <c r="R2259" s="22"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2" t="n">
        <v>3661107</v>
      </c>
      <c r="K2260" s="23" t="n">
        <v>45181</v>
      </c>
      <c r="L2260" t="inlineStr">
        <is>
          <t>IMPENSE</t>
        </is>
      </c>
      <c r="R2260" s="22"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2" t="n">
        <v>2637262</v>
      </c>
      <c r="K2261" s="23" t="n">
        <v>45181</v>
      </c>
      <c r="L2261" t="inlineStr">
        <is>
          <t>IMPENSE</t>
        </is>
      </c>
      <c r="R2261" s="22"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2" t="n">
        <v>3392571</v>
      </c>
      <c r="K2262" s="23" t="n">
        <v>45181</v>
      </c>
      <c r="L2262" t="inlineStr">
        <is>
          <t>IMPENSE</t>
        </is>
      </c>
      <c r="R2262" s="22"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2" t="n">
        <v>2164412</v>
      </c>
      <c r="K2263" s="23" t="n">
        <v>45181</v>
      </c>
      <c r="L2263" t="inlineStr">
        <is>
          <t>IMPENSE</t>
        </is>
      </c>
      <c r="R2263" s="22"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2" t="n">
        <v>2309830</v>
      </c>
      <c r="K2264" s="23" t="n">
        <v>45181</v>
      </c>
      <c r="L2264" t="inlineStr">
        <is>
          <t>IMPENSE</t>
        </is>
      </c>
      <c r="R2264" s="22"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2" t="n">
        <v>3549927</v>
      </c>
      <c r="K2265" s="23" t="n">
        <v>45181</v>
      </c>
      <c r="L2265" t="inlineStr">
        <is>
          <t>IMPENSE</t>
        </is>
      </c>
      <c r="R2265" s="22"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2" t="n">
        <v>2260666</v>
      </c>
      <c r="K2266" s="23" t="n">
        <v>45181</v>
      </c>
      <c r="L2266" t="inlineStr">
        <is>
          <t>IMPENSE</t>
        </is>
      </c>
      <c r="R2266" s="22"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2" t="n">
        <v>947950</v>
      </c>
      <c r="K2267" s="23" t="n">
        <v>45181</v>
      </c>
      <c r="L2267" t="inlineStr">
        <is>
          <t>IMPENSE</t>
        </is>
      </c>
      <c r="R2267" s="22"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2" t="n">
        <v>2419645</v>
      </c>
      <c r="K2268" s="23" t="n">
        <v>45181</v>
      </c>
      <c r="L2268" t="inlineStr">
        <is>
          <t>IMPENSE</t>
        </is>
      </c>
      <c r="R2268" s="22"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2" t="n">
        <v>1725516</v>
      </c>
      <c r="K2269" s="23" t="n">
        <v>45181</v>
      </c>
      <c r="L2269" t="inlineStr">
        <is>
          <t>IMPENSE</t>
        </is>
      </c>
      <c r="R2269" s="22"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2" t="n">
        <v>6943687</v>
      </c>
      <c r="K2270" s="23" t="n">
        <v>45184</v>
      </c>
      <c r="L2270" t="inlineStr">
        <is>
          <t>IMPENSE</t>
        </is>
      </c>
      <c r="R2270" s="22"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2" t="n">
        <v>2387226</v>
      </c>
      <c r="K2271" s="23" t="n">
        <v>45196</v>
      </c>
      <c r="L2271" t="inlineStr">
        <is>
          <t>IMPENSE</t>
        </is>
      </c>
      <c r="R2271" s="22"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2" t="n">
        <v>900666</v>
      </c>
      <c r="K2272" s="23" t="n">
        <v>45198</v>
      </c>
      <c r="L2272" t="inlineStr">
        <is>
          <t>IMPENSE</t>
        </is>
      </c>
      <c r="R2272" s="22"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2" t="n">
        <v>2163168</v>
      </c>
      <c r="K2273" s="23" t="n">
        <v>45198</v>
      </c>
      <c r="L2273" t="inlineStr">
        <is>
          <t>IMPENSE</t>
        </is>
      </c>
      <c r="R2273" s="22"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2" t="n">
        <v>3388592</v>
      </c>
      <c r="K2274" s="23" t="n">
        <v>45222</v>
      </c>
      <c r="L2274" t="inlineStr">
        <is>
          <t>IMPENSE</t>
        </is>
      </c>
      <c r="R2274" s="22"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2" t="n">
        <v>1642200</v>
      </c>
      <c r="K2275" s="23" t="n">
        <v>45222</v>
      </c>
      <c r="L2275" t="inlineStr">
        <is>
          <t>IMPENSE</t>
        </is>
      </c>
      <c r="R2275" s="22"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2" t="n">
        <v>2708519</v>
      </c>
      <c r="K2276" s="23" t="n">
        <v>45222</v>
      </c>
      <c r="L2276" t="inlineStr">
        <is>
          <t>IMPENSE</t>
        </is>
      </c>
      <c r="R2276" s="22"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2" t="n">
        <v>2393796</v>
      </c>
      <c r="K2277" s="23" t="n">
        <v>45222</v>
      </c>
      <c r="L2277" t="inlineStr">
        <is>
          <t>IMPENSE</t>
        </is>
      </c>
      <c r="R2277" s="22"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2" t="n">
        <v>3011965</v>
      </c>
      <c r="K2278" s="23" t="n">
        <v>45222</v>
      </c>
      <c r="L2278" t="inlineStr">
        <is>
          <t>IMPENSE</t>
        </is>
      </c>
      <c r="R2278" s="22"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2" t="n">
        <v>3677615</v>
      </c>
      <c r="K2279" s="23" t="n">
        <v>45222</v>
      </c>
      <c r="L2279" t="inlineStr">
        <is>
          <t>IMPENSE</t>
        </is>
      </c>
      <c r="R2279" s="22"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2" t="n">
        <v>4281248</v>
      </c>
      <c r="K2280" s="23" t="n">
        <v>45222</v>
      </c>
      <c r="L2280" t="inlineStr">
        <is>
          <t>IMPENSE</t>
        </is>
      </c>
      <c r="R2280" s="22"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2" t="n">
        <v>2640883</v>
      </c>
      <c r="K2281" s="23" t="n">
        <v>45222</v>
      </c>
      <c r="L2281" t="inlineStr">
        <is>
          <t>IMPENSE</t>
        </is>
      </c>
      <c r="R2281" s="22"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2" t="n">
        <v>1100300</v>
      </c>
      <c r="K2282" s="23" t="n">
        <v>45222</v>
      </c>
      <c r="L2282" t="inlineStr">
        <is>
          <t>IMPENSE</t>
        </is>
      </c>
      <c r="R2282" s="22"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2" t="n">
        <v>2207734</v>
      </c>
      <c r="K2283" s="23" t="n">
        <v>45222</v>
      </c>
      <c r="L2283" t="inlineStr">
        <is>
          <t>IMPENSE</t>
        </is>
      </c>
      <c r="R2283" s="22"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2" t="n">
        <v>3668648</v>
      </c>
      <c r="K2284" s="23" t="n">
        <v>45222</v>
      </c>
      <c r="L2284" t="inlineStr">
        <is>
          <t>IMPENSE</t>
        </is>
      </c>
      <c r="R2284" s="22"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2" t="n">
        <v>4322000</v>
      </c>
      <c r="K2285" s="23" t="n">
        <v>45224</v>
      </c>
      <c r="L2285" t="inlineStr">
        <is>
          <t>IMPENSE</t>
        </is>
      </c>
      <c r="R2285" s="22"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2" t="n">
        <v>6565000</v>
      </c>
      <c r="K2286" s="23" t="n">
        <v>45224</v>
      </c>
      <c r="L2286" t="inlineStr">
        <is>
          <t>IMPENSE</t>
        </is>
      </c>
      <c r="R2286" s="22"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2" t="n">
        <v>1832854</v>
      </c>
      <c r="K2287" s="23" t="n">
        <v>45239</v>
      </c>
      <c r="L2287" t="inlineStr">
        <is>
          <t>IMPENSE</t>
        </is>
      </c>
      <c r="R2287" s="22"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2" t="n">
        <v>3000000</v>
      </c>
      <c r="K2288" s="23" t="n">
        <v>45244</v>
      </c>
      <c r="L2288" t="inlineStr">
        <is>
          <t>IMPENSE</t>
        </is>
      </c>
      <c r="R2288" s="22"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2" t="n">
        <v>3000000</v>
      </c>
      <c r="K2289" s="23" t="n">
        <v>45246</v>
      </c>
      <c r="L2289" t="inlineStr">
        <is>
          <t>IMPENSE</t>
        </is>
      </c>
      <c r="R2289" s="22"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2" t="n">
        <v>3000000</v>
      </c>
      <c r="K2290" s="23" t="n">
        <v>45266</v>
      </c>
      <c r="L2290" t="inlineStr">
        <is>
          <t>IMPENSE</t>
        </is>
      </c>
      <c r="R2290" s="22"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2" t="n">
        <v>3000000</v>
      </c>
      <c r="K2291" s="23" t="n">
        <v>45288</v>
      </c>
      <c r="L2291" t="inlineStr">
        <is>
          <t>IMPENSE</t>
        </is>
      </c>
      <c r="R2291" s="22"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2" t="n">
        <v>1134086</v>
      </c>
      <c r="K2292" s="23" t="n">
        <v>45291</v>
      </c>
      <c r="L2292" t="inlineStr">
        <is>
          <t>IMPENSE</t>
        </is>
      </c>
      <c r="R2292" s="22"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2" t="n">
        <v>364928</v>
      </c>
      <c r="K2293" s="23" t="n">
        <v>45291</v>
      </c>
      <c r="L2293" t="inlineStr">
        <is>
          <t>IMPENSE</t>
        </is>
      </c>
      <c r="R2293" s="22"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2" t="n">
        <v>2399158</v>
      </c>
      <c r="K2294" s="23" t="n">
        <v>45291</v>
      </c>
      <c r="L2294" t="inlineStr">
        <is>
          <t>IMPENSE</t>
        </is>
      </c>
      <c r="R2294" s="22"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2" t="n">
        <v>1139512</v>
      </c>
      <c r="K2295" s="23" t="n">
        <v>45291</v>
      </c>
      <c r="L2295" t="inlineStr">
        <is>
          <t>IMPENSE</t>
        </is>
      </c>
      <c r="R2295" s="22"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2" t="n">
        <v>1122091</v>
      </c>
      <c r="K2296" s="23" t="n">
        <v>45291</v>
      </c>
      <c r="L2296" t="inlineStr">
        <is>
          <t>IMPENSE</t>
        </is>
      </c>
      <c r="R2296" s="22"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2" t="n">
        <v>4104971</v>
      </c>
      <c r="K2297" s="23" t="n">
        <v>45291</v>
      </c>
      <c r="L2297" t="inlineStr">
        <is>
          <t>IMPENSE</t>
        </is>
      </c>
      <c r="R2297" s="22"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2" t="n">
        <v>1295069</v>
      </c>
      <c r="K2298" s="23" t="n">
        <v>45291</v>
      </c>
      <c r="L2298" t="inlineStr">
        <is>
          <t>IMPENSE</t>
        </is>
      </c>
      <c r="R2298" s="22"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2" t="n">
        <v>590913</v>
      </c>
      <c r="K2299" s="23" t="n">
        <v>45291</v>
      </c>
      <c r="L2299" t="inlineStr">
        <is>
          <t>IMPENSE</t>
        </is>
      </c>
      <c r="R2299" s="22"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2" t="n">
        <v>1744636</v>
      </c>
      <c r="K2300" s="23" t="n">
        <v>45291</v>
      </c>
      <c r="L2300" t="inlineStr">
        <is>
          <t>IMPENSE</t>
        </is>
      </c>
      <c r="R2300" s="22"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2" t="n">
        <v>675860</v>
      </c>
      <c r="K2301" s="23" t="n">
        <v>45291</v>
      </c>
      <c r="L2301" t="inlineStr">
        <is>
          <t>IMPENSE</t>
        </is>
      </c>
      <c r="R2301" s="22"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2" t="n">
        <v>1007078</v>
      </c>
      <c r="K2302" s="23" t="n">
        <v>45291</v>
      </c>
      <c r="L2302" t="inlineStr">
        <is>
          <t>IMPENSE</t>
        </is>
      </c>
      <c r="R2302" s="22"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2" t="n">
        <v>575945</v>
      </c>
      <c r="K2303" s="23" t="n">
        <v>45291</v>
      </c>
      <c r="L2303" t="inlineStr">
        <is>
          <t>IMPENSE</t>
        </is>
      </c>
      <c r="R2303" s="22"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2" t="n">
        <v>1890630</v>
      </c>
      <c r="K2304" s="23" t="n">
        <v>45291</v>
      </c>
      <c r="L2304" t="inlineStr">
        <is>
          <t>IMPENSE</t>
        </is>
      </c>
      <c r="R2304" s="22"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2" t="n">
        <v>4108965</v>
      </c>
      <c r="K2305" s="23" t="n">
        <v>45291</v>
      </c>
      <c r="L2305" t="inlineStr">
        <is>
          <t>IMPENSE</t>
        </is>
      </c>
      <c r="R2305" s="22"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2" t="n">
        <v>2984214</v>
      </c>
      <c r="K2306" s="23" t="n">
        <v>45291</v>
      </c>
      <c r="L2306" t="inlineStr">
        <is>
          <t>IMPENSE</t>
        </is>
      </c>
      <c r="R2306" s="22"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2" t="n">
        <v>1051510</v>
      </c>
      <c r="K2307" s="23" t="n">
        <v>45291</v>
      </c>
      <c r="L2307" t="inlineStr">
        <is>
          <t>IMPENSE</t>
        </is>
      </c>
      <c r="R2307" s="22"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2" t="n">
        <v>2559401</v>
      </c>
      <c r="K2308" s="23" t="n">
        <v>45291</v>
      </c>
      <c r="L2308" t="inlineStr">
        <is>
          <t>IMPENSE</t>
        </is>
      </c>
      <c r="R2308" s="22"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2" t="n">
        <v>541286</v>
      </c>
      <c r="K2309" s="23" t="n">
        <v>45291</v>
      </c>
      <c r="L2309" t="inlineStr">
        <is>
          <t>IMPENSE</t>
        </is>
      </c>
      <c r="R2309" s="22"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2" t="n">
        <v>55500</v>
      </c>
      <c r="K2310" s="23" t="n">
        <v>45291</v>
      </c>
      <c r="L2310" t="inlineStr">
        <is>
          <t>IMPENSE</t>
        </is>
      </c>
      <c r="R2310" s="22"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2" t="n">
        <v>1310220</v>
      </c>
      <c r="K2311" s="23" t="n">
        <v>45291</v>
      </c>
      <c r="L2311" t="inlineStr">
        <is>
          <t>IMPENSE</t>
        </is>
      </c>
      <c r="R2311" s="22"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2" t="n">
        <v>1403100</v>
      </c>
      <c r="K2312" s="23" t="n">
        <v>45291</v>
      </c>
      <c r="L2312" t="inlineStr">
        <is>
          <t>IMPENSE</t>
        </is>
      </c>
      <c r="R2312" s="22"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2" t="n">
        <v>2084998</v>
      </c>
      <c r="K2313" s="23" t="n">
        <v>45291</v>
      </c>
      <c r="L2313" t="inlineStr">
        <is>
          <t>IMPENSE</t>
        </is>
      </c>
      <c r="R2313" s="22"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2" t="n">
        <v>1268127</v>
      </c>
      <c r="K2314" s="23" t="n">
        <v>45291</v>
      </c>
      <c r="L2314" t="inlineStr">
        <is>
          <t>IMPENSE</t>
        </is>
      </c>
      <c r="R2314" s="22"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2" t="n">
        <v>787356</v>
      </c>
      <c r="K2315" s="23" t="n">
        <v>45291</v>
      </c>
      <c r="L2315" t="inlineStr">
        <is>
          <t>IMPENSE</t>
        </is>
      </c>
      <c r="R2315" s="22"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2" t="n">
        <v>1667266</v>
      </c>
      <c r="K2316" s="23" t="n">
        <v>45291</v>
      </c>
      <c r="L2316" t="inlineStr">
        <is>
          <t>IMPENSE</t>
        </is>
      </c>
      <c r="R2316" s="22"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2" t="n">
        <v>1311900</v>
      </c>
      <c r="K2317" s="23" t="n">
        <v>45291</v>
      </c>
      <c r="L2317" t="inlineStr">
        <is>
          <t>IMPENSE</t>
        </is>
      </c>
      <c r="R2317" s="22"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2" t="n">
        <v>2856381</v>
      </c>
      <c r="K2318" s="23" t="n">
        <v>45291</v>
      </c>
      <c r="L2318" t="inlineStr">
        <is>
          <t>IMPENSE</t>
        </is>
      </c>
      <c r="R2318" s="22"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2" t="n">
        <v>809200</v>
      </c>
      <c r="K2319" s="23" t="n">
        <v>45291</v>
      </c>
      <c r="L2319" t="inlineStr">
        <is>
          <t>IMPENSE</t>
        </is>
      </c>
      <c r="R2319" s="22"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2" t="n">
        <v>897563</v>
      </c>
      <c r="K2320" s="23" t="n">
        <v>45291</v>
      </c>
      <c r="L2320" t="inlineStr">
        <is>
          <t>IMPENSE</t>
        </is>
      </c>
      <c r="R2320" s="22"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2" t="n">
        <v>1677600</v>
      </c>
      <c r="K2321" s="23" t="n">
        <v>45291</v>
      </c>
      <c r="L2321" t="inlineStr">
        <is>
          <t>IMPENSE</t>
        </is>
      </c>
      <c r="R2321" s="22"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2" t="n">
        <v>2498997</v>
      </c>
      <c r="K2322" s="23" t="n">
        <v>45291</v>
      </c>
      <c r="L2322" t="inlineStr">
        <is>
          <t>IMPENSE</t>
        </is>
      </c>
      <c r="R2322" s="22"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2" t="n">
        <v>3713929</v>
      </c>
      <c r="K2323" s="23" t="n">
        <v>45291</v>
      </c>
      <c r="L2323" t="inlineStr">
        <is>
          <t>IMPENSE</t>
        </is>
      </c>
      <c r="R2323" s="22"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2" t="n">
        <v>2838719</v>
      </c>
      <c r="K2324" s="23" t="n">
        <v>45291</v>
      </c>
      <c r="L2324" t="inlineStr">
        <is>
          <t>IMPENSE</t>
        </is>
      </c>
      <c r="R2324" s="22"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2" t="n">
        <v>4760000</v>
      </c>
      <c r="K2325" s="23" t="n">
        <v>45291</v>
      </c>
      <c r="L2325" t="inlineStr">
        <is>
          <t>IMPENSE</t>
        </is>
      </c>
      <c r="R2325" s="22"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2" t="n">
        <v>2271544</v>
      </c>
      <c r="K2326" s="23" t="n">
        <v>45291</v>
      </c>
      <c r="L2326" t="inlineStr">
        <is>
          <t>IMPENSE</t>
        </is>
      </c>
      <c r="R2326" s="22"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2" t="n">
        <v>3900000</v>
      </c>
      <c r="K2327" s="23" t="n">
        <v>45291</v>
      </c>
      <c r="L2327" t="inlineStr">
        <is>
          <t>IMPENSE</t>
        </is>
      </c>
      <c r="R2327" s="22"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2" t="n">
        <v>3900000</v>
      </c>
      <c r="K2328" s="23" t="n">
        <v>45291</v>
      </c>
      <c r="L2328" t="inlineStr">
        <is>
          <t>IMPENSE</t>
        </is>
      </c>
      <c r="R2328" s="22"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2" t="n">
        <v>4762378</v>
      </c>
      <c r="K2329" s="23" t="n">
        <v>45291</v>
      </c>
      <c r="L2329" t="inlineStr">
        <is>
          <t>IMPENSE</t>
        </is>
      </c>
      <c r="R2329" s="22"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2" t="n">
        <v>3913039</v>
      </c>
      <c r="K2330" s="23" t="n">
        <v>45291</v>
      </c>
      <c r="L2330" t="inlineStr">
        <is>
          <t>IMPENSE</t>
        </is>
      </c>
      <c r="R2330" s="22"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2" t="n">
        <v>3768370</v>
      </c>
      <c r="K2331" s="23" t="n">
        <v>45291</v>
      </c>
      <c r="L2331" t="inlineStr">
        <is>
          <t>IMPENSE</t>
        </is>
      </c>
      <c r="R2331" s="22"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2" t="n">
        <v>240000</v>
      </c>
      <c r="L2332" t="inlineStr">
        <is>
          <t>APPUIS DIVERS ( PANIER RAMADAN)</t>
        </is>
      </c>
      <c r="R2332" s="22"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2" t="n">
        <v>1410000</v>
      </c>
      <c r="L2333" t="inlineStr">
        <is>
          <t>APPUIS DIVERS (PANIER RAMADAN)</t>
        </is>
      </c>
      <c r="R2333" s="22"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2" t="n">
        <v>597117.38</v>
      </c>
      <c r="K2334" s="23" t="n">
        <v>45498</v>
      </c>
      <c r="M2334" t="inlineStr">
        <is>
          <t>135919</t>
        </is>
      </c>
      <c r="N2334" t="inlineStr">
        <is>
          <t>N/A</t>
        </is>
      </c>
      <c r="O2334" t="inlineStr">
        <is>
          <t>N/A</t>
        </is>
      </c>
      <c r="P2334" t="inlineStr">
        <is>
          <t>Convention minère et Code minier (Fond Social et Fond d'appui au developpement local)</t>
        </is>
      </c>
      <c r="Q2334" t="inlineStr">
        <is>
          <t>NA</t>
        </is>
      </c>
      <c r="R2334" s="22"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2" t="n">
        <v>1423000</v>
      </c>
      <c r="L2335" t="inlineStr">
        <is>
          <t>SANTE</t>
        </is>
      </c>
      <c r="R2335" s="22"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2" t="n">
        <v>340000</v>
      </c>
      <c r="L2336" t="inlineStr">
        <is>
          <t>APPUIS DIVERS (REBOISEMENT)</t>
        </is>
      </c>
      <c r="R2336" s="22"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2" t="n">
        <v>3181850</v>
      </c>
      <c r="L2337" t="inlineStr">
        <is>
          <t>SANTE</t>
        </is>
      </c>
      <c r="R2337" s="22"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2" t="n">
        <v>5660989</v>
      </c>
      <c r="L2338" t="inlineStr">
        <is>
          <t>AGRICULTURE</t>
        </is>
      </c>
      <c r="R2338" s="22"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2" t="n">
        <v>5920850</v>
      </c>
      <c r="L2339" t="inlineStr">
        <is>
          <t>SANTE</t>
        </is>
      </c>
      <c r="R2339" s="22"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2" t="n">
        <v>5650000</v>
      </c>
      <c r="L2340" t="inlineStr">
        <is>
          <t>EDUCATION</t>
        </is>
      </c>
      <c r="R2340" s="22"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2" t="n">
        <v>16775931</v>
      </c>
      <c r="L2341" t="inlineStr">
        <is>
          <t>EDUCATION</t>
        </is>
      </c>
      <c r="R2341" s="22"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2" t="n">
        <v>9934674</v>
      </c>
      <c r="L2342" t="inlineStr">
        <is>
          <t>APPUIS DIVERS (REHABILITATION LATRINES)</t>
        </is>
      </c>
      <c r="R2342" s="22"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2" t="n">
        <v>920800</v>
      </c>
      <c r="L2343" t="inlineStr">
        <is>
          <t>EDUCATION</t>
        </is>
      </c>
      <c r="R2343" s="22"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2" t="n">
        <v>9225500</v>
      </c>
      <c r="L2344" t="inlineStr">
        <is>
          <t>AGRICULTURE</t>
        </is>
      </c>
      <c r="R2344" s="22"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2" t="n">
        <v>595000</v>
      </c>
      <c r="K2345" t="inlineStr">
        <is>
          <t>22/05/2023</t>
        </is>
      </c>
      <c r="L2345" t="inlineStr">
        <is>
          <t>Appuis divers</t>
        </is>
      </c>
      <c r="R2345" s="22"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2" t="n">
        <v>592350</v>
      </c>
      <c r="K2346" s="23"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2"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2" t="n">
        <v>785916</v>
      </c>
      <c r="L2347" t="inlineStr">
        <is>
          <t>ELEVAGE</t>
        </is>
      </c>
      <c r="R2347" s="22"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2" t="n">
        <v>589271.52</v>
      </c>
      <c r="O2348" t="inlineStr">
        <is>
          <t>SF General</t>
        </is>
      </c>
      <c r="P2348" t="inlineStr">
        <is>
          <t>Obligation de développement social: art.15 de l'avenant 1 à la convention minière de Sabodala du 23 mars 2005</t>
        </is>
      </c>
      <c r="R2348" s="22"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2" t="n">
        <v>1000000</v>
      </c>
      <c r="L2349" t="inlineStr">
        <is>
          <t>APPUIS DIVERS (REFECTION GOUVERNANCE)</t>
        </is>
      </c>
      <c r="R2349" s="22"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2" t="n">
        <v>587000</v>
      </c>
      <c r="K2350" t="inlineStr">
        <is>
          <t>22/11/2023</t>
        </is>
      </c>
      <c r="L2350" t="inlineStr">
        <is>
          <t>Appuis divers</t>
        </is>
      </c>
      <c r="R2350" s="22"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2" t="n">
        <v>8100000</v>
      </c>
      <c r="L2351" t="inlineStr">
        <is>
          <t>APPUIS DIVERS (CONSTRUCTION SALLE DE REPOS)</t>
        </is>
      </c>
      <c r="R2351" s="22"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2" t="n">
        <v>571163.33</v>
      </c>
      <c r="K2352" s="23" t="n">
        <v>44676</v>
      </c>
      <c r="L2352" t="inlineStr">
        <is>
          <t>SF General</t>
        </is>
      </c>
      <c r="R2352" s="22"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2" t="n">
        <v>562192.6800000001</v>
      </c>
      <c r="K2353" s="23" t="n">
        <v>45316</v>
      </c>
      <c r="M2353" t="inlineStr">
        <is>
          <t>130531AA</t>
        </is>
      </c>
      <c r="N2353" t="inlineStr">
        <is>
          <t>N/A</t>
        </is>
      </c>
      <c r="O2353" t="inlineStr">
        <is>
          <t>N/A</t>
        </is>
      </c>
      <c r="P2353" t="inlineStr">
        <is>
          <t>Convention minère et Code minier (Fond Social et Fond d'appui au developpement local)</t>
        </is>
      </c>
      <c r="Q2353" t="inlineStr">
        <is>
          <t>NA</t>
        </is>
      </c>
      <c r="R2353" s="22"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2" t="n">
        <v>5000000</v>
      </c>
      <c r="L2354" t="inlineStr">
        <is>
          <t>APPUIS DIVERS (CONSTRUCTION RADIER)</t>
        </is>
      </c>
      <c r="R2354" s="22"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2" t="n">
        <v>15132000</v>
      </c>
      <c r="L2355" t="inlineStr">
        <is>
          <t>HYDRAULIQUE</t>
        </is>
      </c>
      <c r="R2355" s="22"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2" t="n">
        <v>792868933</v>
      </c>
      <c r="L2356" t="inlineStr">
        <is>
          <t>RELOCALISATION VILLAGE</t>
        </is>
      </c>
      <c r="R2356" s="22"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2" t="n">
        <v>10873000</v>
      </c>
      <c r="L2357" t="inlineStr">
        <is>
          <t>AGRICULTURE</t>
        </is>
      </c>
      <c r="R2357" s="22"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2" t="n">
        <v>25500000</v>
      </c>
      <c r="L2358" t="inlineStr">
        <is>
          <t>HYDRAULIQUE</t>
        </is>
      </c>
      <c r="R2358" s="22"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2" t="n">
        <v>10873000</v>
      </c>
      <c r="L2359" t="inlineStr">
        <is>
          <t>AGRICULTURE</t>
        </is>
      </c>
      <c r="R2359" s="22"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2" t="n">
        <v>556000</v>
      </c>
      <c r="K2360" t="inlineStr">
        <is>
          <t>27/06/2023</t>
        </is>
      </c>
      <c r="L2360" t="inlineStr">
        <is>
          <t>Appuis divers</t>
        </is>
      </c>
      <c r="R2360" s="22"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2" t="n">
        <v>158886000</v>
      </c>
      <c r="L2361" t="inlineStr">
        <is>
          <t>IMPACTES DE LA ROUTE</t>
        </is>
      </c>
      <c r="R2361" s="22"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2" t="n">
        <v>555000</v>
      </c>
      <c r="K2362" t="inlineStr">
        <is>
          <t>06/10/2023</t>
        </is>
      </c>
      <c r="L2362" t="inlineStr">
        <is>
          <t>Appuis divers</t>
        </is>
      </c>
      <c r="R2362" s="22"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2" t="n">
        <v>551886</v>
      </c>
      <c r="K2363" s="23" t="n">
        <v>45352</v>
      </c>
      <c r="R2363" s="22"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2" t="n">
        <v>200000000</v>
      </c>
      <c r="K2364" s="23" t="n">
        <v>45291</v>
      </c>
      <c r="L2364" t="inlineStr">
        <is>
          <t>Infrastructure</t>
        </is>
      </c>
      <c r="R2364" s="22"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2" t="n">
        <v>37182000</v>
      </c>
      <c r="K2365" s="23" t="n">
        <v>45291</v>
      </c>
      <c r="L2365" t="inlineStr">
        <is>
          <t>Jeunesse/culture et sport</t>
        </is>
      </c>
      <c r="R2365" s="22"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2" t="n">
        <v>26869607</v>
      </c>
      <c r="K2366" s="23" t="n">
        <v>45291</v>
      </c>
      <c r="L2366" t="inlineStr">
        <is>
          <t>Education</t>
        </is>
      </c>
      <c r="R2366" s="22"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2" t="n">
        <v>24233373</v>
      </c>
      <c r="K2367" s="23" t="n">
        <v>45291</v>
      </c>
      <c r="L2367" t="inlineStr">
        <is>
          <t>Jeunesse/culture et sport</t>
        </is>
      </c>
      <c r="R2367" s="22"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2" t="n">
        <v>20000000</v>
      </c>
      <c r="K2368" s="23" t="n">
        <v>45291</v>
      </c>
      <c r="L2368" t="inlineStr">
        <is>
          <t>Infrastructure</t>
        </is>
      </c>
      <c r="R2368" s="22"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2" t="n">
        <v>19885610</v>
      </c>
      <c r="K2369" s="23" t="n">
        <v>45291</v>
      </c>
      <c r="L2369" t="inlineStr">
        <is>
          <t>Education</t>
        </is>
      </c>
      <c r="R2369" s="22"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2" t="n">
        <v>18049910</v>
      </c>
      <c r="K2370" s="23" t="n">
        <v>45291</v>
      </c>
      <c r="L2370" t="inlineStr">
        <is>
          <t>Education</t>
        </is>
      </c>
      <c r="R2370" s="22"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2" t="n">
        <v>17205000</v>
      </c>
      <c r="K2371" s="23" t="n">
        <v>45291</v>
      </c>
      <c r="L2371" t="inlineStr">
        <is>
          <t>Education</t>
        </is>
      </c>
      <c r="R2371" s="22"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2" t="n">
        <v>14582440</v>
      </c>
      <c r="K2372" s="23" t="n">
        <v>45291</v>
      </c>
      <c r="L2372" t="inlineStr">
        <is>
          <t>Infrastructure</t>
        </is>
      </c>
      <c r="R2372" s="22"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2" t="n">
        <v>13800000</v>
      </c>
      <c r="K2373" s="23" t="n">
        <v>45291</v>
      </c>
      <c r="L2373" t="inlineStr">
        <is>
          <t>Infrastructure</t>
        </is>
      </c>
      <c r="R2373" s="22"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2" t="n">
        <v>11199522</v>
      </c>
      <c r="K2374" s="23" t="n">
        <v>45291</v>
      </c>
      <c r="L2374" t="inlineStr">
        <is>
          <t>Education</t>
        </is>
      </c>
      <c r="R2374" s="22"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2" t="n">
        <v>11037975</v>
      </c>
      <c r="K2375" s="23" t="n">
        <v>45291</v>
      </c>
      <c r="L2375" t="inlineStr">
        <is>
          <t>Entreprenariat</t>
        </is>
      </c>
      <c r="R2375" s="22"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2" t="n">
        <v>10450000</v>
      </c>
      <c r="K2376" s="23" t="n">
        <v>45291</v>
      </c>
      <c r="L2376" t="inlineStr">
        <is>
          <t>Santé</t>
        </is>
      </c>
      <c r="R2376" s="22"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2" t="n">
        <v>9974000</v>
      </c>
      <c r="K2377" s="23" t="n">
        <v>45291</v>
      </c>
      <c r="L2377" t="inlineStr">
        <is>
          <t>Gouvernance</t>
        </is>
      </c>
      <c r="R2377" s="22"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2" t="n">
        <v>9000450</v>
      </c>
      <c r="K2378" s="23" t="n">
        <v>45291</v>
      </c>
      <c r="L2378" t="inlineStr">
        <is>
          <t>Gouvernance</t>
        </is>
      </c>
      <c r="R2378" s="22"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2" t="n">
        <v>9000000</v>
      </c>
      <c r="K2379" s="23" t="n">
        <v>45291</v>
      </c>
      <c r="L2379" t="inlineStr">
        <is>
          <t>Jeunesse/culture et sport</t>
        </is>
      </c>
      <c r="R2379" s="22"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2" t="n">
        <v>7793973</v>
      </c>
      <c r="K2380" s="23" t="n">
        <v>45291</v>
      </c>
      <c r="L2380" t="inlineStr">
        <is>
          <t>Jeunesse/culture et sport</t>
        </is>
      </c>
      <c r="R2380" s="22"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2" t="n">
        <v>6900000</v>
      </c>
      <c r="K2381" s="23" t="n">
        <v>45291</v>
      </c>
      <c r="L2381" t="inlineStr">
        <is>
          <t>Education</t>
        </is>
      </c>
      <c r="R2381" s="22"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2" t="n">
        <v>6700000</v>
      </c>
      <c r="K2382" s="23" t="n">
        <v>45291</v>
      </c>
      <c r="L2382" t="inlineStr">
        <is>
          <t>Santé</t>
        </is>
      </c>
      <c r="R2382" s="22"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2" t="n">
        <v>6525424</v>
      </c>
      <c r="K2383" s="23" t="n">
        <v>45291</v>
      </c>
      <c r="L2383" t="inlineStr">
        <is>
          <t>Education</t>
        </is>
      </c>
      <c r="R2383" s="22"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2" t="n">
        <v>6000000</v>
      </c>
      <c r="K2384" s="23" t="n">
        <v>45291</v>
      </c>
      <c r="L2384" t="inlineStr">
        <is>
          <t>Jeunesse/culture et sport</t>
        </is>
      </c>
      <c r="R2384" s="22"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2" t="n">
        <v>6000000</v>
      </c>
      <c r="K2385" s="23" t="n">
        <v>45291</v>
      </c>
      <c r="L2385" t="inlineStr">
        <is>
          <t>Infrastructure</t>
        </is>
      </c>
      <c r="R2385" s="22"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2" t="n">
        <v>5000000</v>
      </c>
      <c r="K2386" s="23" t="n">
        <v>45291</v>
      </c>
      <c r="L2386" t="inlineStr">
        <is>
          <t>Gouvernance</t>
        </is>
      </c>
      <c r="R2386" s="22"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2" t="n">
        <v>4847853</v>
      </c>
      <c r="K2387" s="23" t="n">
        <v>45291</v>
      </c>
      <c r="L2387" t="inlineStr">
        <is>
          <t>Infrastructure</t>
        </is>
      </c>
      <c r="R2387" s="22"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2" t="n">
        <v>4750000</v>
      </c>
      <c r="K2388" s="23" t="n">
        <v>45291</v>
      </c>
      <c r="L2388" t="inlineStr">
        <is>
          <t>Infrastructure</t>
        </is>
      </c>
      <c r="R2388" s="22"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2" t="n">
        <v>4520000</v>
      </c>
      <c r="K2389" s="23" t="n">
        <v>45291</v>
      </c>
      <c r="L2389" t="inlineStr">
        <is>
          <t>Gouvernance</t>
        </is>
      </c>
      <c r="R2389" s="22"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2" t="n">
        <v>4000000</v>
      </c>
      <c r="K2390" s="23" t="n">
        <v>45291</v>
      </c>
      <c r="L2390" t="inlineStr">
        <is>
          <t>Jeunesse/culture et sport</t>
        </is>
      </c>
      <c r="R2390" s="22"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2" t="n">
        <v>2850000</v>
      </c>
      <c r="K2391" s="23" t="n">
        <v>45291</v>
      </c>
      <c r="L2391" t="inlineStr">
        <is>
          <t>Santé</t>
        </is>
      </c>
      <c r="R2391" s="22"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2" t="n">
        <v>2000000</v>
      </c>
      <c r="K2392" s="23" t="n">
        <v>45291</v>
      </c>
      <c r="L2392" t="inlineStr">
        <is>
          <t>Jeunesse/culture et sport</t>
        </is>
      </c>
      <c r="R2392" s="22"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2" t="n">
        <v>2000000</v>
      </c>
      <c r="K2393" s="23" t="n">
        <v>45291</v>
      </c>
      <c r="L2393" t="inlineStr">
        <is>
          <t>Jeunesse/culture et sport</t>
        </is>
      </c>
      <c r="R2393" s="22"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2" t="n">
        <v>2000000</v>
      </c>
      <c r="K2394" s="23" t="n">
        <v>45291</v>
      </c>
      <c r="L2394" t="inlineStr">
        <is>
          <t>Gouvernance</t>
        </is>
      </c>
      <c r="R2394" s="22"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2" t="n">
        <v>1083684</v>
      </c>
      <c r="K2395" s="23" t="n">
        <v>45291</v>
      </c>
      <c r="L2395" t="inlineStr">
        <is>
          <t>Santé</t>
        </is>
      </c>
      <c r="R2395" s="22"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2" t="n">
        <v>1058700</v>
      </c>
      <c r="K2396" s="23" t="n">
        <v>45291</v>
      </c>
      <c r="L2396" t="inlineStr">
        <is>
          <t>Santé</t>
        </is>
      </c>
      <c r="R2396" s="22"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2" t="n">
        <v>1000000</v>
      </c>
      <c r="K2397" s="23" t="n">
        <v>45291</v>
      </c>
      <c r="L2397" t="inlineStr">
        <is>
          <t>Santé</t>
        </is>
      </c>
      <c r="R2397" s="22"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2" t="n">
        <v>17000000</v>
      </c>
      <c r="K2398" s="23" t="n">
        <v>45291</v>
      </c>
      <c r="L2398" t="inlineStr">
        <is>
          <t>Education</t>
        </is>
      </c>
      <c r="R2398" s="22"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2" t="n">
        <v>16150000</v>
      </c>
      <c r="K2399" s="23" t="n">
        <v>45291</v>
      </c>
      <c r="L2399" t="inlineStr">
        <is>
          <t>Education</t>
        </is>
      </c>
      <c r="R2399" s="22"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2" t="n">
        <v>16016250</v>
      </c>
      <c r="K2400" s="23" t="n">
        <v>45291</v>
      </c>
      <c r="L2400" t="inlineStr">
        <is>
          <t>Social</t>
        </is>
      </c>
      <c r="R2400" s="22"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2" t="n">
        <v>13964115</v>
      </c>
      <c r="K2401" s="23" t="n">
        <v>45291</v>
      </c>
      <c r="L2401" t="inlineStr">
        <is>
          <t>Infrastructure</t>
        </is>
      </c>
      <c r="R2401" s="22"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2" t="n">
        <v>13762576</v>
      </c>
      <c r="K2402" s="23" t="n">
        <v>45291</v>
      </c>
      <c r="L2402" t="inlineStr">
        <is>
          <t>Infrastructure</t>
        </is>
      </c>
      <c r="R2402" s="22"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2" t="n">
        <v>13650600</v>
      </c>
      <c r="K2403" s="23" t="n">
        <v>45291</v>
      </c>
      <c r="L2403" t="inlineStr">
        <is>
          <t>Social</t>
        </is>
      </c>
      <c r="R2403" s="22"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2" t="n">
        <v>13000000</v>
      </c>
      <c r="K2404" s="23" t="n">
        <v>45291</v>
      </c>
      <c r="L2404" t="inlineStr">
        <is>
          <t>Jeunesse/culture et sport</t>
        </is>
      </c>
      <c r="R2404" s="22"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2" t="n">
        <v>8855932</v>
      </c>
      <c r="K2405" s="23" t="n">
        <v>45291</v>
      </c>
      <c r="L2405" t="inlineStr">
        <is>
          <t>Infrastructure</t>
        </is>
      </c>
      <c r="R2405" s="22"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2" t="n">
        <v>6402254</v>
      </c>
      <c r="K2406" s="23" t="n">
        <v>45291</v>
      </c>
      <c r="L2406" t="inlineStr">
        <is>
          <t>Social</t>
        </is>
      </c>
      <c r="R2406" s="22"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2" t="n">
        <v>5000000</v>
      </c>
      <c r="K2407" s="23" t="n">
        <v>45291</v>
      </c>
      <c r="L2407" t="inlineStr">
        <is>
          <t>Jeunesse/culture et sport</t>
        </is>
      </c>
      <c r="R2407" s="22"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2" t="n">
        <v>4836772.59</v>
      </c>
      <c r="K2408" s="23" t="n">
        <v>45291</v>
      </c>
      <c r="L2408" t="inlineStr">
        <is>
          <t>Gouvernance</t>
        </is>
      </c>
      <c r="R2408" s="22"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2" t="n">
        <v>3042000</v>
      </c>
      <c r="K2409" s="23" t="n">
        <v>45291</v>
      </c>
      <c r="L2409" t="inlineStr">
        <is>
          <t>Infrastructure</t>
        </is>
      </c>
      <c r="R2409" s="22"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2" t="n">
        <v>2167112</v>
      </c>
      <c r="K2410" s="23" t="n">
        <v>45291</v>
      </c>
      <c r="L2410" t="inlineStr">
        <is>
          <t>Social</t>
        </is>
      </c>
      <c r="R2410" s="22"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2" t="n">
        <v>1881100</v>
      </c>
      <c r="K2411" s="23" t="n">
        <v>45291</v>
      </c>
      <c r="L2411" t="inlineStr">
        <is>
          <t>Social</t>
        </is>
      </c>
      <c r="R2411" s="22"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2" t="n">
        <v>1643029</v>
      </c>
      <c r="K2412" s="23" t="n">
        <v>45291</v>
      </c>
      <c r="L2412" t="inlineStr">
        <is>
          <t>Social</t>
        </is>
      </c>
      <c r="R2412" s="22"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2" t="n">
        <v>1419424</v>
      </c>
      <c r="K2413" s="23" t="n">
        <v>45291</v>
      </c>
      <c r="L2413" t="inlineStr">
        <is>
          <t>Gouvernance</t>
        </is>
      </c>
      <c r="R2413" s="22"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2" t="n">
        <v>1139714</v>
      </c>
      <c r="K2414" s="23" t="n">
        <v>45291</v>
      </c>
      <c r="L2414" t="inlineStr">
        <is>
          <t>Social</t>
        </is>
      </c>
      <c r="R2414" s="22"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2" t="n">
        <v>250000</v>
      </c>
      <c r="K2415" s="23" t="n">
        <v>45291</v>
      </c>
      <c r="L2415" t="inlineStr">
        <is>
          <t>Infrastructure</t>
        </is>
      </c>
      <c r="R2415" s="22"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2" t="n">
        <v>656170</v>
      </c>
      <c r="K2416" s="23" t="n">
        <v>44944</v>
      </c>
      <c r="R2416" s="22"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2" t="n">
        <v>722170</v>
      </c>
      <c r="K2417" s="23" t="n">
        <v>44944</v>
      </c>
      <c r="R2417" s="22"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2" t="n">
        <v>529295</v>
      </c>
      <c r="K2418" s="23" t="n">
        <v>44944</v>
      </c>
      <c r="R2418" s="22"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2" t="n">
        <v>659690</v>
      </c>
      <c r="K2419" s="23" t="n">
        <v>44944</v>
      </c>
      <c r="R2419" s="22"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2" t="n">
        <v>203040</v>
      </c>
      <c r="K2420" s="23" t="n">
        <v>44970</v>
      </c>
      <c r="R2420" s="22"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2" t="n">
        <v>1114000</v>
      </c>
      <c r="K2421" s="23" t="n">
        <v>45086</v>
      </c>
      <c r="R2421" s="22"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2" t="n">
        <v>16900</v>
      </c>
      <c r="K2422" s="23" t="n">
        <v>45086</v>
      </c>
      <c r="R2422" s="22"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2" t="n">
        <v>750000</v>
      </c>
      <c r="K2423" s="23" t="n">
        <v>45086</v>
      </c>
      <c r="R2423" s="22"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2" t="n">
        <v>75000</v>
      </c>
      <c r="K2424" s="23" t="n">
        <v>45086</v>
      </c>
      <c r="R2424" s="22"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2" t="n">
        <v>16425</v>
      </c>
      <c r="K2425" s="23" t="n">
        <v>45086</v>
      </c>
      <c r="R2425" s="22"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2" t="n">
        <v>266200</v>
      </c>
      <c r="K2426" s="23" t="n">
        <v>45086</v>
      </c>
      <c r="R2426" s="22"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2" t="n">
        <v>91500</v>
      </c>
      <c r="K2427" s="23" t="n">
        <v>45086</v>
      </c>
      <c r="R2427" s="22"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2" t="n">
        <v>138000</v>
      </c>
      <c r="K2428" s="23" t="n">
        <v>45086</v>
      </c>
      <c r="R2428" s="22"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2" t="n">
        <v>13800</v>
      </c>
      <c r="K2429" s="23" t="n">
        <v>45086</v>
      </c>
      <c r="R2429" s="22"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2" t="n">
        <v>185000</v>
      </c>
      <c r="K2430" s="23" t="n">
        <v>45086</v>
      </c>
      <c r="R2430" s="22"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2" t="n">
        <v>1248000</v>
      </c>
      <c r="K2431" s="23" t="n">
        <v>45086</v>
      </c>
      <c r="R2431" s="22"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2" t="n">
        <v>2363000</v>
      </c>
      <c r="K2432" s="23" t="n">
        <v>45086</v>
      </c>
      <c r="R2432" s="22"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2" t="n">
        <v>2342000</v>
      </c>
      <c r="K2433" s="23" t="n">
        <v>45086</v>
      </c>
      <c r="R2433" s="22"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2" t="n">
        <v>2426500</v>
      </c>
      <c r="K2434" s="23" t="n">
        <v>45086</v>
      </c>
      <c r="R2434" s="22"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2" t="n">
        <v>2249000</v>
      </c>
      <c r="K2435" s="23" t="n">
        <v>45086</v>
      </c>
      <c r="R2435" s="22"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2" t="n">
        <v>2365000</v>
      </c>
      <c r="K2436" s="23" t="n">
        <v>45086</v>
      </c>
      <c r="R2436" s="22"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2" t="n">
        <v>110000</v>
      </c>
      <c r="K2437" s="23" t="n">
        <v>45091</v>
      </c>
      <c r="R2437" s="22"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2" t="n">
        <v>2700000</v>
      </c>
      <c r="K2438" s="23" t="n">
        <v>45103</v>
      </c>
      <c r="R2438" s="22"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2" t="n">
        <v>242000</v>
      </c>
      <c r="K2439" s="23" t="n">
        <v>45238</v>
      </c>
      <c r="R2439" s="22"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2" t="n">
        <v>265000</v>
      </c>
      <c r="K2440" s="23" t="n">
        <v>45238</v>
      </c>
      <c r="R2440" s="22"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2" t="n">
        <v>480000</v>
      </c>
      <c r="K2441" s="23" t="n">
        <v>45238</v>
      </c>
      <c r="R2441" s="22"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2" t="n">
        <v>600000</v>
      </c>
      <c r="K2442" s="23" t="n">
        <v>45238</v>
      </c>
      <c r="R2442" s="22"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2" t="n">
        <v>818000</v>
      </c>
      <c r="K2443" s="23" t="n">
        <v>45238</v>
      </c>
      <c r="R2443" s="22"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2" t="n">
        <v>1216000</v>
      </c>
      <c r="K2444" s="23" t="n">
        <v>45238</v>
      </c>
      <c r="R2444" s="22"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2" t="n">
        <v>100000</v>
      </c>
      <c r="K2445" s="23" t="n">
        <v>45238</v>
      </c>
      <c r="R2445" s="22"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2" t="n">
        <v>18000</v>
      </c>
      <c r="K2446" s="23" t="n">
        <v>45239</v>
      </c>
      <c r="R2446" s="22"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2" t="n">
        <v>200000</v>
      </c>
      <c r="K2447" s="23" t="n">
        <v>45239</v>
      </c>
      <c r="R2447" s="22"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2" t="n">
        <v>100000</v>
      </c>
      <c r="K2448" s="23" t="n">
        <v>45239</v>
      </c>
      <c r="R2448" s="22"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2" t="n">
        <v>500000</v>
      </c>
      <c r="K2449" s="23" t="n">
        <v>45239</v>
      </c>
      <c r="R2449" s="22"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2" t="n">
        <v>500000</v>
      </c>
      <c r="K2450" s="23" t="n">
        <v>45239</v>
      </c>
      <c r="R2450" s="22"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2" t="n">
        <v>110000</v>
      </c>
      <c r="K2451" s="23" t="n">
        <v>45239</v>
      </c>
      <c r="R2451" s="22"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2" t="n">
        <v>100000</v>
      </c>
      <c r="K2452" s="23" t="n">
        <v>45239</v>
      </c>
      <c r="R2452" s="22"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2" t="n">
        <v>550000</v>
      </c>
      <c r="K2453" s="23"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2"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2" t="n">
        <v>550000</v>
      </c>
      <c r="L2454" t="inlineStr">
        <is>
          <t>APPUIS DIVERS</t>
        </is>
      </c>
      <c r="R2454" s="22"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2" t="n">
        <v>7336</v>
      </c>
      <c r="K2455" t="inlineStr">
        <is>
          <t>Appuis divers</t>
        </is>
      </c>
      <c r="L2455" t="inlineStr">
        <is>
          <t>Appuis divers</t>
        </is>
      </c>
      <c r="M2455" t="inlineStr">
        <is>
          <t xml:space="preserve">Néant </t>
        </is>
      </c>
      <c r="N2455" t="inlineStr">
        <is>
          <t xml:space="preserve">Néant </t>
        </is>
      </c>
      <c r="O2455" t="inlineStr">
        <is>
          <t>Nc</t>
        </is>
      </c>
      <c r="R2455" s="22"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2" t="n">
        <v>542700</v>
      </c>
      <c r="K2456" s="23" t="n">
        <v>45321</v>
      </c>
      <c r="M2456" t="inlineStr">
        <is>
          <t>136100</t>
        </is>
      </c>
      <c r="N2456" t="inlineStr">
        <is>
          <t>N/A</t>
        </is>
      </c>
      <c r="O2456" t="inlineStr">
        <is>
          <t>N/A</t>
        </is>
      </c>
      <c r="P2456" t="inlineStr">
        <is>
          <t>Convention minère et Code minier (Fond Social et Fond d'appui au developpement local)</t>
        </is>
      </c>
      <c r="Q2456" t="inlineStr">
        <is>
          <t>NA</t>
        </is>
      </c>
      <c r="R2456" s="22"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2" t="n">
        <v>539850</v>
      </c>
      <c r="K2457" s="23" t="n">
        <v>45351</v>
      </c>
      <c r="M2457" t="inlineStr">
        <is>
          <t>137715AC</t>
        </is>
      </c>
      <c r="N2457" t="inlineStr">
        <is>
          <t>N/A</t>
        </is>
      </c>
      <c r="O2457" t="inlineStr">
        <is>
          <t>N/A</t>
        </is>
      </c>
      <c r="P2457" t="inlineStr">
        <is>
          <t>Convention minère et Code minier (Fond Social et Fond d'appui au developpement local)</t>
        </is>
      </c>
      <c r="Q2457" t="inlineStr">
        <is>
          <t>NA</t>
        </is>
      </c>
      <c r="R2457" s="22"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2" t="n">
        <v>537700</v>
      </c>
      <c r="L2458" t="inlineStr">
        <is>
          <t>APPUIS DIVERS (NOURRITURE)</t>
        </is>
      </c>
      <c r="R2458" s="22"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2" t="n">
        <v>537376.63</v>
      </c>
      <c r="K2459" s="23" t="n">
        <v>44804</v>
      </c>
      <c r="L2459" t="inlineStr">
        <is>
          <t>SF General</t>
        </is>
      </c>
      <c r="R2459" s="22"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2" t="n">
        <v>532403.92</v>
      </c>
      <c r="K2460" s="23" t="n">
        <v>45452</v>
      </c>
      <c r="M2460" t="inlineStr">
        <is>
          <t>131934AB</t>
        </is>
      </c>
      <c r="P2460" t="inlineStr">
        <is>
          <t>Convention minère et Code minier (Fond Social et Fond d'appui au developpement local)</t>
        </is>
      </c>
      <c r="R2460" s="22"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2" t="n">
        <v>530000</v>
      </c>
      <c r="K2461" s="23" t="n">
        <v>45422</v>
      </c>
      <c r="L2461" t="inlineStr">
        <is>
          <t>APPUIS DIVERS</t>
        </is>
      </c>
      <c r="R2461" s="22"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2" t="n">
        <v>525000</v>
      </c>
      <c r="K2462" s="23"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2"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2" t="n">
        <v>519998</v>
      </c>
      <c r="K2463" s="23"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2"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2" t="n">
        <v>519997.74</v>
      </c>
      <c r="K2464" s="23"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2"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2" t="n">
        <v>505000</v>
      </c>
      <c r="K2465" s="23" t="n">
        <v>45458</v>
      </c>
      <c r="L2465" t="inlineStr">
        <is>
          <t>DONS</t>
        </is>
      </c>
      <c r="R2465" s="22"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2" t="n">
        <v>504982.19</v>
      </c>
      <c r="K2466" s="23"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2"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2" t="n">
        <v>504500</v>
      </c>
      <c r="K2467" t="inlineStr">
        <is>
          <t>26/12/2023</t>
        </is>
      </c>
      <c r="L2467" t="inlineStr">
        <is>
          <t>Appuis divers</t>
        </is>
      </c>
      <c r="R2467" s="22"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2" t="n">
        <v>504500</v>
      </c>
      <c r="K2468" t="inlineStr">
        <is>
          <t>26/12/2023</t>
        </is>
      </c>
      <c r="L2468" t="inlineStr">
        <is>
          <t>Appuis divers</t>
        </is>
      </c>
      <c r="R2468" s="22"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2" t="n">
        <v>504000</v>
      </c>
      <c r="K2469" s="23" t="n">
        <v>45457</v>
      </c>
      <c r="L2469" t="inlineStr">
        <is>
          <t>APPUIS DIVERS</t>
        </is>
      </c>
      <c r="R2469" s="22"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2" t="n">
        <v>504000</v>
      </c>
      <c r="K2470" s="23" t="n">
        <v>45611</v>
      </c>
      <c r="L2470" t="inlineStr">
        <is>
          <t>APPUIS DIVERS</t>
        </is>
      </c>
      <c r="R2470" s="22"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23" t="n">
        <v>44928</v>
      </c>
      <c r="L2471" t="inlineStr">
        <is>
          <t>SOCIALE</t>
        </is>
      </c>
      <c r="M2471" t="inlineStr">
        <is>
          <t>APPUI _ TICKET ESSENCE ELTON</t>
        </is>
      </c>
      <c r="N2471" s="22" t="n">
        <v>4894890</v>
      </c>
      <c r="R2471" s="22"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23" t="n">
        <v>44958</v>
      </c>
      <c r="L2472" t="inlineStr">
        <is>
          <t>SOCIALE</t>
        </is>
      </c>
      <c r="M2472" t="inlineStr">
        <is>
          <t>Appui journ‚e de la Femme DMG</t>
        </is>
      </c>
      <c r="N2472" s="22" t="n">
        <v>500000</v>
      </c>
      <c r="R2472" s="22"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23" t="n">
        <v>44959</v>
      </c>
      <c r="L2473" t="inlineStr">
        <is>
          <t>SOCIALE</t>
        </is>
      </c>
      <c r="M2473" t="inlineStr">
        <is>
          <t xml:space="preserve">APPUI _ Salon AGRICULTURE </t>
        </is>
      </c>
      <c r="N2473" s="22" t="n">
        <v>5000000</v>
      </c>
      <c r="R2473" s="22"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23" t="n">
        <v>44963</v>
      </c>
      <c r="L2474" t="inlineStr">
        <is>
          <t>SOCIALE</t>
        </is>
      </c>
      <c r="M2474" t="inlineStr">
        <is>
          <t>APPUI _ GOUVERNEUR 4 AVRIL</t>
        </is>
      </c>
      <c r="N2474" s="22" t="n">
        <v>500000</v>
      </c>
      <c r="R2474" s="22"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23" t="n">
        <v>44978</v>
      </c>
      <c r="L2475" t="inlineStr">
        <is>
          <t>SOCIALE</t>
        </is>
      </c>
      <c r="M2475" t="inlineStr">
        <is>
          <t>Appui _ MMG FETE DU TRAVAIL</t>
        </is>
      </c>
      <c r="N2475" s="22" t="n">
        <v>1500000</v>
      </c>
      <c r="R2475" s="22"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23" t="n">
        <v>44991</v>
      </c>
      <c r="L2476" t="inlineStr">
        <is>
          <t>SOCIALE</t>
        </is>
      </c>
      <c r="M2476" t="inlineStr">
        <is>
          <t>APPUI _ JOURNEE ENVIRONNEMENT</t>
        </is>
      </c>
      <c r="N2476" s="22" t="n">
        <v>500000</v>
      </c>
      <c r="R2476" s="22"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23" t="n">
        <v>44993</v>
      </c>
      <c r="L2477" t="inlineStr">
        <is>
          <t>SOCIALE</t>
        </is>
      </c>
      <c r="M2477" t="inlineStr">
        <is>
          <t>Appui Tabaski</t>
        </is>
      </c>
      <c r="N2477" s="22" t="n">
        <v>125000</v>
      </c>
      <c r="R2477" s="22"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23" t="n">
        <v>44994</v>
      </c>
      <c r="L2478" t="inlineStr">
        <is>
          <t>SOCIALE</t>
        </is>
      </c>
      <c r="M2478" t="inlineStr">
        <is>
          <t>APPUI SOCIAL ECOLE WALO</t>
        </is>
      </c>
      <c r="N2478" s="22" t="n">
        <v>100000</v>
      </c>
      <c r="R2478" s="22"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23" t="n">
        <v>44998</v>
      </c>
      <c r="L2479" t="inlineStr">
        <is>
          <t>SOCIALE</t>
        </is>
      </c>
      <c r="M2479" t="inlineStr">
        <is>
          <t>APPUI SOCIAL TRANSPORT PREFET</t>
        </is>
      </c>
      <c r="N2479" s="22" t="n">
        <v>60000</v>
      </c>
      <c r="R2479" s="22"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23" t="n">
        <v>45005</v>
      </c>
      <c r="L2480" t="inlineStr">
        <is>
          <t>SOCIALE</t>
        </is>
      </c>
      <c r="M2480" t="inlineStr">
        <is>
          <t>APPUI MAC DIOURBEL CHQNø 0290435</t>
        </is>
      </c>
      <c r="N2480" s="22" t="n">
        <v>250000</v>
      </c>
      <c r="R2480" s="22"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23" t="n">
        <v>45016</v>
      </c>
      <c r="L2481" t="inlineStr">
        <is>
          <t>SOCIALE</t>
        </is>
      </c>
      <c r="M2481" t="inlineStr">
        <is>
          <t>APPUI SOCIAL</t>
        </is>
      </c>
      <c r="N2481" s="22" t="n">
        <v>100000</v>
      </c>
      <c r="R2481" s="22"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23" t="n">
        <v>45022</v>
      </c>
      <c r="L2482" t="inlineStr">
        <is>
          <t>SOCIALE</t>
        </is>
      </c>
      <c r="M2482" t="inlineStr">
        <is>
          <t>APPUI ZARA ANNUEL MBACKE DIOP</t>
        </is>
      </c>
      <c r="N2482" s="22" t="n">
        <v>25000</v>
      </c>
      <c r="R2482" s="22"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23" t="n">
        <v>45026</v>
      </c>
      <c r="L2483" t="inlineStr">
        <is>
          <t>SOCIALE</t>
        </is>
      </c>
      <c r="M2483" t="inlineStr">
        <is>
          <t>APPUI COMMUNE/RECEVEUR PERCEPTEUR BAMBEY 5939611</t>
        </is>
      </c>
      <c r="N2483" s="22" t="n">
        <v>5000000</v>
      </c>
      <c r="R2483" s="22"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23" t="n">
        <v>45036</v>
      </c>
      <c r="L2484" t="inlineStr">
        <is>
          <t>SOCIALE</t>
        </is>
      </c>
      <c r="M2484" t="inlineStr">
        <is>
          <t>APPUI COMMUNE / RECEVEUR PERCEPTEUR BAMBEY 5939612</t>
        </is>
      </c>
      <c r="N2484" s="22" t="n">
        <v>5000000</v>
      </c>
      <c r="R2484" s="22"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23" t="n">
        <v>45412</v>
      </c>
      <c r="L2485" t="inlineStr">
        <is>
          <t>SOCIALE</t>
        </is>
      </c>
      <c r="M2485" t="inlineStr">
        <is>
          <t>APPUI COMMUNE/RECEVEUR PERCEPTEUR BAMBEY 5939613</t>
        </is>
      </c>
      <c r="N2485" s="22" t="n">
        <v>5000000</v>
      </c>
      <c r="R2485" s="22"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23" t="n">
        <v>45049</v>
      </c>
      <c r="L2486" t="inlineStr">
        <is>
          <t>SOCIALE</t>
        </is>
      </c>
      <c r="M2486" t="inlineStr">
        <is>
          <t>APPUI MINISTERE DE LA JEUNESSE/ DAME SECK 5939614</t>
        </is>
      </c>
      <c r="N2486" s="22" t="n">
        <v>1540000</v>
      </c>
      <c r="R2486" s="22"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23" t="n">
        <v>45054</v>
      </c>
      <c r="L2487" t="inlineStr">
        <is>
          <t>SOCIALE</t>
        </is>
      </c>
      <c r="M2487" t="inlineStr">
        <is>
          <t>APPUI INSTITUTIONNEL</t>
        </is>
      </c>
      <c r="N2487" s="22" t="n">
        <v>500000</v>
      </c>
      <c r="R2487" s="22"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23" t="n">
        <v>45083</v>
      </c>
      <c r="L2488" t="inlineStr">
        <is>
          <t>SOCIALE</t>
        </is>
      </c>
      <c r="M2488" t="inlineStr">
        <is>
          <t>APPUI MEDICAL AGENT LOCSET</t>
        </is>
      </c>
      <c r="N2488" s="22" t="n">
        <v>10000</v>
      </c>
      <c r="R2488" s="22"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23" t="n">
        <v>45085</v>
      </c>
      <c r="L2489" t="inlineStr">
        <is>
          <t>SOCIALE</t>
        </is>
      </c>
      <c r="M2489" t="inlineStr">
        <is>
          <t>APPUI SOCIAL SAMBA AWA DIAGNE</t>
        </is>
      </c>
      <c r="N2489" s="22" t="n">
        <v>100000</v>
      </c>
      <c r="R2489" s="22"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23" t="n">
        <v>45096</v>
      </c>
      <c r="L2490" t="inlineStr">
        <is>
          <t>SOCIALE</t>
        </is>
      </c>
      <c r="M2490" t="inlineStr">
        <is>
          <t>APPUI SOCIAL CHEF DE VILLAGE DAROU KANE</t>
        </is>
      </c>
      <c r="N2490" s="22" t="n">
        <v>100000</v>
      </c>
      <c r="R2490" s="22"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23" t="n">
        <v>45099</v>
      </c>
      <c r="L2491" t="inlineStr">
        <is>
          <t>SOCIALE</t>
        </is>
      </c>
      <c r="M2491" t="inlineStr">
        <is>
          <t>APPUI SOCIAL GAMOU MARABOU DIAHAL</t>
        </is>
      </c>
      <c r="N2491" s="22" t="n">
        <v>100000</v>
      </c>
      <c r="R2491" s="22"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23" t="n">
        <v>45107</v>
      </c>
      <c r="L2492" t="inlineStr">
        <is>
          <t>SOCIALE</t>
        </is>
      </c>
      <c r="M2492" t="inlineStr">
        <is>
          <t>APPUI SOCIAL GAMOU MAIRE DE GAWANE</t>
        </is>
      </c>
      <c r="N2492" s="22" t="n">
        <v>300000</v>
      </c>
      <c r="R2492" s="22"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23" t="n">
        <v>45137</v>
      </c>
      <c r="L2493" t="inlineStr">
        <is>
          <t>SOCIALE</t>
        </is>
      </c>
      <c r="M2493" t="inlineStr">
        <is>
          <t>APPUI  / CARTE CARBURANT OLA ENERGY CHNø5939470</t>
        </is>
      </c>
      <c r="N2493" s="22" t="n">
        <v>3775000</v>
      </c>
      <c r="R2493" s="22"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23" t="n">
        <v>45117</v>
      </c>
      <c r="L2494" t="inlineStr">
        <is>
          <t>SOCIALE</t>
        </is>
      </c>
      <c r="M2494" t="inlineStr">
        <is>
          <t>APPUI CONSEIL DEPARTEMENT BAMBEY</t>
        </is>
      </c>
      <c r="N2494" s="22" t="n">
        <v>500000</v>
      </c>
      <c r="R2494" s="22"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23" t="n">
        <v>45125</v>
      </c>
      <c r="L2495" t="inlineStr">
        <is>
          <t>SOCIALE</t>
        </is>
      </c>
      <c r="M2495" t="inlineStr">
        <is>
          <t>APPUI SOCIAL / MOUSTAPHA DIALLO</t>
        </is>
      </c>
      <c r="N2495" s="22" t="n">
        <v>350000</v>
      </c>
      <c r="R2495" s="22"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23" t="n">
        <v>45126</v>
      </c>
      <c r="L2496" t="inlineStr">
        <is>
          <t>SOCIALE</t>
        </is>
      </c>
      <c r="M2496" t="inlineStr">
        <is>
          <t>APPUI SOCIAL NDIAGNE SITOR</t>
        </is>
      </c>
      <c r="N2496" s="22" t="n">
        <v>50000</v>
      </c>
      <c r="R2496" s="22"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23" t="n">
        <v>45128</v>
      </c>
      <c r="L2497" t="inlineStr">
        <is>
          <t>SOCIALE</t>
        </is>
      </c>
      <c r="M2497" t="inlineStr">
        <is>
          <t>MOULINS A MIL / COMMUNESGAWANE CHNø5939517</t>
        </is>
      </c>
      <c r="N2497" s="22" t="n">
        <v>4000000</v>
      </c>
      <c r="R2497" s="22"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23" t="n">
        <v>45138</v>
      </c>
      <c r="L2498" t="inlineStr">
        <is>
          <t>SOCIALE</t>
        </is>
      </c>
      <c r="M2498" t="inlineStr">
        <is>
          <t>REMBOURSEMENT MR BA/ COMPLEMENT TRANSPORT AUDIENCE PUBLIQUE</t>
        </is>
      </c>
      <c r="N2498" s="22" t="n">
        <v>140000</v>
      </c>
      <c r="R2498" s="22"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23" t="n">
        <v>45139</v>
      </c>
      <c r="L2499" t="inlineStr">
        <is>
          <t>SOCIALE</t>
        </is>
      </c>
      <c r="M2499" t="inlineStr">
        <is>
          <t>APPUI SOCIAL JOURNEE CONSULTATION KEUR SAMBA KANE</t>
        </is>
      </c>
      <c r="N2499" s="22" t="n">
        <v>100000</v>
      </c>
      <c r="R2499" s="22"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23" t="n">
        <v>45152</v>
      </c>
      <c r="L2500" t="inlineStr">
        <is>
          <t>SOCIALE</t>
        </is>
      </c>
      <c r="M2500" t="inlineStr">
        <is>
          <t>APPUI MINISTERE / SETRAF CHQNø6488086</t>
        </is>
      </c>
      <c r="N2500" s="22" t="n">
        <v>9986000</v>
      </c>
      <c r="R2500" s="22"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23" t="n">
        <v>45160</v>
      </c>
      <c r="L2501" t="inlineStr">
        <is>
          <t>SOCIALE</t>
        </is>
      </c>
      <c r="M2501" t="inlineStr">
        <is>
          <t>APPUI MINISTERE / IRIS CHQNø6488087</t>
        </is>
      </c>
      <c r="N2501" s="22" t="n">
        <v>9990000</v>
      </c>
      <c r="R2501" s="22"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23" t="n">
        <v>45169</v>
      </c>
      <c r="L2502" t="inlineStr">
        <is>
          <t>SOCIALE</t>
        </is>
      </c>
      <c r="M2502" t="inlineStr">
        <is>
          <t>RECEVEUR PERCEPTEUR 6488089</t>
        </is>
      </c>
      <c r="N2502" s="22" t="n">
        <v>5000000</v>
      </c>
      <c r="R2502" s="22"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23" t="n">
        <v>45180</v>
      </c>
      <c r="L2503" t="inlineStr">
        <is>
          <t>SOCIALE</t>
        </is>
      </c>
      <c r="M2503" t="inlineStr">
        <is>
          <t>RECEVEUR PERCEPTEUR 6488090</t>
        </is>
      </c>
      <c r="N2503" s="22" t="n">
        <v>5000000</v>
      </c>
      <c r="R2503" s="22"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23" t="n">
        <v>45180</v>
      </c>
      <c r="L2504" t="inlineStr">
        <is>
          <t>SOCIALE</t>
        </is>
      </c>
      <c r="M2504" t="inlineStr">
        <is>
          <t>RECEVEUR PERCEPTEUR 6488091</t>
        </is>
      </c>
      <c r="N2504" s="22" t="n">
        <v>5000000</v>
      </c>
      <c r="R2504" s="22"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23" t="n">
        <v>45181</v>
      </c>
      <c r="L2505" t="inlineStr">
        <is>
          <t>SOCIALE</t>
        </is>
      </c>
      <c r="M2505" t="inlineStr">
        <is>
          <t>APPUI MINISTERE / GESTION APPUI INSTITUTIONNEL CHQNø6488088</t>
        </is>
      </c>
      <c r="N2505" s="22" t="n">
        <v>20000000</v>
      </c>
      <c r="R2505" s="22"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23" t="n">
        <v>45184</v>
      </c>
      <c r="L2506" t="inlineStr">
        <is>
          <t>SOCIALE</t>
        </is>
      </c>
      <c r="M2506" t="inlineStr">
        <is>
          <t>RETRAIT CHEQUE / DEPART SOUS-PREFET CHNø8268060 AU 25/04/2023</t>
        </is>
      </c>
      <c r="N2506" s="22" t="n">
        <v>150000</v>
      </c>
      <c r="R2506" s="22"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23" t="n">
        <v>45199</v>
      </c>
      <c r="L2507" t="inlineStr">
        <is>
          <t>SOCIALE</t>
        </is>
      </c>
      <c r="M2507" t="inlineStr">
        <is>
          <t>APPUI SOCIAL MARABOU DAROU KANE</t>
        </is>
      </c>
      <c r="N2507" s="22" t="n">
        <v>100000</v>
      </c>
      <c r="R2507" s="22"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23" t="n">
        <v>45222</v>
      </c>
      <c r="L2508" t="inlineStr">
        <is>
          <t>SOCIALE</t>
        </is>
      </c>
      <c r="M2508" t="inlineStr">
        <is>
          <t>IRIS CHQNø6488124</t>
        </is>
      </c>
      <c r="N2508" s="22" t="n">
        <v>9790000</v>
      </c>
      <c r="R2508" s="22"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23" t="n">
        <v>45229</v>
      </c>
      <c r="L2509" t="inlineStr">
        <is>
          <t>SOCIALE</t>
        </is>
      </c>
      <c r="M2509" t="inlineStr">
        <is>
          <t>SETRAF CHQNø6488125</t>
        </is>
      </c>
      <c r="N2509" s="22" t="n">
        <v>9930000</v>
      </c>
      <c r="R2509" s="22"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23" t="n">
        <v>45231</v>
      </c>
      <c r="L2510" t="inlineStr">
        <is>
          <t>SOCIALE</t>
        </is>
      </c>
      <c r="M2510" t="inlineStr">
        <is>
          <t>REMBOURSEMENT DEPENSES VISTES( PEAGE,CARBURANT ECT )</t>
        </is>
      </c>
      <c r="N2510" s="22" t="n">
        <v>28700</v>
      </c>
      <c r="R2510" s="22"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23" t="n">
        <v>45235</v>
      </c>
      <c r="L2511" t="inlineStr">
        <is>
          <t>SOCIALE</t>
        </is>
      </c>
      <c r="M2511" t="inlineStr">
        <is>
          <t>REMBOURSEMENT DEPENSES VISTES( PEAGE,CARBURANT ECT )</t>
        </is>
      </c>
      <c r="N2511" s="22" t="n">
        <v>95100</v>
      </c>
      <c r="R2511" s="22"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23" t="n">
        <v>45291</v>
      </c>
      <c r="L2512" t="inlineStr">
        <is>
          <t>SOCIALE</t>
        </is>
      </c>
      <c r="M2512" t="inlineStr">
        <is>
          <t xml:space="preserve">Autres appuis </t>
        </is>
      </c>
      <c r="N2512" s="22" t="n">
        <v>12220000</v>
      </c>
      <c r="R2512" s="22"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2" t="n">
        <v>3607000</v>
      </c>
      <c r="Q2513" t="inlineStr">
        <is>
          <t>TOUS</t>
        </is>
      </c>
      <c r="R2513" s="22"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2" t="n">
        <v>5000000</v>
      </c>
      <c r="Q2514" t="inlineStr">
        <is>
          <t>TOUS</t>
        </is>
      </c>
      <c r="R2514" s="22"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2" t="n">
        <v>504000</v>
      </c>
      <c r="K2515" s="23" t="n">
        <v>45623</v>
      </c>
      <c r="L2515" t="inlineStr">
        <is>
          <t>APPUIS DIVERS</t>
        </is>
      </c>
      <c r="R2515" s="22"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2" t="n">
        <v>500200</v>
      </c>
      <c r="L2516" t="inlineStr">
        <is>
          <t>APPUIS DIVERS</t>
        </is>
      </c>
      <c r="R2516" s="22"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2" t="n">
        <v>29255723</v>
      </c>
      <c r="Q2517" t="inlineStr">
        <is>
          <t>TOUS</t>
        </is>
      </c>
      <c r="R2517" s="22"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2" t="n">
        <v>500002.61</v>
      </c>
      <c r="K2518" s="23"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2"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2" t="n">
        <v>500000</v>
      </c>
      <c r="K2519" s="23"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2"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2" t="n">
        <v>500000</v>
      </c>
      <c r="K2520" s="23"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2"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2" t="n">
        <v>3527500</v>
      </c>
      <c r="Q2521" t="inlineStr">
        <is>
          <t>TOUS</t>
        </is>
      </c>
      <c r="R2521" s="22"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2" t="n">
        <v>500000</v>
      </c>
      <c r="K2522" s="23"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2"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2" t="n">
        <v>139775143</v>
      </c>
      <c r="Q2523" t="inlineStr">
        <is>
          <t>TOUS</t>
        </is>
      </c>
      <c r="R2523" s="22"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2" t="n">
        <v>500000</v>
      </c>
      <c r="K2524" s="23"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2"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2" t="n">
        <v>1829000</v>
      </c>
      <c r="Q2525" t="inlineStr">
        <is>
          <t>TOUS</t>
        </is>
      </c>
      <c r="R2525" s="22"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2" t="n">
        <v>20939999</v>
      </c>
      <c r="Q2526" t="inlineStr">
        <is>
          <t>TOUS</t>
        </is>
      </c>
      <c r="R2526" s="22"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2" t="n">
        <v>611000</v>
      </c>
      <c r="Q2527" t="inlineStr">
        <is>
          <t>TOUS</t>
        </is>
      </c>
      <c r="R2527" s="22"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2" t="n">
        <v>500000</v>
      </c>
      <c r="K2528" s="23"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2"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2" t="n">
        <v>14967733</v>
      </c>
      <c r="Q2529" t="inlineStr">
        <is>
          <t>TOUS</t>
        </is>
      </c>
      <c r="R2529" s="22"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2" t="n">
        <v>500000</v>
      </c>
      <c r="K2530" s="23"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2"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2" t="n">
        <v>500000</v>
      </c>
      <c r="K2531" s="23"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2"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2" t="n">
        <v>16374977</v>
      </c>
      <c r="Q2532" t="inlineStr">
        <is>
          <t>TOUS</t>
        </is>
      </c>
      <c r="R2532" s="22"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2" t="n">
        <v>500000</v>
      </c>
      <c r="L2533" t="inlineStr">
        <is>
          <t>APPUIS DIVERS (JOURNEE INTERNATIONALE DES PERSONNES HANDICAPEES)</t>
        </is>
      </c>
      <c r="R2533" s="22"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2" t="n">
        <v>81394762</v>
      </c>
      <c r="K2534" s="23" t="n">
        <v>45105</v>
      </c>
      <c r="L2534" t="inlineStr">
        <is>
          <t>Construction Poste de Santé</t>
        </is>
      </c>
      <c r="M2534" t="inlineStr">
        <is>
          <t>Construction Poste de Santé</t>
        </is>
      </c>
      <c r="N2534" s="22" t="n">
        <v>81394762</v>
      </c>
      <c r="R2534" s="22"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2" t="n">
        <v>62885403</v>
      </c>
      <c r="L2535" t="inlineStr">
        <is>
          <t>EDUCATION</t>
        </is>
      </c>
      <c r="R2535" s="22"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2" t="n">
        <v>39000000</v>
      </c>
      <c r="L2536" t="inlineStr">
        <is>
          <t>HYDRAULIQUE</t>
        </is>
      </c>
      <c r="R2536" s="22"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2" t="n">
        <v>900000</v>
      </c>
      <c r="L2537" t="inlineStr">
        <is>
          <t>EDUCATION</t>
        </is>
      </c>
      <c r="R2537" s="22"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2" t="n">
        <v>500000</v>
      </c>
      <c r="K2538" t="inlineStr">
        <is>
          <t>2024-03-01</t>
        </is>
      </c>
      <c r="L2538" t="inlineStr">
        <is>
          <t>Appuis divers</t>
        </is>
      </c>
      <c r="R2538" s="22"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2" t="n">
        <v>500000</v>
      </c>
      <c r="K2539" t="inlineStr">
        <is>
          <t>2024-07-06</t>
        </is>
      </c>
      <c r="L2539" t="inlineStr">
        <is>
          <t>Appuis divers</t>
        </is>
      </c>
      <c r="R2539" s="22"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2" t="n">
        <v>500000</v>
      </c>
      <c r="K2540" t="inlineStr">
        <is>
          <t>2024-09-14</t>
        </is>
      </c>
      <c r="L2540" t="inlineStr">
        <is>
          <t>Appuis divers</t>
        </is>
      </c>
      <c r="R2540" s="22"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2" t="n">
        <v>4000000</v>
      </c>
      <c r="K2541" s="23" t="n">
        <v>44918</v>
      </c>
      <c r="M2541" t="inlineStr">
        <is>
          <t>education</t>
        </is>
      </c>
      <c r="R2541" s="22"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2" t="n">
        <v>9580288</v>
      </c>
      <c r="K2542" s="23" t="n">
        <v>44944</v>
      </c>
      <c r="M2542" t="inlineStr">
        <is>
          <t>Appuis divers</t>
        </is>
      </c>
      <c r="R2542" s="22"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2" t="n">
        <v>1622562.5</v>
      </c>
      <c r="K2543" s="23" t="n">
        <v>44918</v>
      </c>
      <c r="M2543" t="inlineStr">
        <is>
          <t>Appuis divers</t>
        </is>
      </c>
      <c r="R2543" s="22"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2" t="n">
        <v>500000</v>
      </c>
      <c r="K2544" t="inlineStr">
        <is>
          <t>2024-05-31</t>
        </is>
      </c>
      <c r="L2544" t="inlineStr">
        <is>
          <t>Appuis divers</t>
        </is>
      </c>
      <c r="R2544" s="22"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2" t="n">
        <v>5254473</v>
      </c>
      <c r="K2545" s="23" t="n">
        <v>44950</v>
      </c>
      <c r="M2545" t="inlineStr">
        <is>
          <t>Appuis divers</t>
        </is>
      </c>
      <c r="R2545" s="22"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2" t="n">
        <v>2000000</v>
      </c>
      <c r="K2546" s="23" t="n">
        <v>44950</v>
      </c>
      <c r="M2546" t="inlineStr">
        <is>
          <t>Appuis divers</t>
        </is>
      </c>
      <c r="R2546" s="22"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2" t="n">
        <v>4936267.95</v>
      </c>
      <c r="K2547" s="23" t="n">
        <v>44852</v>
      </c>
      <c r="M2547" t="inlineStr">
        <is>
          <t>Appuis divers</t>
        </is>
      </c>
      <c r="R2547" s="22"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2" t="n">
        <v>300000</v>
      </c>
      <c r="K2548" s="23" t="n">
        <v>44925</v>
      </c>
      <c r="M2548" t="inlineStr">
        <is>
          <t>Appuis divers</t>
        </is>
      </c>
      <c r="R2548" s="22"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2" t="n">
        <v>30000</v>
      </c>
      <c r="K2549" s="23" t="n">
        <v>44925</v>
      </c>
      <c r="M2549" t="inlineStr">
        <is>
          <t>Appuis divers</t>
        </is>
      </c>
      <c r="R2549" s="22"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2" t="n">
        <v>165000</v>
      </c>
      <c r="K2550" s="23" t="n">
        <v>44925</v>
      </c>
      <c r="M2550" t="inlineStr">
        <is>
          <t>Appuis divers</t>
        </is>
      </c>
      <c r="R2550" s="22"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2" t="n">
        <v>265000</v>
      </c>
      <c r="K2551" s="23" t="n">
        <v>44925</v>
      </c>
      <c r="M2551" t="inlineStr">
        <is>
          <t>Appuis divers</t>
        </is>
      </c>
      <c r="R2551" s="22"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2" t="n">
        <v>480000</v>
      </c>
      <c r="K2552" s="23" t="n">
        <v>44925</v>
      </c>
      <c r="M2552" t="inlineStr">
        <is>
          <t>Appuis divers</t>
        </is>
      </c>
      <c r="R2552" s="22"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2" t="n">
        <v>3126928</v>
      </c>
      <c r="K2553" s="23" t="n">
        <v>44948</v>
      </c>
      <c r="M2553" t="inlineStr">
        <is>
          <t>Appuis divers</t>
        </is>
      </c>
      <c r="R2553" s="22"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2" t="n">
        <v>2293500</v>
      </c>
      <c r="K2554" s="23" t="n">
        <v>44948</v>
      </c>
      <c r="M2554" t="inlineStr">
        <is>
          <t>Appuis divers</t>
        </is>
      </c>
      <c r="R2554" s="22"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2" t="n">
        <v>500000</v>
      </c>
      <c r="K2555" t="inlineStr">
        <is>
          <t>2024-04-05</t>
        </is>
      </c>
      <c r="L2555" t="inlineStr">
        <is>
          <t>Appuis divers</t>
        </is>
      </c>
      <c r="R2555" s="22"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2" t="n">
        <v>500000</v>
      </c>
      <c r="K2556" t="inlineStr">
        <is>
          <t>2024-06-30</t>
        </is>
      </c>
      <c r="L2556" t="inlineStr">
        <is>
          <t>Appuis divers</t>
        </is>
      </c>
      <c r="R2556" s="22"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2" t="n">
        <v>500000</v>
      </c>
      <c r="K2557" t="inlineStr">
        <is>
          <t>2024-06-30</t>
        </is>
      </c>
      <c r="L2557" t="inlineStr">
        <is>
          <t>Appuis divers</t>
        </is>
      </c>
      <c r="R2557" s="22"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2" t="n">
        <v>4800000</v>
      </c>
      <c r="K2558" s="23" t="n">
        <v>44953</v>
      </c>
      <c r="M2558" t="inlineStr">
        <is>
          <t>Appuis divers</t>
        </is>
      </c>
      <c r="R2558" s="22"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2" t="n">
        <v>4640000</v>
      </c>
      <c r="K2559" s="23" t="n">
        <v>44955</v>
      </c>
      <c r="M2559" t="inlineStr">
        <is>
          <t>Appuis divers</t>
        </is>
      </c>
      <c r="R2559" s="22"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2" t="n">
        <v>500000</v>
      </c>
      <c r="K2560" t="inlineStr">
        <is>
          <t>2024-06-30</t>
        </is>
      </c>
      <c r="L2560" t="inlineStr">
        <is>
          <t>Appuis divers</t>
        </is>
      </c>
      <c r="R2560" s="22"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2" t="n">
        <v>500000</v>
      </c>
      <c r="K2561" t="inlineStr">
        <is>
          <t>2024-12-02</t>
        </is>
      </c>
      <c r="L2561" t="inlineStr">
        <is>
          <t>Appuis divers</t>
        </is>
      </c>
      <c r="R2561" s="22"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2" t="n">
        <v>500000</v>
      </c>
      <c r="K2562" s="23" t="n">
        <v>44994</v>
      </c>
      <c r="M2562" t="inlineStr">
        <is>
          <t>Appuis divers</t>
        </is>
      </c>
      <c r="R2562" s="22"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2" t="n">
        <v>25000000</v>
      </c>
      <c r="K2563" s="23" t="n">
        <v>44985</v>
      </c>
      <c r="M2563" t="inlineStr">
        <is>
          <t>agriculture</t>
        </is>
      </c>
      <c r="R2563" s="22"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2" t="n">
        <v>3000000</v>
      </c>
      <c r="K2564" s="23" t="n">
        <v>44991</v>
      </c>
      <c r="M2564" t="inlineStr">
        <is>
          <t>microfinance</t>
        </is>
      </c>
      <c r="R2564" s="22"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2" t="n">
        <v>3000000</v>
      </c>
      <c r="K2565" s="23" t="n">
        <v>44991</v>
      </c>
      <c r="M2565" t="inlineStr">
        <is>
          <t>microfinance</t>
        </is>
      </c>
      <c r="R2565" s="22"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2" t="n">
        <v>3000000</v>
      </c>
      <c r="K2566" s="23" t="n">
        <v>44992</v>
      </c>
      <c r="M2566" t="inlineStr">
        <is>
          <t>microfinance</t>
        </is>
      </c>
      <c r="R2566" s="22"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2" t="n">
        <v>3000000</v>
      </c>
      <c r="K2567" s="23" t="n">
        <v>44991</v>
      </c>
      <c r="M2567" t="inlineStr">
        <is>
          <t>microfinance</t>
        </is>
      </c>
      <c r="R2567" s="22"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2" t="n">
        <v>3000000</v>
      </c>
      <c r="K2568" s="23" t="n">
        <v>44991</v>
      </c>
      <c r="M2568" t="inlineStr">
        <is>
          <t>microfinance</t>
        </is>
      </c>
      <c r="R2568" s="22"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2" t="n">
        <v>3000000</v>
      </c>
      <c r="K2569" s="23" t="n">
        <v>44991</v>
      </c>
      <c r="M2569" t="inlineStr">
        <is>
          <t>microfinance</t>
        </is>
      </c>
      <c r="R2569" s="22"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2" t="n">
        <v>3000000</v>
      </c>
      <c r="K2570" s="23" t="n">
        <v>44991</v>
      </c>
      <c r="M2570" t="inlineStr">
        <is>
          <t>microfinance</t>
        </is>
      </c>
      <c r="R2570" s="22"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2" t="n">
        <v>500000</v>
      </c>
      <c r="K2571" s="23" t="n">
        <v>44994</v>
      </c>
      <c r="M2571" t="inlineStr">
        <is>
          <t>microfinance</t>
        </is>
      </c>
      <c r="R2571" s="22"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2" t="n">
        <v>500000</v>
      </c>
      <c r="K2572" s="23" t="n">
        <v>44994</v>
      </c>
      <c r="M2572" t="inlineStr">
        <is>
          <t>microfinance</t>
        </is>
      </c>
      <c r="R2572" s="22"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2" t="n">
        <v>500000</v>
      </c>
      <c r="K2573" s="23" t="n">
        <v>44994</v>
      </c>
      <c r="M2573" t="inlineStr">
        <is>
          <t>microfinance</t>
        </is>
      </c>
      <c r="R2573" s="22"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2" t="n">
        <v>500000</v>
      </c>
      <c r="K2574" t="inlineStr">
        <is>
          <t>2024-12-02</t>
        </is>
      </c>
      <c r="L2574" t="inlineStr">
        <is>
          <t>Appuis divers</t>
        </is>
      </c>
      <c r="R2574" s="22"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2" t="n">
        <v>500000</v>
      </c>
      <c r="K2575" s="23" t="n">
        <v>45034</v>
      </c>
      <c r="L2575" t="inlineStr">
        <is>
          <t>Appui divers</t>
        </is>
      </c>
      <c r="M2575" t="inlineStr">
        <is>
          <t>N/A</t>
        </is>
      </c>
      <c r="N2575" t="inlineStr">
        <is>
          <t>N/A</t>
        </is>
      </c>
      <c r="O2575" t="inlineStr">
        <is>
          <t>N/A</t>
        </is>
      </c>
      <c r="R2575" s="22"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2" t="n">
        <v>500000</v>
      </c>
      <c r="L2576" t="inlineStr">
        <is>
          <t>APPUIS DIVERS (FETE PATRONALE DU 4EME BATAILLON D'INFANTERIE)</t>
        </is>
      </c>
      <c r="R2576" s="22"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2" t="n">
        <v>500000</v>
      </c>
      <c r="K2577" s="23" t="n">
        <v>45012</v>
      </c>
      <c r="M2577" t="inlineStr">
        <is>
          <t>Appuis divers</t>
        </is>
      </c>
      <c r="R2577" s="22"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2" t="n">
        <v>500000</v>
      </c>
      <c r="K2578" s="23" t="n">
        <v>45012</v>
      </c>
      <c r="M2578" t="inlineStr">
        <is>
          <t>Appuis divers</t>
        </is>
      </c>
      <c r="R2578" s="22"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2" t="n">
        <v>1000000</v>
      </c>
      <c r="K2579" s="23" t="n">
        <v>45012</v>
      </c>
      <c r="M2579" t="inlineStr">
        <is>
          <t>Appuis divers</t>
        </is>
      </c>
      <c r="R2579" s="22"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2" t="n">
        <v>2618850</v>
      </c>
      <c r="K2580" s="23" t="n">
        <v>45014</v>
      </c>
      <c r="M2580" t="inlineStr">
        <is>
          <t>Appuis divers</t>
        </is>
      </c>
      <c r="R2580" s="22"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2" t="n">
        <v>1615000</v>
      </c>
      <c r="K2581" s="23" t="n">
        <v>45014</v>
      </c>
      <c r="M2581" t="inlineStr">
        <is>
          <t>Appuis divers</t>
        </is>
      </c>
      <c r="R2581" s="22"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2" t="n">
        <v>500000</v>
      </c>
      <c r="K2582" s="23" t="n">
        <v>45014</v>
      </c>
      <c r="M2582" t="inlineStr">
        <is>
          <t>Appuis divers</t>
        </is>
      </c>
      <c r="R2582" s="22"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2" t="n">
        <v>500000</v>
      </c>
      <c r="L2583" t="inlineStr">
        <is>
          <t>APPUIS DIVERS (FETE NATIONALE)</t>
        </is>
      </c>
      <c r="R2583" s="22"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2" t="n">
        <v>500000</v>
      </c>
      <c r="K2584" s="23" t="n">
        <v>45014</v>
      </c>
      <c r="M2584" t="inlineStr">
        <is>
          <t>Appuis divers</t>
        </is>
      </c>
      <c r="R2584" s="22"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2" t="n">
        <v>500000</v>
      </c>
      <c r="L2585" t="inlineStr">
        <is>
          <t>APPUIS DIVERS (08 MARS)</t>
        </is>
      </c>
      <c r="R2585" s="22"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2" t="n">
        <v>4105837</v>
      </c>
      <c r="K2586" s="23" t="n">
        <v>44970</v>
      </c>
      <c r="M2586" t="inlineStr">
        <is>
          <t>Appuis divers</t>
        </is>
      </c>
      <c r="R2586" s="22"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2" t="n">
        <v>9580288</v>
      </c>
      <c r="K2587" s="23" t="n">
        <v>44970</v>
      </c>
      <c r="M2587" t="inlineStr">
        <is>
          <t>Appuis divers</t>
        </is>
      </c>
      <c r="R2587" s="22"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2" t="n">
        <v>337500</v>
      </c>
      <c r="K2588" s="23" t="n">
        <v>45049</v>
      </c>
      <c r="M2588" t="inlineStr">
        <is>
          <t>Appuis divers</t>
        </is>
      </c>
      <c r="R2588" s="22"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2" t="n">
        <v>500000</v>
      </c>
      <c r="Q2589" t="inlineStr">
        <is>
          <t>TOUS</t>
        </is>
      </c>
      <c r="R2589" s="22"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2" t="n">
        <v>503300</v>
      </c>
      <c r="K2590" s="23" t="n">
        <v>45049</v>
      </c>
      <c r="M2590" t="inlineStr">
        <is>
          <t>Appuis divers</t>
        </is>
      </c>
      <c r="R2590" s="22"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2" t="n">
        <v>500000</v>
      </c>
      <c r="K2591" s="23" t="n">
        <v>44952</v>
      </c>
      <c r="M2591" t="inlineStr">
        <is>
          <t>Appuis divers</t>
        </is>
      </c>
      <c r="R2591" s="22"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2" t="n">
        <v>500000</v>
      </c>
      <c r="K2592" s="23" t="n">
        <v>44980</v>
      </c>
      <c r="M2592" t="inlineStr">
        <is>
          <t>Appuis divers</t>
        </is>
      </c>
      <c r="R2592" s="22"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2" t="n">
        <v>400000</v>
      </c>
      <c r="K2593" s="23" t="n">
        <v>45069</v>
      </c>
      <c r="M2593" t="inlineStr">
        <is>
          <t>Appuis divers</t>
        </is>
      </c>
      <c r="R2593" s="22"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2" t="n">
        <v>13507449.75</v>
      </c>
      <c r="K2594" s="23" t="n">
        <v>45071</v>
      </c>
      <c r="M2594" t="inlineStr">
        <is>
          <t>Appuis divers</t>
        </is>
      </c>
      <c r="R2594" s="22"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2" t="n">
        <v>4105837</v>
      </c>
      <c r="K2595" s="23" t="n">
        <v>45056</v>
      </c>
      <c r="M2595" t="inlineStr">
        <is>
          <t>Appuis divers</t>
        </is>
      </c>
      <c r="R2595" s="22"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2" t="n">
        <v>1000000</v>
      </c>
      <c r="K2596" s="23" t="n">
        <v>45097</v>
      </c>
      <c r="M2596" t="inlineStr">
        <is>
          <t>Appuis divers</t>
        </is>
      </c>
      <c r="R2596" s="22"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2" t="n">
        <v>500000</v>
      </c>
      <c r="K2597" s="23" t="n">
        <v>45117</v>
      </c>
      <c r="M2597" t="inlineStr">
        <is>
          <t>Appuis divers</t>
        </is>
      </c>
      <c r="R2597" s="22"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2" t="n">
        <v>10000000</v>
      </c>
      <c r="K2598" s="23" t="n">
        <v>45117</v>
      </c>
      <c r="M2598" t="inlineStr">
        <is>
          <t>santé</t>
        </is>
      </c>
      <c r="R2598" s="22"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2" t="n">
        <v>250000</v>
      </c>
      <c r="K2599" s="23" t="n">
        <v>45090</v>
      </c>
      <c r="M2599" t="inlineStr">
        <is>
          <t>Appuis divers</t>
        </is>
      </c>
      <c r="R2599" s="22"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2" t="n">
        <v>250000</v>
      </c>
      <c r="K2600" s="23" t="n">
        <v>45090</v>
      </c>
      <c r="M2600" t="inlineStr">
        <is>
          <t>Appuis divers</t>
        </is>
      </c>
      <c r="R2600" s="22"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2" t="n">
        <v>200000</v>
      </c>
      <c r="K2601" s="23" t="n">
        <v>45090</v>
      </c>
      <c r="M2601" t="inlineStr">
        <is>
          <t>Appuis divers</t>
        </is>
      </c>
      <c r="R2601" s="22"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2" t="n">
        <v>200000</v>
      </c>
      <c r="K2602" s="23" t="n">
        <v>45090</v>
      </c>
      <c r="M2602" t="inlineStr">
        <is>
          <t>Appuis divers</t>
        </is>
      </c>
      <c r="R2602" s="22"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2" t="n">
        <v>150000</v>
      </c>
      <c r="K2603" s="23" t="n">
        <v>45090</v>
      </c>
      <c r="M2603" t="inlineStr">
        <is>
          <t>Appuis divers</t>
        </is>
      </c>
      <c r="R2603" s="22"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2" t="n">
        <v>150000</v>
      </c>
      <c r="K2604" s="23" t="n">
        <v>45090</v>
      </c>
      <c r="M2604" t="inlineStr">
        <is>
          <t>Appuis divers</t>
        </is>
      </c>
      <c r="R2604" s="22"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2" t="n">
        <v>150000</v>
      </c>
      <c r="K2605" s="23" t="n">
        <v>45090</v>
      </c>
      <c r="M2605" t="inlineStr">
        <is>
          <t>Appuis divers</t>
        </is>
      </c>
      <c r="R2605" s="22"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2" t="n">
        <v>150000</v>
      </c>
      <c r="K2606" s="23" t="n">
        <v>45090</v>
      </c>
      <c r="M2606" t="inlineStr">
        <is>
          <t>Appuis divers</t>
        </is>
      </c>
      <c r="R2606" s="22"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2" t="n">
        <v>150000</v>
      </c>
      <c r="K2607" s="23" t="n">
        <v>45090</v>
      </c>
      <c r="M2607" t="inlineStr">
        <is>
          <t>Appuis divers</t>
        </is>
      </c>
      <c r="R2607" s="22"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2" t="n">
        <v>125000</v>
      </c>
      <c r="K2608" s="23" t="n">
        <v>45090</v>
      </c>
      <c r="M2608" t="inlineStr">
        <is>
          <t>Appuis divers</t>
        </is>
      </c>
      <c r="R2608" s="22"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2" t="n">
        <v>100000</v>
      </c>
      <c r="K2609" s="23" t="n">
        <v>45090</v>
      </c>
      <c r="M2609" t="inlineStr">
        <is>
          <t>Appuis divers</t>
        </is>
      </c>
      <c r="R2609" s="22"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2" t="n">
        <v>125000</v>
      </c>
      <c r="K2610" s="23" t="n">
        <v>45090</v>
      </c>
      <c r="M2610" t="inlineStr">
        <is>
          <t>Appuis divers</t>
        </is>
      </c>
      <c r="R2610" s="22"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2" t="n">
        <v>125000</v>
      </c>
      <c r="K2611" s="23" t="n">
        <v>45090</v>
      </c>
      <c r="M2611" t="inlineStr">
        <is>
          <t>Appuis divers</t>
        </is>
      </c>
      <c r="R2611" s="22"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2" t="n">
        <v>125000</v>
      </c>
      <c r="K2612" s="23" t="n">
        <v>45090</v>
      </c>
      <c r="M2612" t="inlineStr">
        <is>
          <t>Appuis divers</t>
        </is>
      </c>
      <c r="R2612" s="22"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2" t="n">
        <v>125000</v>
      </c>
      <c r="K2613" s="23" t="n">
        <v>45090</v>
      </c>
      <c r="M2613" t="inlineStr">
        <is>
          <t>Appuis divers</t>
        </is>
      </c>
      <c r="R2613" s="22"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2" t="n">
        <v>100000</v>
      </c>
      <c r="K2614" s="23" t="n">
        <v>45090</v>
      </c>
      <c r="M2614" t="inlineStr">
        <is>
          <t>Appuis divers</t>
        </is>
      </c>
      <c r="R2614" s="22"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2" t="n">
        <v>100000</v>
      </c>
      <c r="K2615" s="23" t="n">
        <v>45090</v>
      </c>
      <c r="M2615" t="inlineStr">
        <is>
          <t>Appuis divers</t>
        </is>
      </c>
      <c r="R2615" s="22"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2" t="n">
        <v>100000</v>
      </c>
      <c r="K2616" s="23" t="n">
        <v>45090</v>
      </c>
      <c r="M2616" t="inlineStr">
        <is>
          <t>Appuis divers</t>
        </is>
      </c>
      <c r="R2616" s="22"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2" t="n">
        <v>100000</v>
      </c>
      <c r="K2617" s="23" t="n">
        <v>45090</v>
      </c>
      <c r="M2617" t="inlineStr">
        <is>
          <t>Appuis divers</t>
        </is>
      </c>
      <c r="R2617" s="22"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2" t="n">
        <v>100000</v>
      </c>
      <c r="K2618" s="23" t="n">
        <v>45090</v>
      </c>
      <c r="M2618" t="inlineStr">
        <is>
          <t>Appuis divers</t>
        </is>
      </c>
      <c r="R2618" s="22"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2" t="n">
        <v>80000</v>
      </c>
      <c r="K2619" s="23" t="n">
        <v>45090</v>
      </c>
      <c r="M2619" t="inlineStr">
        <is>
          <t>Appuis divers</t>
        </is>
      </c>
      <c r="R2619" s="22"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2" t="n">
        <v>80000</v>
      </c>
      <c r="K2620" s="23" t="n">
        <v>45090</v>
      </c>
      <c r="M2620" t="inlineStr">
        <is>
          <t>Appuis divers</t>
        </is>
      </c>
      <c r="R2620" s="22"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2" t="n">
        <v>70000</v>
      </c>
      <c r="K2621" s="23" t="n">
        <v>45090</v>
      </c>
      <c r="M2621" t="inlineStr">
        <is>
          <t>Appuis divers</t>
        </is>
      </c>
      <c r="R2621" s="22"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2" t="n">
        <v>70000</v>
      </c>
      <c r="K2622" s="23" t="n">
        <v>45090</v>
      </c>
      <c r="M2622" t="inlineStr">
        <is>
          <t>Appuis divers</t>
        </is>
      </c>
      <c r="R2622" s="22"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2" t="n">
        <v>70000</v>
      </c>
      <c r="K2623" s="23" t="n">
        <v>45090</v>
      </c>
      <c r="M2623" t="inlineStr">
        <is>
          <t>Appuis divers</t>
        </is>
      </c>
      <c r="R2623" s="22"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2" t="n">
        <v>70000</v>
      </c>
      <c r="K2624" s="23" t="n">
        <v>45090</v>
      </c>
      <c r="M2624" t="inlineStr">
        <is>
          <t>Appuis divers</t>
        </is>
      </c>
      <c r="R2624" s="22"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2" t="n">
        <v>70000</v>
      </c>
      <c r="K2625" s="23" t="n">
        <v>45090</v>
      </c>
      <c r="M2625" t="inlineStr">
        <is>
          <t>Appuis divers</t>
        </is>
      </c>
      <c r="R2625" s="22"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2" t="n">
        <v>70000</v>
      </c>
      <c r="K2626" s="23" t="n">
        <v>45090</v>
      </c>
      <c r="M2626" t="inlineStr">
        <is>
          <t>Appuis divers</t>
        </is>
      </c>
      <c r="R2626" s="22"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2" t="n">
        <v>70000</v>
      </c>
      <c r="K2627" s="23" t="n">
        <v>45090</v>
      </c>
      <c r="M2627" t="inlineStr">
        <is>
          <t>Appuis divers</t>
        </is>
      </c>
      <c r="R2627" s="22"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2" t="n">
        <v>70000</v>
      </c>
      <c r="K2628" s="23" t="n">
        <v>45090</v>
      </c>
      <c r="M2628" t="inlineStr">
        <is>
          <t>Appuis divers</t>
        </is>
      </c>
      <c r="R2628" s="22"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2" t="n">
        <v>70000</v>
      </c>
      <c r="K2629" s="23" t="n">
        <v>45090</v>
      </c>
      <c r="M2629" t="inlineStr">
        <is>
          <t>Appuis divers</t>
        </is>
      </c>
      <c r="R2629" s="22"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2" t="n">
        <v>70000</v>
      </c>
      <c r="K2630" s="23" t="n">
        <v>45090</v>
      </c>
      <c r="M2630" t="inlineStr">
        <is>
          <t>Appuis divers</t>
        </is>
      </c>
      <c r="R2630" s="22"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2" t="n">
        <v>70000</v>
      </c>
      <c r="K2631" s="23" t="n">
        <v>45090</v>
      </c>
      <c r="M2631" t="inlineStr">
        <is>
          <t>Appuis divers</t>
        </is>
      </c>
      <c r="R2631" s="22"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2" t="n">
        <v>70000</v>
      </c>
      <c r="K2632" s="23" t="n">
        <v>45090</v>
      </c>
      <c r="M2632" t="inlineStr">
        <is>
          <t>Appuis divers</t>
        </is>
      </c>
      <c r="R2632" s="22"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2" t="n">
        <v>70000</v>
      </c>
      <c r="K2633" s="23" t="n">
        <v>45090</v>
      </c>
      <c r="M2633" t="inlineStr">
        <is>
          <t>Appuis divers</t>
        </is>
      </c>
      <c r="R2633" s="22"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2" t="n">
        <v>70000</v>
      </c>
      <c r="K2634" s="23" t="n">
        <v>45090</v>
      </c>
      <c r="M2634" t="inlineStr">
        <is>
          <t>Appuis divers</t>
        </is>
      </c>
      <c r="R2634" s="22"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2" t="n">
        <v>70000</v>
      </c>
      <c r="K2635" s="23" t="n">
        <v>45090</v>
      </c>
      <c r="M2635" t="inlineStr">
        <is>
          <t>Appuis divers</t>
        </is>
      </c>
      <c r="R2635" s="22"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2" t="n">
        <v>70000</v>
      </c>
      <c r="K2636" s="23" t="n">
        <v>45090</v>
      </c>
      <c r="M2636" t="inlineStr">
        <is>
          <t>Appuis divers</t>
        </is>
      </c>
      <c r="R2636" s="22"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2" t="n">
        <v>70000</v>
      </c>
      <c r="K2637" s="23" t="n">
        <v>45090</v>
      </c>
      <c r="M2637" t="inlineStr">
        <is>
          <t>Appuis divers</t>
        </is>
      </c>
      <c r="R2637" s="22"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2" t="n">
        <v>500000</v>
      </c>
      <c r="K2638" s="23" t="n">
        <v>45126</v>
      </c>
      <c r="M2638" t="inlineStr">
        <is>
          <t>Sport</t>
        </is>
      </c>
      <c r="R2638" s="22"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2" t="n">
        <v>70000</v>
      </c>
      <c r="K2639" s="23" t="n">
        <v>45090</v>
      </c>
      <c r="M2639" t="inlineStr">
        <is>
          <t>Appuis divers</t>
        </is>
      </c>
      <c r="R2639" s="22"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2" t="n">
        <v>70000</v>
      </c>
      <c r="K2640" s="23" t="n">
        <v>45090</v>
      </c>
      <c r="M2640" t="inlineStr">
        <is>
          <t>Appuis divers</t>
        </is>
      </c>
      <c r="R2640" s="22"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2" t="n">
        <v>70000</v>
      </c>
      <c r="K2641" s="23" t="n">
        <v>45090</v>
      </c>
      <c r="M2641" t="inlineStr">
        <is>
          <t>Appuis divers</t>
        </is>
      </c>
      <c r="R2641" s="22"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2" t="n">
        <v>70000</v>
      </c>
      <c r="K2642" s="23" t="n">
        <v>45090</v>
      </c>
      <c r="M2642" t="inlineStr">
        <is>
          <t>Appuis divers</t>
        </is>
      </c>
      <c r="R2642" s="22"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2" t="n">
        <v>70000</v>
      </c>
      <c r="K2643" s="23" t="n">
        <v>45090</v>
      </c>
      <c r="M2643" t="inlineStr">
        <is>
          <t>Appuis divers</t>
        </is>
      </c>
      <c r="R2643" s="22"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2" t="n">
        <v>70000</v>
      </c>
      <c r="K2644" s="23" t="n">
        <v>45090</v>
      </c>
      <c r="M2644" t="inlineStr">
        <is>
          <t>Appuis divers</t>
        </is>
      </c>
      <c r="R2644" s="22"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2" t="n">
        <v>70000</v>
      </c>
      <c r="K2645" s="23" t="n">
        <v>45090</v>
      </c>
      <c r="M2645" t="inlineStr">
        <is>
          <t>Appuis divers</t>
        </is>
      </c>
      <c r="R2645" s="22"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2" t="n">
        <v>70000</v>
      </c>
      <c r="K2646" s="23" t="n">
        <v>45090</v>
      </c>
      <c r="M2646" t="inlineStr">
        <is>
          <t>Appuis divers</t>
        </is>
      </c>
      <c r="R2646" s="22"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2" t="n">
        <v>70000</v>
      </c>
      <c r="K2647" s="23" t="n">
        <v>45090</v>
      </c>
      <c r="M2647" t="inlineStr">
        <is>
          <t>Appuis divers</t>
        </is>
      </c>
      <c r="R2647" s="22"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2" t="n">
        <v>70000</v>
      </c>
      <c r="K2648" s="23" t="n">
        <v>45090</v>
      </c>
      <c r="M2648" t="inlineStr">
        <is>
          <t>Appuis divers</t>
        </is>
      </c>
      <c r="R2648" s="22"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2" t="n">
        <v>70000</v>
      </c>
      <c r="K2649" s="23" t="n">
        <v>45090</v>
      </c>
      <c r="M2649" t="inlineStr">
        <is>
          <t>Appuis divers</t>
        </is>
      </c>
      <c r="R2649" s="22"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2" t="n">
        <v>70000</v>
      </c>
      <c r="K2650" s="23" t="n">
        <v>45090</v>
      </c>
      <c r="M2650" t="inlineStr">
        <is>
          <t>Appuis divers</t>
        </is>
      </c>
      <c r="R2650" s="22"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2" t="n">
        <v>70000</v>
      </c>
      <c r="K2651" s="23" t="n">
        <v>45090</v>
      </c>
      <c r="M2651" t="inlineStr">
        <is>
          <t>Appuis divers</t>
        </is>
      </c>
      <c r="R2651" s="22"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2" t="n">
        <v>70000</v>
      </c>
      <c r="K2652" s="23" t="n">
        <v>45090</v>
      </c>
      <c r="M2652" t="inlineStr">
        <is>
          <t>Appuis divers</t>
        </is>
      </c>
      <c r="R2652" s="22"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2" t="n">
        <v>70000</v>
      </c>
      <c r="K2653" s="23" t="n">
        <v>45090</v>
      </c>
      <c r="M2653" t="inlineStr">
        <is>
          <t>Appuis divers</t>
        </is>
      </c>
      <c r="R2653" s="22"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2" t="n">
        <v>70000</v>
      </c>
      <c r="K2654" s="23" t="n">
        <v>45090</v>
      </c>
      <c r="M2654" t="inlineStr">
        <is>
          <t>Appuis divers</t>
        </is>
      </c>
      <c r="R2654" s="22"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2" t="n">
        <v>70000</v>
      </c>
      <c r="K2655" s="23" t="n">
        <v>45090</v>
      </c>
      <c r="M2655" t="inlineStr">
        <is>
          <t>Appuis divers</t>
        </is>
      </c>
      <c r="R2655" s="22"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2" t="n">
        <v>70000</v>
      </c>
      <c r="K2656" s="23" t="n">
        <v>45090</v>
      </c>
      <c r="M2656" t="inlineStr">
        <is>
          <t>Appuis divers</t>
        </is>
      </c>
      <c r="R2656" s="22"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2" t="n">
        <v>70000</v>
      </c>
      <c r="K2657" s="23" t="n">
        <v>45090</v>
      </c>
      <c r="M2657" t="inlineStr">
        <is>
          <t>Appuis divers</t>
        </is>
      </c>
      <c r="R2657" s="22"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2" t="n">
        <v>70000</v>
      </c>
      <c r="K2658" s="23" t="n">
        <v>45090</v>
      </c>
      <c r="M2658" t="inlineStr">
        <is>
          <t>Appuis divers</t>
        </is>
      </c>
      <c r="R2658" s="22"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2" t="n">
        <v>70000</v>
      </c>
      <c r="K2659" s="23" t="n">
        <v>45090</v>
      </c>
      <c r="M2659" t="inlineStr">
        <is>
          <t>Appuis divers</t>
        </is>
      </c>
      <c r="R2659" s="22"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2" t="n">
        <v>70000</v>
      </c>
      <c r="K2660" s="23" t="n">
        <v>45090</v>
      </c>
      <c r="M2660" t="inlineStr">
        <is>
          <t>Appuis divers</t>
        </is>
      </c>
      <c r="R2660" s="22"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2" t="n">
        <v>70000</v>
      </c>
      <c r="K2661" s="23" t="n">
        <v>45090</v>
      </c>
      <c r="M2661" t="inlineStr">
        <is>
          <t>Appuis divers</t>
        </is>
      </c>
      <c r="R2661" s="22"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2" t="n">
        <v>70000</v>
      </c>
      <c r="K2662" s="23" t="n">
        <v>45090</v>
      </c>
      <c r="M2662" t="inlineStr">
        <is>
          <t>Appuis divers</t>
        </is>
      </c>
      <c r="R2662" s="22"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2" t="n">
        <v>70000</v>
      </c>
      <c r="K2663" s="23" t="n">
        <v>45090</v>
      </c>
      <c r="M2663" t="inlineStr">
        <is>
          <t>Appuis divers</t>
        </is>
      </c>
      <c r="R2663" s="22"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2" t="n">
        <v>70000</v>
      </c>
      <c r="K2664" s="23" t="n">
        <v>45090</v>
      </c>
      <c r="M2664" t="inlineStr">
        <is>
          <t>Appuis divers</t>
        </is>
      </c>
      <c r="R2664" s="22"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2" t="n">
        <v>70000</v>
      </c>
      <c r="K2665" s="23" t="n">
        <v>45090</v>
      </c>
      <c r="M2665" t="inlineStr">
        <is>
          <t>Appuis divers</t>
        </is>
      </c>
      <c r="R2665" s="22"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2" t="n">
        <v>250000</v>
      </c>
      <c r="K2666" s="23" t="n">
        <v>45090</v>
      </c>
      <c r="M2666" t="inlineStr">
        <is>
          <t>Appuis divers</t>
        </is>
      </c>
      <c r="R2666" s="22"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2" t="n">
        <v>250000</v>
      </c>
      <c r="K2667" s="23" t="n">
        <v>45090</v>
      </c>
      <c r="M2667" t="inlineStr">
        <is>
          <t>Appuis divers</t>
        </is>
      </c>
      <c r="R2667" s="22"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2" t="n">
        <v>200000</v>
      </c>
      <c r="K2668" s="23" t="n">
        <v>45090</v>
      </c>
      <c r="M2668" t="inlineStr">
        <is>
          <t>Appuis divers</t>
        </is>
      </c>
      <c r="R2668" s="22"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2" t="n">
        <v>150000</v>
      </c>
      <c r="K2669" s="23" t="n">
        <v>45090</v>
      </c>
      <c r="M2669" t="inlineStr">
        <is>
          <t>Appuis divers</t>
        </is>
      </c>
      <c r="R2669" s="22"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2" t="n">
        <v>150000</v>
      </c>
      <c r="K2670" s="23" t="n">
        <v>45090</v>
      </c>
      <c r="M2670" t="inlineStr">
        <is>
          <t>Appuis divers</t>
        </is>
      </c>
      <c r="R2670" s="22"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2" t="n">
        <v>200000</v>
      </c>
      <c r="K2671" s="23" t="n">
        <v>45090</v>
      </c>
      <c r="M2671" t="inlineStr">
        <is>
          <t>Appuis divers</t>
        </is>
      </c>
      <c r="R2671" s="22"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2" t="n">
        <v>150000</v>
      </c>
      <c r="K2672" s="23" t="n">
        <v>45090</v>
      </c>
      <c r="M2672" t="inlineStr">
        <is>
          <t>Appuis divers</t>
        </is>
      </c>
      <c r="R2672" s="22"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2" t="n">
        <v>125000</v>
      </c>
      <c r="K2673" s="23" t="n">
        <v>45090</v>
      </c>
      <c r="M2673" t="inlineStr">
        <is>
          <t>Appuis divers</t>
        </is>
      </c>
      <c r="R2673" s="22"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2" t="n">
        <v>125000</v>
      </c>
      <c r="K2674" s="23" t="n">
        <v>45090</v>
      </c>
      <c r="M2674" t="inlineStr">
        <is>
          <t>Appuis divers</t>
        </is>
      </c>
      <c r="R2674" s="22"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2" t="n">
        <v>125000</v>
      </c>
      <c r="K2675" s="23" t="n">
        <v>45090</v>
      </c>
      <c r="M2675" t="inlineStr">
        <is>
          <t>Appuis divers</t>
        </is>
      </c>
      <c r="R2675" s="22"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2" t="n">
        <v>125000</v>
      </c>
      <c r="K2676" s="23" t="n">
        <v>45090</v>
      </c>
      <c r="M2676" t="inlineStr">
        <is>
          <t>Appuis divers</t>
        </is>
      </c>
      <c r="R2676" s="22"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2" t="n">
        <v>125000</v>
      </c>
      <c r="K2677" s="23" t="n">
        <v>45090</v>
      </c>
      <c r="M2677" t="inlineStr">
        <is>
          <t>Appuis divers</t>
        </is>
      </c>
      <c r="R2677" s="22"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2" t="n">
        <v>100000</v>
      </c>
      <c r="K2678" s="23" t="n">
        <v>45090</v>
      </c>
      <c r="M2678" t="inlineStr">
        <is>
          <t>Appuis divers</t>
        </is>
      </c>
      <c r="R2678" s="22"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2" t="n">
        <v>100000</v>
      </c>
      <c r="K2679" s="23" t="n">
        <v>45090</v>
      </c>
      <c r="M2679" t="inlineStr">
        <is>
          <t>Appuis divers</t>
        </is>
      </c>
      <c r="R2679" s="22"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2" t="n">
        <v>100000</v>
      </c>
      <c r="K2680" s="23" t="n">
        <v>45090</v>
      </c>
      <c r="M2680" t="inlineStr">
        <is>
          <t>Appuis divers</t>
        </is>
      </c>
      <c r="R2680" s="22"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2" t="n">
        <v>100000</v>
      </c>
      <c r="K2681" s="23" t="n">
        <v>45090</v>
      </c>
      <c r="M2681" t="inlineStr">
        <is>
          <t>Appuis divers</t>
        </is>
      </c>
      <c r="R2681" s="22"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2" t="n">
        <v>150000</v>
      </c>
      <c r="K2682" s="23" t="n">
        <v>45090</v>
      </c>
      <c r="M2682" t="inlineStr">
        <is>
          <t>Appuis divers</t>
        </is>
      </c>
      <c r="R2682" s="22"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2" t="n">
        <v>100000</v>
      </c>
      <c r="K2683" s="23" t="n">
        <v>45090</v>
      </c>
      <c r="M2683" t="inlineStr">
        <is>
          <t>Appuis divers</t>
        </is>
      </c>
      <c r="R2683" s="22"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2" t="n">
        <v>100000</v>
      </c>
      <c r="K2684" s="23" t="n">
        <v>45090</v>
      </c>
      <c r="M2684" t="inlineStr">
        <is>
          <t>Appuis divers</t>
        </is>
      </c>
      <c r="R2684" s="22"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2" t="n">
        <v>100000</v>
      </c>
      <c r="K2685" s="23" t="n">
        <v>45090</v>
      </c>
      <c r="M2685" t="inlineStr">
        <is>
          <t>Appuis divers</t>
        </is>
      </c>
      <c r="R2685" s="22"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2" t="n">
        <v>100000</v>
      </c>
      <c r="K2686" s="23" t="n">
        <v>45090</v>
      </c>
      <c r="M2686" t="inlineStr">
        <is>
          <t>Appuis divers</t>
        </is>
      </c>
      <c r="R2686" s="22"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2" t="n">
        <v>100000</v>
      </c>
      <c r="K2687" s="23" t="n">
        <v>45090</v>
      </c>
      <c r="M2687" t="inlineStr">
        <is>
          <t>Appuis divers</t>
        </is>
      </c>
      <c r="R2687" s="22"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2" t="n">
        <v>100000</v>
      </c>
      <c r="K2688" s="23" t="n">
        <v>45090</v>
      </c>
      <c r="M2688" t="inlineStr">
        <is>
          <t>Appuis divers</t>
        </is>
      </c>
      <c r="R2688" s="22"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2" t="n">
        <v>100000</v>
      </c>
      <c r="K2689" s="23" t="n">
        <v>45090</v>
      </c>
      <c r="M2689" t="inlineStr">
        <is>
          <t>Appuis divers</t>
        </is>
      </c>
      <c r="R2689" s="22"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2" t="n">
        <v>80000</v>
      </c>
      <c r="K2690" s="23" t="n">
        <v>45090</v>
      </c>
      <c r="M2690" t="inlineStr">
        <is>
          <t>Appuis divers</t>
        </is>
      </c>
      <c r="R2690" s="22"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2" t="n">
        <v>80000</v>
      </c>
      <c r="K2691" s="23" t="n">
        <v>45090</v>
      </c>
      <c r="M2691" t="inlineStr">
        <is>
          <t>Appuis divers</t>
        </is>
      </c>
      <c r="R2691" s="22"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2" t="n">
        <v>80000</v>
      </c>
      <c r="K2692" s="23" t="n">
        <v>45090</v>
      </c>
      <c r="M2692" t="inlineStr">
        <is>
          <t>Appuis divers</t>
        </is>
      </c>
      <c r="R2692" s="22"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2" t="n">
        <v>80000</v>
      </c>
      <c r="K2693" s="23" t="n">
        <v>45090</v>
      </c>
      <c r="M2693" t="inlineStr">
        <is>
          <t>Appuis divers</t>
        </is>
      </c>
      <c r="R2693" s="22"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2" t="n">
        <v>80000</v>
      </c>
      <c r="K2694" s="23" t="n">
        <v>45090</v>
      </c>
      <c r="M2694" t="inlineStr">
        <is>
          <t>Appuis divers</t>
        </is>
      </c>
      <c r="R2694" s="22"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2" t="n">
        <v>80000</v>
      </c>
      <c r="K2695" s="23" t="n">
        <v>45090</v>
      </c>
      <c r="M2695" t="inlineStr">
        <is>
          <t>Appuis divers</t>
        </is>
      </c>
      <c r="R2695" s="22"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2" t="n">
        <v>80000</v>
      </c>
      <c r="K2696" s="23" t="n">
        <v>45090</v>
      </c>
      <c r="M2696" t="inlineStr">
        <is>
          <t>Appuis divers</t>
        </is>
      </c>
      <c r="R2696" s="22"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2" t="n">
        <v>80000</v>
      </c>
      <c r="K2697" s="23" t="n">
        <v>45090</v>
      </c>
      <c r="M2697" t="inlineStr">
        <is>
          <t>Appuis divers</t>
        </is>
      </c>
      <c r="R2697" s="22"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2" t="n">
        <v>80000</v>
      </c>
      <c r="K2698" s="23" t="n">
        <v>45090</v>
      </c>
      <c r="M2698" t="inlineStr">
        <is>
          <t>Appuis divers</t>
        </is>
      </c>
      <c r="R2698" s="22"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2" t="n">
        <v>75000</v>
      </c>
      <c r="K2699" s="23" t="n">
        <v>45090</v>
      </c>
      <c r="M2699" t="inlineStr">
        <is>
          <t>Appuis divers</t>
        </is>
      </c>
      <c r="R2699" s="22"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2" t="n">
        <v>75000</v>
      </c>
      <c r="K2700" s="23" t="n">
        <v>45090</v>
      </c>
      <c r="M2700" t="inlineStr">
        <is>
          <t>Appuis divers</t>
        </is>
      </c>
      <c r="R2700" s="22"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2" t="n">
        <v>75000</v>
      </c>
      <c r="K2701" s="23" t="n">
        <v>45090</v>
      </c>
      <c r="M2701" t="inlineStr">
        <is>
          <t>Appuis divers</t>
        </is>
      </c>
      <c r="R2701" s="22"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2" t="n">
        <v>75000</v>
      </c>
      <c r="K2702" s="23" t="n">
        <v>45090</v>
      </c>
      <c r="M2702" t="inlineStr">
        <is>
          <t>Appuis divers</t>
        </is>
      </c>
      <c r="R2702" s="22"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2" t="n">
        <v>75000</v>
      </c>
      <c r="K2703" s="23" t="n">
        <v>45090</v>
      </c>
      <c r="M2703" t="inlineStr">
        <is>
          <t>Appuis divers</t>
        </is>
      </c>
      <c r="R2703" s="22"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2" t="n">
        <v>75000</v>
      </c>
      <c r="K2704" s="23" t="n">
        <v>45090</v>
      </c>
      <c r="M2704" t="inlineStr">
        <is>
          <t>Appuis divers</t>
        </is>
      </c>
      <c r="R2704" s="22"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2" t="n">
        <v>75000</v>
      </c>
      <c r="K2705" s="23" t="n">
        <v>45090</v>
      </c>
      <c r="M2705" t="inlineStr">
        <is>
          <t>Appuis divers</t>
        </is>
      </c>
      <c r="R2705" s="22"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2" t="n">
        <v>75000</v>
      </c>
      <c r="K2706" s="23" t="n">
        <v>45090</v>
      </c>
      <c r="M2706" t="inlineStr">
        <is>
          <t>Appuis divers</t>
        </is>
      </c>
      <c r="R2706" s="22"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2" t="n">
        <v>75000</v>
      </c>
      <c r="K2707" s="23" t="n">
        <v>45090</v>
      </c>
      <c r="M2707" t="inlineStr">
        <is>
          <t>Appuis divers</t>
        </is>
      </c>
      <c r="R2707" s="22"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2" t="n">
        <v>75000</v>
      </c>
      <c r="K2708" s="23" t="n">
        <v>45090</v>
      </c>
      <c r="M2708" t="inlineStr">
        <is>
          <t>Appuis divers</t>
        </is>
      </c>
      <c r="R2708" s="22"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2" t="n">
        <v>75000</v>
      </c>
      <c r="K2709" s="23" t="n">
        <v>45090</v>
      </c>
      <c r="M2709" t="inlineStr">
        <is>
          <t>Appuis divers</t>
        </is>
      </c>
      <c r="R2709" s="22"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2" t="n">
        <v>500000</v>
      </c>
      <c r="K2710" s="23" t="n">
        <v>45096</v>
      </c>
      <c r="R2710" s="22"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2" t="n">
        <v>3000000</v>
      </c>
      <c r="K2711" s="23" t="n">
        <v>45148</v>
      </c>
      <c r="M2711" t="inlineStr">
        <is>
          <t>Capacitation des femmes</t>
        </is>
      </c>
      <c r="R2711" s="22"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2" t="n">
        <v>500000</v>
      </c>
      <c r="K2712" s="23" t="n">
        <v>45162</v>
      </c>
      <c r="M2712" t="inlineStr">
        <is>
          <t>Religieux</t>
        </is>
      </c>
      <c r="R2712" s="22"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2" t="n">
        <v>500000</v>
      </c>
      <c r="K2713" s="23" t="n">
        <v>45092</v>
      </c>
      <c r="R2713" s="22"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2" t="n">
        <v>500000</v>
      </c>
      <c r="K2714" t="inlineStr">
        <is>
          <t>31/01/2023</t>
        </is>
      </c>
      <c r="L2714" t="inlineStr">
        <is>
          <t>Appuis divers</t>
        </is>
      </c>
      <c r="R2714" s="22"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2" t="n">
        <v>462150</v>
      </c>
      <c r="K2715" s="23" t="n">
        <v>45183</v>
      </c>
      <c r="M2715" t="inlineStr">
        <is>
          <t>Appuis divers</t>
        </is>
      </c>
      <c r="R2715" s="22"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2" t="n">
        <v>285000</v>
      </c>
      <c r="K2716" s="23" t="n">
        <v>45183</v>
      </c>
      <c r="M2716" t="inlineStr">
        <is>
          <t>Appuis divers</t>
        </is>
      </c>
      <c r="R2716" s="22"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2" t="n">
        <v>495000</v>
      </c>
      <c r="K2717" s="23" t="n">
        <v>45183</v>
      </c>
      <c r="M2717" t="inlineStr">
        <is>
          <t>Appuis divers</t>
        </is>
      </c>
      <c r="R2717" s="22"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2" t="n">
        <v>275000</v>
      </c>
      <c r="K2718" s="23" t="n">
        <v>45183</v>
      </c>
      <c r="M2718" t="inlineStr">
        <is>
          <t>Appuis divers</t>
        </is>
      </c>
      <c r="R2718" s="22"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2" t="n">
        <v>140000</v>
      </c>
      <c r="K2719" s="23" t="n">
        <v>45183</v>
      </c>
      <c r="M2719" t="inlineStr">
        <is>
          <t>Appuis divers</t>
        </is>
      </c>
      <c r="R2719" s="22"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2" t="n">
        <v>175000</v>
      </c>
      <c r="K2720" s="23" t="n">
        <v>45183</v>
      </c>
      <c r="M2720" t="inlineStr">
        <is>
          <t>Appuis divers</t>
        </is>
      </c>
      <c r="R2720" s="22"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2" t="n">
        <v>2036000</v>
      </c>
      <c r="K2721" s="23" t="n">
        <v>45194</v>
      </c>
      <c r="M2721" t="inlineStr">
        <is>
          <t>Appuis divers</t>
        </is>
      </c>
      <c r="R2721" s="22"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2" t="n">
        <v>500000</v>
      </c>
      <c r="K2722" t="inlineStr">
        <is>
          <t>12/07/2023</t>
        </is>
      </c>
      <c r="L2722" t="inlineStr">
        <is>
          <t>Appuis divers</t>
        </is>
      </c>
      <c r="R2722" s="22"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2" t="n">
        <v>2000000</v>
      </c>
      <c r="K2723" s="23" t="n">
        <v>45191</v>
      </c>
      <c r="M2723" t="inlineStr">
        <is>
          <t>Religieux</t>
        </is>
      </c>
      <c r="R2723" s="22"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2" t="n">
        <v>1440000</v>
      </c>
      <c r="K2724" s="23" t="n">
        <v>45215</v>
      </c>
      <c r="M2724" t="inlineStr">
        <is>
          <t>Appuis divers</t>
        </is>
      </c>
      <c r="R2724" s="22"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2" t="n">
        <v>800000</v>
      </c>
      <c r="K2725" s="23" t="n">
        <v>45215</v>
      </c>
      <c r="M2725" t="inlineStr">
        <is>
          <t>Appuis divers</t>
        </is>
      </c>
      <c r="R2725" s="22"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2" t="n">
        <v>300000</v>
      </c>
      <c r="K2726" s="23" t="n">
        <v>45215</v>
      </c>
      <c r="M2726" t="inlineStr">
        <is>
          <t>Appuis divers</t>
        </is>
      </c>
      <c r="R2726" s="22"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2" t="n">
        <v>180000</v>
      </c>
      <c r="K2727" s="23" t="n">
        <v>45215</v>
      </c>
      <c r="M2727" t="inlineStr">
        <is>
          <t>Appuis divers</t>
        </is>
      </c>
      <c r="R2727" s="22"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2" t="n">
        <v>500000</v>
      </c>
      <c r="K2728" s="23" t="n">
        <v>45215</v>
      </c>
      <c r="M2728" t="inlineStr">
        <is>
          <t>Appuis divers</t>
        </is>
      </c>
      <c r="R2728" s="22"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2" t="n">
        <v>900000</v>
      </c>
      <c r="K2729" s="23" t="n">
        <v>45215</v>
      </c>
      <c r="M2729" t="inlineStr">
        <is>
          <t>Appuis divers</t>
        </is>
      </c>
      <c r="R2729" s="22"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2" t="n">
        <v>120000</v>
      </c>
      <c r="K2730" s="23" t="n">
        <v>45215</v>
      </c>
      <c r="M2730" t="inlineStr">
        <is>
          <t>Appuis divers</t>
        </is>
      </c>
      <c r="R2730" s="22"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2" t="n">
        <v>210000</v>
      </c>
      <c r="K2731" s="23" t="n">
        <v>45215</v>
      </c>
      <c r="M2731" t="inlineStr">
        <is>
          <t>Appuis divers</t>
        </is>
      </c>
      <c r="R2731" s="22"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2" t="n">
        <v>60000</v>
      </c>
      <c r="K2732" s="23" t="n">
        <v>45215</v>
      </c>
      <c r="M2732" t="inlineStr">
        <is>
          <t>Appuis divers</t>
        </is>
      </c>
      <c r="R2732" s="22"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2" t="n">
        <v>80000</v>
      </c>
      <c r="K2733" s="23" t="n">
        <v>45215</v>
      </c>
      <c r="M2733" t="inlineStr">
        <is>
          <t>Appuis divers</t>
        </is>
      </c>
      <c r="R2733" s="22"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2" t="n">
        <v>80000</v>
      </c>
      <c r="K2734" s="23" t="n">
        <v>45215</v>
      </c>
      <c r="M2734" t="inlineStr">
        <is>
          <t>Appuis divers</t>
        </is>
      </c>
      <c r="R2734" s="22"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2" t="n">
        <v>120000</v>
      </c>
      <c r="K2735" s="23" t="n">
        <v>45215</v>
      </c>
      <c r="M2735" t="inlineStr">
        <is>
          <t>Appuis divers</t>
        </is>
      </c>
      <c r="R2735" s="22"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2" t="n">
        <v>250000</v>
      </c>
      <c r="K2736" s="23" t="n">
        <v>45215</v>
      </c>
      <c r="M2736" t="inlineStr">
        <is>
          <t>Appuis divers</t>
        </is>
      </c>
      <c r="R2736" s="22"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2" t="n">
        <v>80000</v>
      </c>
      <c r="K2737" s="23" t="n">
        <v>45215</v>
      </c>
      <c r="M2737" t="inlineStr">
        <is>
          <t>Appuis divers</t>
        </is>
      </c>
      <c r="R2737" s="22"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2" t="n">
        <v>900000</v>
      </c>
      <c r="K2738" s="23" t="n">
        <v>45215</v>
      </c>
      <c r="M2738" t="inlineStr">
        <is>
          <t>Appuis divers</t>
        </is>
      </c>
      <c r="R2738" s="22"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2" t="n">
        <v>453000</v>
      </c>
      <c r="K2739" s="23" t="n">
        <v>45218</v>
      </c>
      <c r="M2739" t="inlineStr">
        <is>
          <t>Appuis divers</t>
        </is>
      </c>
      <c r="R2739" s="22"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2" t="n">
        <v>500000</v>
      </c>
      <c r="K2740" t="inlineStr">
        <is>
          <t>22/03/2023</t>
        </is>
      </c>
      <c r="L2740" t="inlineStr">
        <is>
          <t>Appuis divers</t>
        </is>
      </c>
      <c r="R2740" s="22"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2" t="n">
        <v>500000</v>
      </c>
      <c r="K2741" t="inlineStr">
        <is>
          <t>27/04/2023</t>
        </is>
      </c>
      <c r="L2741" t="inlineStr">
        <is>
          <t>Appuis divers</t>
        </is>
      </c>
      <c r="R2741" s="22"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2" t="n">
        <v>820700</v>
      </c>
      <c r="K2742" s="23" t="n">
        <v>45230</v>
      </c>
      <c r="M2742" t="inlineStr">
        <is>
          <t>Appuis divers</t>
        </is>
      </c>
      <c r="R2742" s="22"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2" t="n">
        <v>1402000</v>
      </c>
      <c r="K2743" s="23" t="n">
        <v>45230</v>
      </c>
      <c r="M2743" t="inlineStr">
        <is>
          <t>Appuis divers</t>
        </is>
      </c>
      <c r="R2743" s="22"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2" t="n">
        <v>1186800</v>
      </c>
      <c r="K2744" s="23" t="n">
        <v>45230</v>
      </c>
      <c r="M2744" t="inlineStr">
        <is>
          <t>Appuis divers</t>
        </is>
      </c>
      <c r="R2744" s="22"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2" t="n">
        <v>354240</v>
      </c>
      <c r="K2745" s="23" t="n">
        <v>45230</v>
      </c>
      <c r="M2745" t="inlineStr">
        <is>
          <t>Appuis divers</t>
        </is>
      </c>
      <c r="R2745" s="22"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2" t="n">
        <v>766700</v>
      </c>
      <c r="K2746" s="23" t="n">
        <v>45230</v>
      </c>
      <c r="M2746" t="inlineStr">
        <is>
          <t>Appuis divers</t>
        </is>
      </c>
      <c r="R2746" s="22"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2" t="n">
        <v>270000</v>
      </c>
      <c r="K2747" s="23" t="n">
        <v>45230</v>
      </c>
      <c r="M2747" t="inlineStr">
        <is>
          <t>Appuis divers</t>
        </is>
      </c>
      <c r="R2747" s="22"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2" t="n">
        <v>560000</v>
      </c>
      <c r="K2748" s="23" t="n">
        <v>45230</v>
      </c>
      <c r="M2748" t="inlineStr">
        <is>
          <t>Appuis divers</t>
        </is>
      </c>
      <c r="R2748" s="22"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2" t="n">
        <v>500000</v>
      </c>
      <c r="K2749" t="inlineStr">
        <is>
          <t>02/06/2023</t>
        </is>
      </c>
      <c r="L2749" t="inlineStr">
        <is>
          <t>Appuis divers</t>
        </is>
      </c>
      <c r="R2749" s="22"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2" t="n">
        <v>6231372</v>
      </c>
      <c r="K2750" s="23" t="n">
        <v>45252</v>
      </c>
      <c r="M2750" t="inlineStr">
        <is>
          <t>Appuis divers</t>
        </is>
      </c>
      <c r="R2750" s="22"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2" t="n">
        <v>500000</v>
      </c>
      <c r="K2751" t="inlineStr">
        <is>
          <t>18/07/2023</t>
        </is>
      </c>
      <c r="L2751" t="inlineStr">
        <is>
          <t>Appuis divers</t>
        </is>
      </c>
      <c r="R2751" s="22"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2" t="n">
        <v>1500000</v>
      </c>
      <c r="K2752" s="23" t="n">
        <v>45272</v>
      </c>
      <c r="M2752" t="inlineStr">
        <is>
          <t>Sport</t>
        </is>
      </c>
      <c r="R2752" s="22"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2" t="n">
        <v>500100</v>
      </c>
      <c r="K2753" s="23" t="n">
        <v>45261</v>
      </c>
      <c r="M2753" t="inlineStr">
        <is>
          <t>Appuis divers</t>
        </is>
      </c>
      <c r="R2753" s="22"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2" t="n">
        <v>2000000</v>
      </c>
      <c r="K2754" s="23" t="n">
        <v>45274</v>
      </c>
      <c r="M2754" t="inlineStr">
        <is>
          <t>Appuis divers</t>
        </is>
      </c>
      <c r="R2754" s="22"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2" t="n">
        <v>1400000</v>
      </c>
      <c r="K2755" s="23" t="n">
        <v>45274</v>
      </c>
      <c r="M2755" t="inlineStr">
        <is>
          <t>Appuis divers</t>
        </is>
      </c>
      <c r="R2755" s="22"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2" t="n">
        <v>67890</v>
      </c>
      <c r="K2756" s="23" t="n">
        <v>45245</v>
      </c>
      <c r="M2756" t="inlineStr">
        <is>
          <t>Appuis divers</t>
        </is>
      </c>
      <c r="R2756" s="22"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2" t="n">
        <v>27156</v>
      </c>
      <c r="K2757" s="23" t="n">
        <v>45245</v>
      </c>
      <c r="M2757" t="inlineStr">
        <is>
          <t>Appuis divers</t>
        </is>
      </c>
      <c r="R2757" s="22"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2" t="n">
        <v>20925</v>
      </c>
      <c r="K2758" s="23" t="n">
        <v>45245</v>
      </c>
      <c r="M2758" t="inlineStr">
        <is>
          <t>Appuis divers</t>
        </is>
      </c>
      <c r="R2758" s="22"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2" t="n">
        <v>185628</v>
      </c>
      <c r="K2759" s="23" t="n">
        <v>45245</v>
      </c>
      <c r="M2759" t="inlineStr">
        <is>
          <t>Appuis divers</t>
        </is>
      </c>
      <c r="R2759" s="22"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2" t="n">
        <v>13020</v>
      </c>
      <c r="K2760" s="23" t="n">
        <v>45245</v>
      </c>
      <c r="M2760" t="inlineStr">
        <is>
          <t>Appuis divers</t>
        </is>
      </c>
      <c r="R2760" s="22"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2" t="n">
        <v>23250</v>
      </c>
      <c r="K2761" s="23" t="n">
        <v>45245</v>
      </c>
      <c r="M2761" t="inlineStr">
        <is>
          <t>Appuis divers</t>
        </is>
      </c>
      <c r="R2761" s="22"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2" t="n">
        <v>120900</v>
      </c>
      <c r="K2762" s="23" t="n">
        <v>45245</v>
      </c>
      <c r="M2762" t="inlineStr">
        <is>
          <t>Appuis divers</t>
        </is>
      </c>
      <c r="R2762" s="22"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2" t="n">
        <v>97650</v>
      </c>
      <c r="K2763" s="23" t="n">
        <v>45245</v>
      </c>
      <c r="M2763" t="inlineStr">
        <is>
          <t>Appuis divers</t>
        </is>
      </c>
      <c r="R2763" s="22"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2" t="n">
        <v>332010</v>
      </c>
      <c r="K2764" s="23" t="n">
        <v>45245</v>
      </c>
      <c r="M2764" t="inlineStr">
        <is>
          <t>Appuis divers</t>
        </is>
      </c>
      <c r="R2764" s="22"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2" t="n">
        <v>613800</v>
      </c>
      <c r="K2765" s="23" t="n">
        <v>45245</v>
      </c>
      <c r="M2765" t="inlineStr">
        <is>
          <t>Appuis divers</t>
        </is>
      </c>
      <c r="R2765" s="22"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2" t="n">
        <v>143220</v>
      </c>
      <c r="K2766" s="23" t="n">
        <v>45245</v>
      </c>
      <c r="M2766" t="inlineStr">
        <is>
          <t>Appuis divers</t>
        </is>
      </c>
      <c r="R2766" s="22"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2" t="n">
        <v>169260</v>
      </c>
      <c r="K2767" s="23" t="n">
        <v>45245</v>
      </c>
      <c r="M2767" t="inlineStr">
        <is>
          <t>Appuis divers</t>
        </is>
      </c>
      <c r="R2767" s="22"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2" t="n">
        <v>50220</v>
      </c>
      <c r="K2768" s="23" t="n">
        <v>45245</v>
      </c>
      <c r="M2768" t="inlineStr">
        <is>
          <t>Appuis divers</t>
        </is>
      </c>
      <c r="R2768" s="22"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2" t="n">
        <v>65100</v>
      </c>
      <c r="K2769" s="23" t="n">
        <v>45245</v>
      </c>
      <c r="M2769" t="inlineStr">
        <is>
          <t>Appuis divers</t>
        </is>
      </c>
      <c r="R2769" s="22"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2" t="n">
        <v>44176</v>
      </c>
      <c r="K2770" s="23" t="n">
        <v>45245</v>
      </c>
      <c r="M2770" t="inlineStr">
        <is>
          <t>Appuis divers</t>
        </is>
      </c>
      <c r="R2770" s="22"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2" t="n">
        <v>53940</v>
      </c>
      <c r="K2771" s="23" t="n">
        <v>45245</v>
      </c>
      <c r="M2771" t="inlineStr">
        <is>
          <t>Appuis divers</t>
        </is>
      </c>
      <c r="R2771" s="22"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2" t="n">
        <v>52080</v>
      </c>
      <c r="K2772" s="23" t="n">
        <v>45245</v>
      </c>
      <c r="M2772" t="inlineStr">
        <is>
          <t>Appuis divers</t>
        </is>
      </c>
      <c r="R2772" s="22"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2" t="n">
        <v>65100</v>
      </c>
      <c r="K2773" s="23" t="n">
        <v>45245</v>
      </c>
      <c r="M2773" t="inlineStr">
        <is>
          <t>Appuis divers</t>
        </is>
      </c>
      <c r="R2773" s="22"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2" t="n">
        <v>3255</v>
      </c>
      <c r="K2774" s="23" t="n">
        <v>45245</v>
      </c>
      <c r="M2774" t="inlineStr">
        <is>
          <t>Appuis divers</t>
        </is>
      </c>
      <c r="R2774" s="22"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2" t="n">
        <v>129642</v>
      </c>
      <c r="K2775" s="23" t="n">
        <v>45245</v>
      </c>
      <c r="M2775" t="inlineStr">
        <is>
          <t>Appuis divers</t>
        </is>
      </c>
      <c r="R2775" s="22"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2" t="n">
        <v>97428</v>
      </c>
      <c r="K2776" s="23" t="n">
        <v>45245</v>
      </c>
      <c r="M2776" t="inlineStr">
        <is>
          <t>Appuis divers</t>
        </is>
      </c>
      <c r="R2776" s="22"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2" t="n">
        <v>158100</v>
      </c>
      <c r="K2777" s="23" t="n">
        <v>45245</v>
      </c>
      <c r="M2777" t="inlineStr">
        <is>
          <t>Appuis divers</t>
        </is>
      </c>
      <c r="R2777" s="22"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2" t="n">
        <v>25110</v>
      </c>
      <c r="K2778" s="23" t="n">
        <v>45245</v>
      </c>
      <c r="M2778" t="inlineStr">
        <is>
          <t>Appuis divers</t>
        </is>
      </c>
      <c r="R2778" s="22"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2" t="n">
        <v>251100</v>
      </c>
      <c r="K2779" s="23" t="n">
        <v>45245</v>
      </c>
      <c r="M2779" t="inlineStr">
        <is>
          <t>Appuis divers</t>
        </is>
      </c>
      <c r="R2779" s="22"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2" t="n">
        <v>9300</v>
      </c>
      <c r="K2780" s="23" t="n">
        <v>45245</v>
      </c>
      <c r="M2780" t="inlineStr">
        <is>
          <t>Appuis divers</t>
        </is>
      </c>
      <c r="R2780" s="22"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2" t="n">
        <v>930</v>
      </c>
      <c r="K2781" s="23" t="n">
        <v>45245</v>
      </c>
      <c r="M2781" t="inlineStr">
        <is>
          <t>Appuis divers</t>
        </is>
      </c>
      <c r="R2781" s="22"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2" t="n">
        <v>28830</v>
      </c>
      <c r="K2782" s="23" t="n">
        <v>45245</v>
      </c>
      <c r="M2782" t="inlineStr">
        <is>
          <t>Appuis divers</t>
        </is>
      </c>
      <c r="R2782" s="22"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2" t="n">
        <v>115320</v>
      </c>
      <c r="K2783" s="23" t="n">
        <v>45245</v>
      </c>
      <c r="M2783" t="inlineStr">
        <is>
          <t>Appuis divers</t>
        </is>
      </c>
      <c r="R2783" s="22"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2" t="n">
        <v>15810</v>
      </c>
      <c r="K2784" s="23" t="n">
        <v>45245</v>
      </c>
      <c r="M2784" t="inlineStr">
        <is>
          <t>Appuis divers</t>
        </is>
      </c>
      <c r="R2784" s="22"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2" t="n">
        <v>114390</v>
      </c>
      <c r="K2785" s="23" t="n">
        <v>45245</v>
      </c>
      <c r="M2785" t="inlineStr">
        <is>
          <t>Appuis divers</t>
        </is>
      </c>
      <c r="R2785" s="22"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2" t="n">
        <v>15810</v>
      </c>
      <c r="K2786" s="23" t="n">
        <v>45245</v>
      </c>
      <c r="M2786" t="inlineStr">
        <is>
          <t>Appuis divers</t>
        </is>
      </c>
      <c r="R2786" s="22"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2" t="n">
        <v>7254</v>
      </c>
      <c r="K2787" s="23" t="n">
        <v>45245</v>
      </c>
      <c r="M2787" t="inlineStr">
        <is>
          <t>Appuis divers</t>
        </is>
      </c>
      <c r="R2787" s="22"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2" t="n">
        <v>318060</v>
      </c>
      <c r="K2788" s="23" t="n">
        <v>45245</v>
      </c>
      <c r="M2788" t="inlineStr">
        <is>
          <t>Appuis divers</t>
        </is>
      </c>
      <c r="R2788" s="22"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2" t="n">
        <v>140430</v>
      </c>
      <c r="K2789" s="23" t="n">
        <v>45245</v>
      </c>
      <c r="M2789" t="inlineStr">
        <is>
          <t>Appuis divers</t>
        </is>
      </c>
      <c r="R2789" s="22"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2" t="n">
        <v>10695</v>
      </c>
      <c r="K2790" s="23" t="n">
        <v>45245</v>
      </c>
      <c r="M2790" t="inlineStr">
        <is>
          <t>Appuis divers</t>
        </is>
      </c>
      <c r="R2790" s="22"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2" t="n">
        <v>45105</v>
      </c>
      <c r="K2791" s="23" t="n">
        <v>45245</v>
      </c>
      <c r="M2791" t="inlineStr">
        <is>
          <t>Appuis divers</t>
        </is>
      </c>
      <c r="R2791" s="22"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2" t="n">
        <v>11532</v>
      </c>
      <c r="K2792" s="23" t="n">
        <v>45245</v>
      </c>
      <c r="M2792" t="inlineStr">
        <is>
          <t>Appuis divers</t>
        </is>
      </c>
      <c r="R2792" s="22"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2" t="n">
        <v>11532</v>
      </c>
      <c r="K2793" s="23" t="n">
        <v>45245</v>
      </c>
      <c r="M2793" t="inlineStr">
        <is>
          <t>Appuis divers</t>
        </is>
      </c>
      <c r="R2793" s="22"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2" t="n">
        <v>5580</v>
      </c>
      <c r="K2794" s="23" t="n">
        <v>45245</v>
      </c>
      <c r="M2794" t="inlineStr">
        <is>
          <t>Appuis divers</t>
        </is>
      </c>
      <c r="R2794" s="22"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2" t="n">
        <v>239940</v>
      </c>
      <c r="K2795" s="23" t="n">
        <v>45245</v>
      </c>
      <c r="M2795" t="inlineStr">
        <is>
          <t>Appuis divers</t>
        </is>
      </c>
      <c r="R2795" s="22"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2" t="n">
        <v>89280</v>
      </c>
      <c r="K2796" s="23" t="n">
        <v>45245</v>
      </c>
      <c r="M2796" t="inlineStr">
        <is>
          <t>Appuis divers</t>
        </is>
      </c>
      <c r="R2796" s="22"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2" t="n">
        <v>25110</v>
      </c>
      <c r="K2797" s="23" t="n">
        <v>45245</v>
      </c>
      <c r="M2797" t="inlineStr">
        <is>
          <t>Appuis divers</t>
        </is>
      </c>
      <c r="R2797" s="22"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2" t="n">
        <v>25110</v>
      </c>
      <c r="K2798" s="23" t="n">
        <v>45245</v>
      </c>
      <c r="M2798" t="inlineStr">
        <is>
          <t>Appuis divers</t>
        </is>
      </c>
      <c r="R2798" s="22"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2" t="n">
        <v>25110</v>
      </c>
      <c r="K2799" s="23" t="n">
        <v>45245</v>
      </c>
      <c r="M2799" t="inlineStr">
        <is>
          <t>Appuis divers</t>
        </is>
      </c>
      <c r="R2799" s="22"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2" t="n">
        <v>25110</v>
      </c>
      <c r="K2800" s="23" t="n">
        <v>45245</v>
      </c>
      <c r="M2800" t="inlineStr">
        <is>
          <t>Appuis divers</t>
        </is>
      </c>
      <c r="R2800" s="22"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2" t="n">
        <v>25110</v>
      </c>
      <c r="K2801" s="23" t="n">
        <v>45245</v>
      </c>
      <c r="M2801" t="inlineStr">
        <is>
          <t>Appuis divers</t>
        </is>
      </c>
      <c r="R2801" s="22"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2" t="n">
        <v>29016</v>
      </c>
      <c r="K2802" s="23" t="n">
        <v>45245</v>
      </c>
      <c r="M2802" t="inlineStr">
        <is>
          <t>Appuis divers</t>
        </is>
      </c>
      <c r="R2802" s="22"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2" t="n">
        <v>39060</v>
      </c>
      <c r="K2803" s="23" t="n">
        <v>45245</v>
      </c>
      <c r="M2803" t="inlineStr">
        <is>
          <t>Appuis divers</t>
        </is>
      </c>
      <c r="R2803" s="22"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2" t="n">
        <v>117180</v>
      </c>
      <c r="K2804" s="23" t="n">
        <v>45245</v>
      </c>
      <c r="M2804" t="inlineStr">
        <is>
          <t>Appuis divers</t>
        </is>
      </c>
      <c r="R2804" s="22"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2" t="n">
        <v>500000</v>
      </c>
      <c r="K2805" s="23" t="n">
        <v>45278</v>
      </c>
      <c r="M2805" t="inlineStr">
        <is>
          <t>Appuis divers</t>
        </is>
      </c>
      <c r="R2805" s="22"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2" t="n">
        <v>35625</v>
      </c>
      <c r="K2806" s="23" t="n">
        <v>45258</v>
      </c>
      <c r="M2806" t="inlineStr">
        <is>
          <t>Appuis divers</t>
        </is>
      </c>
      <c r="R2806" s="22"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2" t="n">
        <v>500000</v>
      </c>
      <c r="K2807" s="23" t="n">
        <v>45264</v>
      </c>
      <c r="M2807" t="inlineStr">
        <is>
          <t>Religieux</t>
        </is>
      </c>
      <c r="R2807" s="22"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2" t="n">
        <v>500000</v>
      </c>
      <c r="K2808" s="23" t="n">
        <v>45278</v>
      </c>
      <c r="M2808" t="inlineStr">
        <is>
          <t>Appuis divers</t>
        </is>
      </c>
      <c r="R2808" s="22"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2" t="n">
        <v>500000</v>
      </c>
      <c r="K2809" t="inlineStr">
        <is>
          <t>21/07/2023</t>
        </is>
      </c>
      <c r="L2809" t="inlineStr">
        <is>
          <t>Appuis divers</t>
        </is>
      </c>
      <c r="R2809" s="22"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2" t="n">
        <v>500000</v>
      </c>
      <c r="K2810" s="23"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2"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2" t="n">
        <v>500000</v>
      </c>
      <c r="K2811" s="23" t="n">
        <v>44645</v>
      </c>
      <c r="L2811" t="inlineStr">
        <is>
          <t>SF General</t>
        </is>
      </c>
      <c r="R2811" s="22"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2" t="n">
        <v>500000</v>
      </c>
      <c r="K2812" s="23" t="n">
        <v>44703</v>
      </c>
      <c r="L2812" t="inlineStr">
        <is>
          <t>SF General</t>
        </is>
      </c>
      <c r="R2812" s="22"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2" t="n">
        <v>500000</v>
      </c>
      <c r="L2813" t="inlineStr">
        <is>
          <t>APPUIS DIVERS</t>
        </is>
      </c>
      <c r="R2813" s="22"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2" t="n">
        <v>500000</v>
      </c>
      <c r="L2814" t="inlineStr">
        <is>
          <t>APPUIS DIVERS</t>
        </is>
      </c>
      <c r="R2814" s="22"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2" t="n">
        <v>100000</v>
      </c>
      <c r="K2815" s="23" t="n">
        <v>44927</v>
      </c>
      <c r="M2815" t="inlineStr">
        <is>
          <t>Religieux</t>
        </is>
      </c>
      <c r="R2815" s="22"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2" t="n">
        <v>200000</v>
      </c>
      <c r="K2816" s="23" t="n">
        <v>44927</v>
      </c>
      <c r="M2816" t="inlineStr">
        <is>
          <t>Appuis divers</t>
        </is>
      </c>
      <c r="R2816" s="22"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2" t="n">
        <v>500000</v>
      </c>
      <c r="L2817" t="inlineStr">
        <is>
          <t>APPUIS DIVERS</t>
        </is>
      </c>
      <c r="R2817" s="22"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2" t="n">
        <v>500000</v>
      </c>
      <c r="L2818" t="inlineStr">
        <is>
          <t>APPUIS DIVERS</t>
        </is>
      </c>
      <c r="R2818" s="22"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2" t="n">
        <v>150000</v>
      </c>
      <c r="K2819" s="23" t="n">
        <v>44927</v>
      </c>
      <c r="M2819" t="inlineStr">
        <is>
          <t>Appuis divers</t>
        </is>
      </c>
      <c r="R2819" s="22"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2" t="n">
        <v>150000</v>
      </c>
      <c r="K2820" s="23" t="n">
        <v>44927</v>
      </c>
      <c r="M2820" t="inlineStr">
        <is>
          <t>Culture</t>
        </is>
      </c>
      <c r="R2820" s="22"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2" t="n">
        <v>290000</v>
      </c>
      <c r="K2821" s="23" t="n">
        <v>44927</v>
      </c>
      <c r="M2821" t="inlineStr">
        <is>
          <t>Education</t>
        </is>
      </c>
      <c r="R2821" s="22"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2" t="n">
        <v>155000</v>
      </c>
      <c r="K2822" s="23" t="n">
        <v>44927</v>
      </c>
      <c r="M2822" t="inlineStr">
        <is>
          <t>Education</t>
        </is>
      </c>
      <c r="R2822" s="22"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2" t="n">
        <v>100000</v>
      </c>
      <c r="K2823" s="23" t="n">
        <v>44931</v>
      </c>
      <c r="M2823" t="inlineStr">
        <is>
          <t>Religieux</t>
        </is>
      </c>
      <c r="R2823" s="22"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2" t="n">
        <v>100000</v>
      </c>
      <c r="K2824" s="23" t="n">
        <v>44931</v>
      </c>
      <c r="M2824" t="inlineStr">
        <is>
          <t>Religieux</t>
        </is>
      </c>
      <c r="R2824" s="22"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2" t="n">
        <v>50000</v>
      </c>
      <c r="K2825" s="23" t="n">
        <v>44937</v>
      </c>
      <c r="M2825" t="inlineStr">
        <is>
          <t>Emploi Local</t>
        </is>
      </c>
      <c r="R2825" s="22"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2" t="n">
        <v>70000</v>
      </c>
      <c r="K2826" s="23" t="n">
        <v>44937</v>
      </c>
      <c r="M2826" t="inlineStr">
        <is>
          <t>Appuis divers</t>
        </is>
      </c>
      <c r="R2826" s="22"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2" t="n">
        <v>100000</v>
      </c>
      <c r="K2827" s="23" t="n">
        <v>44938</v>
      </c>
      <c r="M2827" t="inlineStr">
        <is>
          <t>Appuis divers</t>
        </is>
      </c>
      <c r="R2827" s="22"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2" t="n">
        <v>100000</v>
      </c>
      <c r="K2828" s="23" t="n">
        <v>44938</v>
      </c>
      <c r="M2828" t="inlineStr">
        <is>
          <t>Sport</t>
        </is>
      </c>
      <c r="R2828" s="22"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2" t="n">
        <v>50000</v>
      </c>
      <c r="K2829" t="inlineStr">
        <is>
          <t>01/Feb/23</t>
        </is>
      </c>
      <c r="M2829" t="inlineStr">
        <is>
          <t>Religieux</t>
        </is>
      </c>
      <c r="R2829" s="22"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2" t="n">
        <v>100000</v>
      </c>
      <c r="K2830" t="inlineStr">
        <is>
          <t>01/Feb/23</t>
        </is>
      </c>
      <c r="M2830" t="inlineStr">
        <is>
          <t>Religieux</t>
        </is>
      </c>
      <c r="R2830" s="22"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2" t="n">
        <v>100000</v>
      </c>
      <c r="K2831" t="inlineStr">
        <is>
          <t>01/Feb/23</t>
        </is>
      </c>
      <c r="M2831" t="inlineStr">
        <is>
          <t>Religieux</t>
        </is>
      </c>
      <c r="R2831" s="22"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2" t="n">
        <v>150000</v>
      </c>
      <c r="K2832" t="inlineStr">
        <is>
          <t>02/Feb/23</t>
        </is>
      </c>
      <c r="M2832" t="inlineStr">
        <is>
          <t>Religieux</t>
        </is>
      </c>
      <c r="R2832" s="22"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2" t="n">
        <v>100000</v>
      </c>
      <c r="K2833" t="inlineStr">
        <is>
          <t>09/Feb/23</t>
        </is>
      </c>
      <c r="M2833" t="inlineStr">
        <is>
          <t>Education</t>
        </is>
      </c>
      <c r="R2833" s="22"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2" t="n">
        <v>100000</v>
      </c>
      <c r="K2834" t="inlineStr">
        <is>
          <t>09/Feb/23</t>
        </is>
      </c>
      <c r="M2834" t="inlineStr">
        <is>
          <t>Religieux</t>
        </is>
      </c>
      <c r="R2834" s="22"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2" t="n">
        <v>100000</v>
      </c>
      <c r="K2835" t="inlineStr">
        <is>
          <t>09/Feb/23</t>
        </is>
      </c>
      <c r="M2835" t="inlineStr">
        <is>
          <t>Religieux</t>
        </is>
      </c>
      <c r="R2835" s="22"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2" t="n">
        <v>100000</v>
      </c>
      <c r="K2836" t="inlineStr">
        <is>
          <t>09/Feb/23</t>
        </is>
      </c>
      <c r="M2836" t="inlineStr">
        <is>
          <t>Religieux</t>
        </is>
      </c>
      <c r="R2836" s="22"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2" t="n">
        <v>100000</v>
      </c>
      <c r="K2837" t="inlineStr">
        <is>
          <t>09/Feb/23</t>
        </is>
      </c>
      <c r="M2837" t="inlineStr">
        <is>
          <t>Religieux</t>
        </is>
      </c>
      <c r="R2837" s="22"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2" t="n">
        <v>70000</v>
      </c>
      <c r="K2838" t="inlineStr">
        <is>
          <t>14/Feb/23</t>
        </is>
      </c>
      <c r="M2838" t="inlineStr">
        <is>
          <t>Appuis divers</t>
        </is>
      </c>
      <c r="R2838" s="22"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2" t="n">
        <v>50000</v>
      </c>
      <c r="K2839" t="inlineStr">
        <is>
          <t>14/Feb/23</t>
        </is>
      </c>
      <c r="M2839" t="inlineStr">
        <is>
          <t>Emploi Local</t>
        </is>
      </c>
      <c r="R2839" s="22"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2" t="n">
        <v>150000</v>
      </c>
      <c r="K2840" t="inlineStr">
        <is>
          <t>16/Feb/23</t>
        </is>
      </c>
      <c r="M2840" t="inlineStr">
        <is>
          <t>Education</t>
        </is>
      </c>
      <c r="R2840" s="22"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2" t="n">
        <v>100000</v>
      </c>
      <c r="K2841" t="inlineStr">
        <is>
          <t>16/Feb/23</t>
        </is>
      </c>
      <c r="M2841" t="inlineStr">
        <is>
          <t>Religieux</t>
        </is>
      </c>
      <c r="R2841" s="22"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2" t="n">
        <v>100000</v>
      </c>
      <c r="K2842" t="inlineStr">
        <is>
          <t>16/Feb/23</t>
        </is>
      </c>
      <c r="M2842" t="inlineStr">
        <is>
          <t>Religieux</t>
        </is>
      </c>
      <c r="R2842" s="22"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2" t="n">
        <v>150000</v>
      </c>
      <c r="K2843" t="inlineStr">
        <is>
          <t>23/Feb/23</t>
        </is>
      </c>
      <c r="M2843" t="inlineStr">
        <is>
          <t>Religieux</t>
        </is>
      </c>
      <c r="R2843" s="22"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2" t="n">
        <v>100000</v>
      </c>
      <c r="K2844" t="inlineStr">
        <is>
          <t>23/Feb/23</t>
        </is>
      </c>
      <c r="M2844" t="inlineStr">
        <is>
          <t>Religieux</t>
        </is>
      </c>
      <c r="R2844" s="22"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2" t="n">
        <v>100000</v>
      </c>
      <c r="K2845" t="inlineStr">
        <is>
          <t>23/Feb/23</t>
        </is>
      </c>
      <c r="M2845" t="inlineStr">
        <is>
          <t>Religieux</t>
        </is>
      </c>
      <c r="R2845" s="22"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2" t="n">
        <v>100000</v>
      </c>
      <c r="K2846" s="23" t="n">
        <v>44987</v>
      </c>
      <c r="M2846" t="inlineStr">
        <is>
          <t>Appuis divers</t>
        </is>
      </c>
      <c r="R2846" s="22"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2" t="n">
        <v>100000</v>
      </c>
      <c r="K2847" s="23" t="n">
        <v>44987</v>
      </c>
      <c r="M2847" t="inlineStr">
        <is>
          <t>Religieux</t>
        </is>
      </c>
      <c r="R2847" s="22"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2" t="n">
        <v>100000</v>
      </c>
      <c r="K2848" s="23" t="n">
        <v>44987</v>
      </c>
      <c r="M2848" t="inlineStr">
        <is>
          <t>Religieux</t>
        </is>
      </c>
      <c r="R2848" s="22"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2" t="n">
        <v>100000</v>
      </c>
      <c r="K2849" s="23" t="n">
        <v>44987</v>
      </c>
      <c r="M2849" t="inlineStr">
        <is>
          <t>Religieux</t>
        </is>
      </c>
      <c r="R2849" s="22"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2" t="n">
        <v>100000</v>
      </c>
      <c r="K2850" s="23" t="n">
        <v>44987</v>
      </c>
      <c r="M2850" t="inlineStr">
        <is>
          <t>Divers</t>
        </is>
      </c>
      <c r="R2850" s="22"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2" t="n">
        <v>100000</v>
      </c>
      <c r="K2851" s="23" t="n">
        <v>44994</v>
      </c>
      <c r="M2851" t="inlineStr">
        <is>
          <t>Religieux</t>
        </is>
      </c>
      <c r="R2851" s="22"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2" t="n">
        <v>100000</v>
      </c>
      <c r="K2852" s="23" t="n">
        <v>44994</v>
      </c>
      <c r="M2852" t="inlineStr">
        <is>
          <t>Religieux</t>
        </is>
      </c>
      <c r="R2852" s="22"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2" t="n">
        <v>100000</v>
      </c>
      <c r="K2853" s="23" t="n">
        <v>44994</v>
      </c>
      <c r="M2853" t="inlineStr">
        <is>
          <t>Religieux</t>
        </is>
      </c>
      <c r="R2853" s="22"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2" t="n">
        <v>100000</v>
      </c>
      <c r="K2854" s="23" t="n">
        <v>44994</v>
      </c>
      <c r="M2854" t="inlineStr">
        <is>
          <t>Religieux</t>
        </is>
      </c>
      <c r="R2854" s="22"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2" t="n">
        <v>200000</v>
      </c>
      <c r="K2855" s="23" t="n">
        <v>44994</v>
      </c>
      <c r="M2855" t="inlineStr">
        <is>
          <t>Religieux</t>
        </is>
      </c>
      <c r="R2855" s="22"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2" t="n">
        <v>150000</v>
      </c>
      <c r="K2856" s="23" t="n">
        <v>44994</v>
      </c>
      <c r="M2856" t="inlineStr">
        <is>
          <t>Appuis divers</t>
        </is>
      </c>
      <c r="R2856" s="22"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2" t="n">
        <v>150000</v>
      </c>
      <c r="K2857" s="23" t="n">
        <v>44994</v>
      </c>
      <c r="M2857" t="inlineStr">
        <is>
          <t>Religieux</t>
        </is>
      </c>
      <c r="R2857" s="22"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2" t="n">
        <v>100000</v>
      </c>
      <c r="K2858" s="23" t="n">
        <v>44994</v>
      </c>
      <c r="M2858" t="inlineStr">
        <is>
          <t>Religieux</t>
        </is>
      </c>
      <c r="R2858" s="22"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2" t="n">
        <v>100000</v>
      </c>
      <c r="K2859" s="23" t="n">
        <v>44999</v>
      </c>
      <c r="M2859" t="inlineStr">
        <is>
          <t>Religieux</t>
        </is>
      </c>
      <c r="R2859" s="22"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2" t="n">
        <v>200000</v>
      </c>
      <c r="K2860" s="23" t="n">
        <v>44999</v>
      </c>
      <c r="M2860" t="inlineStr">
        <is>
          <t>Religieux</t>
        </is>
      </c>
      <c r="R2860" s="22"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2" t="n">
        <v>100000</v>
      </c>
      <c r="K2861" s="23" t="n">
        <v>44999</v>
      </c>
      <c r="M2861" t="inlineStr">
        <is>
          <t>Religieux</t>
        </is>
      </c>
      <c r="R2861" s="22"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2" t="n">
        <v>100000</v>
      </c>
      <c r="K2862" s="23" t="n">
        <v>44999</v>
      </c>
      <c r="M2862" t="inlineStr">
        <is>
          <t>Religieux</t>
        </is>
      </c>
      <c r="R2862" s="22"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2" t="n">
        <v>70000</v>
      </c>
      <c r="K2863" s="23" t="n">
        <v>44999</v>
      </c>
      <c r="M2863" t="inlineStr">
        <is>
          <t>Appuis divers</t>
        </is>
      </c>
      <c r="R2863" s="22"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2" t="n">
        <v>50000</v>
      </c>
      <c r="K2864" s="23" t="n">
        <v>44999</v>
      </c>
      <c r="M2864" t="inlineStr">
        <is>
          <t>Emploi Local</t>
        </is>
      </c>
      <c r="R2864" s="22"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2" t="n">
        <v>110000</v>
      </c>
      <c r="K2865" s="23" t="n">
        <v>45007</v>
      </c>
      <c r="M2865" t="inlineStr">
        <is>
          <t>Capacitation des femmes</t>
        </is>
      </c>
      <c r="R2865" s="22"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2" t="n">
        <v>110000</v>
      </c>
      <c r="K2866" s="23" t="n">
        <v>45007</v>
      </c>
      <c r="M2866" t="inlineStr">
        <is>
          <t>Capacitation des femmes</t>
        </is>
      </c>
      <c r="R2866" s="22"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2" t="n">
        <v>110000</v>
      </c>
      <c r="K2867" s="23" t="n">
        <v>45007</v>
      </c>
      <c r="M2867" t="inlineStr">
        <is>
          <t>Capacitation des femmes</t>
        </is>
      </c>
      <c r="R2867" s="22"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2" t="n">
        <v>100000</v>
      </c>
      <c r="K2868" s="23" t="n">
        <v>45008</v>
      </c>
      <c r="M2868" t="inlineStr">
        <is>
          <t>Religieux</t>
        </is>
      </c>
      <c r="R2868" s="22"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2" t="n">
        <v>80000</v>
      </c>
      <c r="K2869" s="23" t="n">
        <v>45009</v>
      </c>
      <c r="M2869" t="inlineStr">
        <is>
          <t>Capacitation des femmes</t>
        </is>
      </c>
      <c r="R2869" s="22"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2" t="n">
        <v>200000</v>
      </c>
      <c r="K2870" t="inlineStr">
        <is>
          <t>03/Apr/23</t>
        </is>
      </c>
      <c r="M2870" t="inlineStr">
        <is>
          <t>Appuis divers</t>
        </is>
      </c>
      <c r="R2870" s="22"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2" t="n">
        <v>500000</v>
      </c>
      <c r="K2871" s="23" t="n">
        <v>44522</v>
      </c>
      <c r="L2871" t="inlineStr">
        <is>
          <t>Appuis divers</t>
        </is>
      </c>
      <c r="M2871" t="inlineStr">
        <is>
          <t>N/A</t>
        </is>
      </c>
      <c r="N2871" t="inlineStr">
        <is>
          <t>N/A</t>
        </is>
      </c>
      <c r="O2871" t="inlineStr">
        <is>
          <t>N/A</t>
        </is>
      </c>
      <c r="P2871" t="inlineStr">
        <is>
          <t>Nc</t>
        </is>
      </c>
      <c r="R2871" s="22"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2" t="n">
        <v>50000</v>
      </c>
      <c r="K2872" t="inlineStr">
        <is>
          <t>13/Apr/23</t>
        </is>
      </c>
      <c r="M2872" t="inlineStr">
        <is>
          <t>Emploi Local</t>
        </is>
      </c>
      <c r="R2872" s="22"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2" t="n">
        <v>70000</v>
      </c>
      <c r="K2873" t="inlineStr">
        <is>
          <t>13/Apr/23</t>
        </is>
      </c>
      <c r="M2873" t="inlineStr">
        <is>
          <t>Appuis divers</t>
        </is>
      </c>
      <c r="R2873" s="22"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2" t="n">
        <v>100000</v>
      </c>
      <c r="K2874" t="inlineStr">
        <is>
          <t>13/Apr/23</t>
        </is>
      </c>
      <c r="M2874" t="inlineStr">
        <is>
          <t>Religieux</t>
        </is>
      </c>
      <c r="R2874" s="22"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2" t="n">
        <v>500000</v>
      </c>
      <c r="K2875" s="23" t="n">
        <v>44522</v>
      </c>
      <c r="L2875" t="inlineStr">
        <is>
          <t>Appuis divers</t>
        </is>
      </c>
      <c r="M2875" t="inlineStr">
        <is>
          <t>N/A</t>
        </is>
      </c>
      <c r="N2875" t="inlineStr">
        <is>
          <t>N/A</t>
        </is>
      </c>
      <c r="O2875" t="inlineStr">
        <is>
          <t>N/A</t>
        </is>
      </c>
      <c r="P2875" t="inlineStr">
        <is>
          <t>Nc</t>
        </is>
      </c>
      <c r="R2875" s="22"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2" t="n">
        <v>500000</v>
      </c>
      <c r="K2876" s="23" t="n">
        <v>44522</v>
      </c>
      <c r="L2876" t="inlineStr">
        <is>
          <t>Appuis divers</t>
        </is>
      </c>
      <c r="M2876" t="inlineStr">
        <is>
          <t>N/A</t>
        </is>
      </c>
      <c r="N2876" t="inlineStr">
        <is>
          <t>N/A</t>
        </is>
      </c>
      <c r="O2876" t="inlineStr">
        <is>
          <t>N/A</t>
        </is>
      </c>
      <c r="P2876" t="inlineStr">
        <is>
          <t>Nc</t>
        </is>
      </c>
      <c r="R2876" s="22"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2" t="n">
        <v>150000</v>
      </c>
      <c r="K2877" t="inlineStr">
        <is>
          <t>13/Apr/23</t>
        </is>
      </c>
      <c r="M2877" t="inlineStr">
        <is>
          <t>Religieux</t>
        </is>
      </c>
      <c r="R2877" s="22"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2"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2"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2" t="n">
        <v>100000</v>
      </c>
      <c r="K2880" t="inlineStr">
        <is>
          <t>13/Apr/23</t>
        </is>
      </c>
      <c r="M2880" t="inlineStr">
        <is>
          <t>Religieux</t>
        </is>
      </c>
      <c r="R2880" s="22"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2" t="n">
        <v>50000</v>
      </c>
      <c r="K2881" t="inlineStr">
        <is>
          <t>13/Apr/23</t>
        </is>
      </c>
      <c r="M2881" t="inlineStr">
        <is>
          <t>Religieux</t>
        </is>
      </c>
      <c r="R2881" s="22"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2" t="n">
        <v>100000</v>
      </c>
      <c r="K2882" t="inlineStr">
        <is>
          <t>13/Apr/23</t>
        </is>
      </c>
      <c r="M2882" t="inlineStr">
        <is>
          <t>Religieux</t>
        </is>
      </c>
      <c r="R2882" s="22"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2"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2" t="n">
        <v>100000</v>
      </c>
      <c r="K2884" t="inlineStr">
        <is>
          <t>13/Apr/23</t>
        </is>
      </c>
      <c r="M2884" t="inlineStr">
        <is>
          <t>Religieux</t>
        </is>
      </c>
      <c r="R2884" s="22"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2" t="n">
        <v>50000</v>
      </c>
      <c r="K2885" t="inlineStr">
        <is>
          <t>13/Apr/23</t>
        </is>
      </c>
      <c r="M2885" t="inlineStr">
        <is>
          <t>Religieux</t>
        </is>
      </c>
      <c r="R2885" s="22"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2"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2" t="n">
        <v>100000</v>
      </c>
      <c r="K2887" t="inlineStr">
        <is>
          <t>18/Apr/23</t>
        </is>
      </c>
      <c r="M2887" t="inlineStr">
        <is>
          <t>Religieux</t>
        </is>
      </c>
      <c r="R2887" s="22"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2"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2" t="n">
        <v>25000</v>
      </c>
      <c r="K2889" t="inlineStr">
        <is>
          <t>19/Apr/23</t>
        </is>
      </c>
      <c r="M2889" t="inlineStr">
        <is>
          <t>Religieux</t>
        </is>
      </c>
      <c r="R2889" s="22"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2" t="n">
        <v>500000</v>
      </c>
      <c r="K2890" s="23"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2"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2"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2" t="n">
        <v>44165</v>
      </c>
      <c r="K2892" t="inlineStr">
        <is>
          <t>NC</t>
        </is>
      </c>
      <c r="L2892" t="inlineStr">
        <is>
          <t>NC</t>
        </is>
      </c>
      <c r="M2892" t="inlineStr">
        <is>
          <t xml:space="preserve">Néant </t>
        </is>
      </c>
      <c r="N2892" t="inlineStr">
        <is>
          <t xml:space="preserve">Néant </t>
        </is>
      </c>
      <c r="O2892" t="inlineStr">
        <is>
          <t>NC</t>
        </is>
      </c>
      <c r="R2892" s="22"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2" t="n">
        <v>493795.89</v>
      </c>
      <c r="K2893" s="23" t="n">
        <v>45220</v>
      </c>
      <c r="L2893" t="inlineStr">
        <is>
          <t>Donation</t>
        </is>
      </c>
      <c r="M2893" t="inlineStr">
        <is>
          <t>NA</t>
        </is>
      </c>
      <c r="N2893" t="inlineStr">
        <is>
          <t>NA</t>
        </is>
      </c>
      <c r="O2893" t="inlineStr">
        <is>
          <t>NA</t>
        </is>
      </c>
      <c r="P2893" t="inlineStr">
        <is>
          <t>NA</t>
        </is>
      </c>
      <c r="Q2893" t="inlineStr">
        <is>
          <t>NA</t>
        </is>
      </c>
      <c r="R2893" s="22"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2" t="n">
        <v>491403.2</v>
      </c>
      <c r="K2894" s="23" t="n">
        <v>45525</v>
      </c>
      <c r="M2894" t="inlineStr">
        <is>
          <t>130393AB</t>
        </is>
      </c>
      <c r="N2894" t="inlineStr">
        <is>
          <t>N/A</t>
        </is>
      </c>
      <c r="O2894" t="inlineStr">
        <is>
          <t>N/A</t>
        </is>
      </c>
      <c r="P2894" t="inlineStr">
        <is>
          <t>Convention minère et Code minier (Fond Social et Fond d'appui au developpement local)</t>
        </is>
      </c>
      <c r="Q2894" t="inlineStr">
        <is>
          <t>NA</t>
        </is>
      </c>
      <c r="R2894" s="22"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2" t="n">
        <v>225000</v>
      </c>
      <c r="K2895" t="inlineStr">
        <is>
          <t>04/May/23</t>
        </is>
      </c>
      <c r="M2895" t="inlineStr">
        <is>
          <t>Divers</t>
        </is>
      </c>
      <c r="R2895" s="22"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2" t="n">
        <v>73500</v>
      </c>
      <c r="K2896" t="inlineStr">
        <is>
          <t>04/May/23</t>
        </is>
      </c>
      <c r="M2896" t="inlineStr">
        <is>
          <t>Divers</t>
        </is>
      </c>
      <c r="R2896" s="22"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2" t="n">
        <v>100000</v>
      </c>
      <c r="K2897" t="inlineStr">
        <is>
          <t>09/May/23</t>
        </is>
      </c>
      <c r="M2897" t="inlineStr">
        <is>
          <t>Religieux</t>
        </is>
      </c>
      <c r="R2897" s="22"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2" t="n">
        <v>100000</v>
      </c>
      <c r="K2898" t="inlineStr">
        <is>
          <t>09/May/23</t>
        </is>
      </c>
      <c r="M2898" t="inlineStr">
        <is>
          <t>Religieux</t>
        </is>
      </c>
      <c r="R2898" s="22"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2" t="n">
        <v>100000</v>
      </c>
      <c r="K2899" t="inlineStr">
        <is>
          <t>09/May/23</t>
        </is>
      </c>
      <c r="M2899" t="inlineStr">
        <is>
          <t>Culture</t>
        </is>
      </c>
      <c r="R2899" s="22"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2"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2" t="n">
        <v>250000</v>
      </c>
      <c r="K2901" t="inlineStr">
        <is>
          <t>09/May/23</t>
        </is>
      </c>
      <c r="M2901" t="inlineStr">
        <is>
          <t>Santé</t>
        </is>
      </c>
      <c r="R2901" s="22"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2" t="n">
        <v>200000</v>
      </c>
      <c r="K2902" t="inlineStr">
        <is>
          <t>09/May/23</t>
        </is>
      </c>
      <c r="M2902" t="inlineStr">
        <is>
          <t>Education</t>
        </is>
      </c>
      <c r="R2902" s="22"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2" t="n">
        <v>250000</v>
      </c>
      <c r="K2903" t="inlineStr">
        <is>
          <t>09/May/23</t>
        </is>
      </c>
      <c r="M2903" t="inlineStr">
        <is>
          <t>Appuis divers</t>
        </is>
      </c>
      <c r="R2903" s="22"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2" t="n">
        <v>100000</v>
      </c>
      <c r="K2904" t="inlineStr">
        <is>
          <t>11/May/23</t>
        </is>
      </c>
      <c r="M2904" t="inlineStr">
        <is>
          <t>Religieux</t>
        </is>
      </c>
      <c r="R2904" s="22"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2" t="n">
        <v>100000</v>
      </c>
      <c r="K2905" t="inlineStr">
        <is>
          <t>11/May/23</t>
        </is>
      </c>
      <c r="M2905" t="inlineStr">
        <is>
          <t>Education</t>
        </is>
      </c>
      <c r="R2905" s="22"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2" t="n">
        <v>100000</v>
      </c>
      <c r="K2906" t="inlineStr">
        <is>
          <t>11/May/23</t>
        </is>
      </c>
      <c r="M2906" t="inlineStr">
        <is>
          <t>Education</t>
        </is>
      </c>
      <c r="R2906" s="22"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2" t="n">
        <v>70000</v>
      </c>
      <c r="K2907" t="inlineStr">
        <is>
          <t>11/May/23</t>
        </is>
      </c>
      <c r="M2907" t="inlineStr">
        <is>
          <t>Appuis divers</t>
        </is>
      </c>
      <c r="R2907" s="22"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2" t="n">
        <v>50000</v>
      </c>
      <c r="K2908" t="inlineStr">
        <is>
          <t>11/May/23</t>
        </is>
      </c>
      <c r="M2908" t="inlineStr">
        <is>
          <t>Emploi Local</t>
        </is>
      </c>
      <c r="R2908" s="22"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2" t="n">
        <v>100000</v>
      </c>
      <c r="K2909" t="inlineStr">
        <is>
          <t>11/May/23</t>
        </is>
      </c>
      <c r="M2909" t="inlineStr">
        <is>
          <t>Education</t>
        </is>
      </c>
      <c r="R2909" s="22"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2" t="n">
        <v>44165</v>
      </c>
      <c r="K2910" t="inlineStr">
        <is>
          <t>NC</t>
        </is>
      </c>
      <c r="L2910" t="inlineStr">
        <is>
          <t>NC</t>
        </is>
      </c>
      <c r="M2910" t="inlineStr">
        <is>
          <t xml:space="preserve">Néant </t>
        </is>
      </c>
      <c r="N2910" t="inlineStr">
        <is>
          <t xml:space="preserve">Néant </t>
        </is>
      </c>
      <c r="O2910" t="inlineStr">
        <is>
          <t>NC</t>
        </is>
      </c>
      <c r="R2910" s="22"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2" t="n">
        <v>44165</v>
      </c>
      <c r="K2911" t="inlineStr">
        <is>
          <t>NC</t>
        </is>
      </c>
      <c r="L2911" t="inlineStr">
        <is>
          <t>NC</t>
        </is>
      </c>
      <c r="M2911" t="inlineStr">
        <is>
          <t xml:space="preserve">Néant </t>
        </is>
      </c>
      <c r="N2911" t="inlineStr">
        <is>
          <t xml:space="preserve">Néant </t>
        </is>
      </c>
      <c r="O2911" t="inlineStr">
        <is>
          <t>NC</t>
        </is>
      </c>
      <c r="R2911" s="22"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2" t="n">
        <v>100000</v>
      </c>
      <c r="K2912" t="inlineStr">
        <is>
          <t>11/May/23</t>
        </is>
      </c>
      <c r="M2912" t="inlineStr">
        <is>
          <t>Religieux</t>
        </is>
      </c>
      <c r="R2912" s="22"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2" t="n">
        <v>100000</v>
      </c>
      <c r="K2913" t="inlineStr">
        <is>
          <t>11/May/23</t>
        </is>
      </c>
      <c r="M2913" t="inlineStr">
        <is>
          <t>Religieux</t>
        </is>
      </c>
      <c r="R2913" s="22"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2" t="n">
        <v>100000</v>
      </c>
      <c r="K2914" t="inlineStr">
        <is>
          <t>11/May/23</t>
        </is>
      </c>
      <c r="M2914" t="inlineStr">
        <is>
          <t>Religieux</t>
        </is>
      </c>
      <c r="R2914" s="22"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2" t="n">
        <v>100000</v>
      </c>
      <c r="K2915" t="inlineStr">
        <is>
          <t>17/May/23</t>
        </is>
      </c>
      <c r="M2915" t="inlineStr">
        <is>
          <t>Religieux</t>
        </is>
      </c>
      <c r="R2915" s="22"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2" t="n">
        <v>479997.15</v>
      </c>
      <c r="K2916" s="23"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2"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2" t="n">
        <v>470000</v>
      </c>
      <c r="K2917" s="23" t="n">
        <v>45387</v>
      </c>
      <c r="L2917" t="inlineStr">
        <is>
          <t>APPUIS DIVERS</t>
        </is>
      </c>
      <c r="R2917" s="22"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2" t="n">
        <v>465000</v>
      </c>
      <c r="K2918" s="23"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2"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2"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2" t="n">
        <v>460749.17</v>
      </c>
      <c r="K2920" s="23" t="n">
        <v>45366</v>
      </c>
      <c r="M2920" t="inlineStr">
        <is>
          <t>134187AC</t>
        </is>
      </c>
      <c r="N2920" t="inlineStr">
        <is>
          <t>N/A</t>
        </is>
      </c>
      <c r="O2920" t="inlineStr">
        <is>
          <t>N/A</t>
        </is>
      </c>
      <c r="P2920" t="inlineStr">
        <is>
          <t>Convention minère et Code minier (Fond Social et Fond d'appui au developpement local)</t>
        </is>
      </c>
      <c r="Q2920" t="inlineStr">
        <is>
          <t>NA</t>
        </is>
      </c>
      <c r="R2920" s="22"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2" t="n">
        <v>100000</v>
      </c>
      <c r="K2921" t="inlineStr">
        <is>
          <t>23/May/23</t>
        </is>
      </c>
      <c r="M2921" t="inlineStr">
        <is>
          <t>Education</t>
        </is>
      </c>
      <c r="R2921" s="22"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2" t="n">
        <v>50000</v>
      </c>
      <c r="K2922" t="inlineStr">
        <is>
          <t>23/May/23</t>
        </is>
      </c>
      <c r="M2922" t="inlineStr">
        <is>
          <t>Religieux</t>
        </is>
      </c>
      <c r="R2922" s="22"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2" t="n">
        <v>50000</v>
      </c>
      <c r="K2923" t="inlineStr">
        <is>
          <t>23/May/23</t>
        </is>
      </c>
      <c r="M2923" t="inlineStr">
        <is>
          <t>Religieux</t>
        </is>
      </c>
      <c r="R2923" s="22"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2" t="n">
        <v>125000</v>
      </c>
      <c r="K2924" t="inlineStr">
        <is>
          <t>23/May/23</t>
        </is>
      </c>
      <c r="M2924" t="inlineStr">
        <is>
          <t>Sport</t>
        </is>
      </c>
      <c r="R2924" s="22"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2" t="n">
        <v>250000</v>
      </c>
      <c r="K2925" t="inlineStr">
        <is>
          <t>01/Jun/23</t>
        </is>
      </c>
      <c r="M2925" t="inlineStr">
        <is>
          <t>Education</t>
        </is>
      </c>
      <c r="R2925" s="22"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2" t="n">
        <v>455458.17</v>
      </c>
      <c r="K2926" s="23" t="n">
        <v>45546</v>
      </c>
      <c r="M2926" t="inlineStr">
        <is>
          <t>ETANCHEITE</t>
        </is>
      </c>
      <c r="N2926" t="inlineStr">
        <is>
          <t>N/A</t>
        </is>
      </c>
      <c r="O2926" t="inlineStr">
        <is>
          <t>N/A</t>
        </is>
      </c>
      <c r="P2926" t="inlineStr">
        <is>
          <t>Convention minère et Code minier (Fond Social et Fond d'appui au developpement local)</t>
        </is>
      </c>
      <c r="Q2926" t="inlineStr">
        <is>
          <t>NA</t>
        </is>
      </c>
      <c r="R2926" s="22"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2" t="n">
        <v>100000</v>
      </c>
      <c r="K2927" t="inlineStr">
        <is>
          <t>01/Jun/23</t>
        </is>
      </c>
      <c r="M2927" t="inlineStr">
        <is>
          <t>Education</t>
        </is>
      </c>
      <c r="R2927" s="22"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2" t="n">
        <v>451585.92</v>
      </c>
      <c r="K2928" s="23"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2"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2" t="n">
        <v>100000</v>
      </c>
      <c r="K2929" t="inlineStr">
        <is>
          <t>01/Jun/23</t>
        </is>
      </c>
      <c r="M2929" t="inlineStr">
        <is>
          <t>Religieux</t>
        </is>
      </c>
      <c r="R2929" s="22"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2" t="n">
        <v>450988.43</v>
      </c>
      <c r="K2930" s="23"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2"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2" t="n">
        <v>100000</v>
      </c>
      <c r="K2931" t="inlineStr">
        <is>
          <t>01/Jun/23</t>
        </is>
      </c>
      <c r="M2931" t="inlineStr">
        <is>
          <t>Education</t>
        </is>
      </c>
      <c r="R2931" s="22"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2" t="n">
        <v>300000</v>
      </c>
      <c r="K2932" t="inlineStr">
        <is>
          <t>01/Jun/23</t>
        </is>
      </c>
      <c r="M2932" t="inlineStr">
        <is>
          <t>Religieux</t>
        </is>
      </c>
      <c r="R2932" s="22"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2" t="n">
        <v>150000</v>
      </c>
      <c r="K2933" t="inlineStr">
        <is>
          <t>01/Jun/23</t>
        </is>
      </c>
      <c r="M2933" t="inlineStr">
        <is>
          <t>Divers</t>
        </is>
      </c>
      <c r="R2933" s="22"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2" t="n">
        <v>450000.42</v>
      </c>
      <c r="K2934" s="23"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2"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2" t="n">
        <v>450000</v>
      </c>
      <c r="L2935" t="inlineStr">
        <is>
          <t>APPUIS DIVERS</t>
        </is>
      </c>
      <c r="R2935" s="22"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2" t="n">
        <v>43831</v>
      </c>
      <c r="K2936" t="inlineStr">
        <is>
          <t>CULTURE</t>
        </is>
      </c>
      <c r="L2936" t="inlineStr">
        <is>
          <t>APPUI CONFECTION  SURVETEMENTS</t>
        </is>
      </c>
      <c r="M2936" t="inlineStr">
        <is>
          <t xml:space="preserve">Néant </t>
        </is>
      </c>
      <c r="N2936" t="inlineStr">
        <is>
          <t xml:space="preserve">Néant </t>
        </is>
      </c>
      <c r="O2936" t="inlineStr">
        <is>
          <t>NC</t>
        </is>
      </c>
      <c r="R2936" s="22"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2" t="n">
        <v>100000</v>
      </c>
      <c r="K2937" t="inlineStr">
        <is>
          <t>01/Jun/23</t>
        </is>
      </c>
      <c r="M2937" t="inlineStr">
        <is>
          <t>Religieux</t>
        </is>
      </c>
      <c r="R2937" s="22"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2" t="n">
        <v>50000</v>
      </c>
      <c r="K2938" t="inlineStr">
        <is>
          <t>01/Jun/23</t>
        </is>
      </c>
      <c r="M2938" t="inlineStr">
        <is>
          <t>Religieux</t>
        </is>
      </c>
      <c r="R2938" s="22"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2" t="n">
        <v>7396</v>
      </c>
      <c r="K2939" t="inlineStr">
        <is>
          <t>Appuis divers</t>
        </is>
      </c>
      <c r="L2939" t="inlineStr">
        <is>
          <t>Appuis divers</t>
        </is>
      </c>
      <c r="M2939" t="inlineStr">
        <is>
          <t xml:space="preserve">Néant </t>
        </is>
      </c>
      <c r="N2939" t="inlineStr">
        <is>
          <t xml:space="preserve">Néant </t>
        </is>
      </c>
      <c r="O2939" t="inlineStr">
        <is>
          <t>Nc</t>
        </is>
      </c>
      <c r="R2939" s="22"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2" t="n">
        <v>449998</v>
      </c>
      <c r="K2940" s="23" t="n">
        <v>45038</v>
      </c>
      <c r="L2940" t="inlineStr">
        <is>
          <t>Appui divers</t>
        </is>
      </c>
      <c r="M2940" t="inlineStr">
        <is>
          <t>N/A</t>
        </is>
      </c>
      <c r="N2940" t="inlineStr">
        <is>
          <t>N/A</t>
        </is>
      </c>
      <c r="O2940" t="inlineStr">
        <is>
          <t>N/A</t>
        </is>
      </c>
      <c r="R2940" s="22"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2" t="n">
        <v>449258.5</v>
      </c>
      <c r="K2941" s="23" t="n">
        <v>45412</v>
      </c>
      <c r="M2941" t="inlineStr">
        <is>
          <t>132813AC</t>
        </is>
      </c>
      <c r="N2941" t="inlineStr">
        <is>
          <t>N/A</t>
        </is>
      </c>
      <c r="O2941" t="inlineStr">
        <is>
          <t>N/A</t>
        </is>
      </c>
      <c r="P2941" t="inlineStr">
        <is>
          <t>Convention minère et Code minier (Fond Social et Fond d'appui au developpement local)</t>
        </is>
      </c>
      <c r="Q2941" t="inlineStr">
        <is>
          <t>NA</t>
        </is>
      </c>
      <c r="R2941" s="22"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2" t="n">
        <v>100000</v>
      </c>
      <c r="K2942" t="inlineStr">
        <is>
          <t>07/Jun/23</t>
        </is>
      </c>
      <c r="M2942" t="inlineStr">
        <is>
          <t>Education</t>
        </is>
      </c>
      <c r="R2942" s="22"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2" t="n">
        <v>448250</v>
      </c>
      <c r="K2943" t="inlineStr">
        <is>
          <t>2024-06-30</t>
        </is>
      </c>
      <c r="L2943" t="inlineStr">
        <is>
          <t>Appuis divers</t>
        </is>
      </c>
      <c r="R2943" s="22"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2" t="n">
        <v>441880</v>
      </c>
      <c r="K2944" s="23"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2"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2" t="n">
        <v>440000</v>
      </c>
      <c r="K2945" t="inlineStr">
        <is>
          <t>2024-06-30</t>
        </is>
      </c>
      <c r="L2945" t="inlineStr">
        <is>
          <t>Appuis divers</t>
        </is>
      </c>
      <c r="R2945" s="22"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2" t="n">
        <v>100000</v>
      </c>
      <c r="K2946" t="inlineStr">
        <is>
          <t>07/Jun/23</t>
        </is>
      </c>
      <c r="M2946" t="inlineStr">
        <is>
          <t>Religieux</t>
        </is>
      </c>
      <c r="R2946" s="22"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2" t="n">
        <v>100000</v>
      </c>
      <c r="K2947" t="inlineStr">
        <is>
          <t>07/Jun/23</t>
        </is>
      </c>
      <c r="M2947" t="inlineStr">
        <is>
          <t>Religieux</t>
        </is>
      </c>
      <c r="R2947" s="22"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2" t="n">
        <v>440000</v>
      </c>
      <c r="O2948" t="inlineStr">
        <is>
          <t>SF General</t>
        </is>
      </c>
      <c r="P2948" t="inlineStr">
        <is>
          <t>Obligation de développement social: art.15 de l'avenant 1 à la convention minière de Sabodala du 23 mars 2005</t>
        </is>
      </c>
      <c r="R2948" s="22"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2" t="n">
        <v>100000</v>
      </c>
      <c r="K2949" t="inlineStr">
        <is>
          <t>14/Jun/23</t>
        </is>
      </c>
      <c r="M2949" t="inlineStr">
        <is>
          <t>Religieux</t>
        </is>
      </c>
      <c r="R2949" s="22"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2" t="n">
        <v>430001.8</v>
      </c>
      <c r="K2950" s="23"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2"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2" t="n">
        <v>420000</v>
      </c>
      <c r="K2951" t="inlineStr">
        <is>
          <t>2024-06-30</t>
        </is>
      </c>
      <c r="L2951" t="inlineStr">
        <is>
          <t>Appuis divers</t>
        </is>
      </c>
      <c r="R2951" s="22"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2" t="n">
        <v>420000</v>
      </c>
      <c r="K2952" s="23" t="n">
        <v>44978</v>
      </c>
      <c r="L2952" t="inlineStr">
        <is>
          <t>Appui divers</t>
        </is>
      </c>
      <c r="M2952" t="inlineStr">
        <is>
          <t>N/A</t>
        </is>
      </c>
      <c r="N2952" t="inlineStr">
        <is>
          <t>N/A</t>
        </is>
      </c>
      <c r="O2952" t="inlineStr">
        <is>
          <t>N/A</t>
        </is>
      </c>
      <c r="Q2952" t="inlineStr">
        <is>
          <t>NA</t>
        </is>
      </c>
      <c r="R2952" s="22"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2" t="n">
        <v>100000</v>
      </c>
      <c r="K2953" t="inlineStr">
        <is>
          <t>14/Jun/23</t>
        </is>
      </c>
      <c r="M2953" t="inlineStr">
        <is>
          <t>Sport</t>
        </is>
      </c>
      <c r="R2953" s="22"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2" t="n">
        <v>70000</v>
      </c>
      <c r="K2954" t="inlineStr">
        <is>
          <t>14/Jun/23</t>
        </is>
      </c>
      <c r="M2954" t="inlineStr">
        <is>
          <t>Appuis divers</t>
        </is>
      </c>
      <c r="R2954" s="22"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2" t="n">
        <v>50000</v>
      </c>
      <c r="K2955" t="inlineStr">
        <is>
          <t>14/Jun/23</t>
        </is>
      </c>
      <c r="M2955" t="inlineStr">
        <is>
          <t>Emploi Local</t>
        </is>
      </c>
      <c r="R2955" s="22"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2" t="n">
        <v>80000</v>
      </c>
      <c r="K2956" t="inlineStr">
        <is>
          <t>15/Jun/23</t>
        </is>
      </c>
      <c r="M2956" t="inlineStr">
        <is>
          <t>Capacitation des femmes</t>
        </is>
      </c>
      <c r="R2956" s="22"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2" t="n">
        <v>100000</v>
      </c>
      <c r="K2957" t="inlineStr">
        <is>
          <t>22/Jun/23</t>
        </is>
      </c>
      <c r="M2957" t="inlineStr">
        <is>
          <t>Education</t>
        </is>
      </c>
      <c r="R2957" s="22"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2" t="n">
        <v>125000</v>
      </c>
      <c r="K2958" t="inlineStr">
        <is>
          <t>22/Jun/23</t>
        </is>
      </c>
      <c r="M2958" t="inlineStr">
        <is>
          <t>Education</t>
        </is>
      </c>
      <c r="R2958" s="22"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2" t="n">
        <v>420000</v>
      </c>
      <c r="K2959" t="inlineStr">
        <is>
          <t>01/08/2023</t>
        </is>
      </c>
      <c r="L2959" t="inlineStr">
        <is>
          <t>Appuis divers</t>
        </is>
      </c>
      <c r="R2959" s="22"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2" t="n">
        <v>420000</v>
      </c>
      <c r="K2960" s="23" t="n">
        <v>44785</v>
      </c>
      <c r="L2960" t="inlineStr">
        <is>
          <t>SF General</t>
        </is>
      </c>
      <c r="R2960" s="22"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2" t="n">
        <v>100000</v>
      </c>
      <c r="K2961" t="inlineStr">
        <is>
          <t>01/Jul/23</t>
        </is>
      </c>
      <c r="M2961" t="inlineStr">
        <is>
          <t>Appuis divers</t>
        </is>
      </c>
      <c r="R2961" s="22"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2" t="n">
        <v>418284.34</v>
      </c>
      <c r="K2962" s="23"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2"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2" t="n">
        <v>418000</v>
      </c>
      <c r="K2963" t="inlineStr">
        <is>
          <t>23/08/2023</t>
        </is>
      </c>
      <c r="L2963" t="inlineStr">
        <is>
          <t>Appuis divers</t>
        </is>
      </c>
      <c r="R2963" s="22"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2" t="n">
        <v>409998.9</v>
      </c>
      <c r="K2964" s="23"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2"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2" t="n">
        <v>100000</v>
      </c>
      <c r="K2965" t="inlineStr">
        <is>
          <t>01/Jul/23</t>
        </is>
      </c>
      <c r="M2965" t="inlineStr">
        <is>
          <t>Religieux</t>
        </is>
      </c>
      <c r="R2965" s="22"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2" t="n">
        <v>150000</v>
      </c>
      <c r="K2966" t="inlineStr">
        <is>
          <t>10/Jul/23</t>
        </is>
      </c>
      <c r="M2966" t="inlineStr">
        <is>
          <t>Religieux</t>
        </is>
      </c>
      <c r="R2966" s="22"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2" t="n">
        <v>406000</v>
      </c>
      <c r="K2967" s="23"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2"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2" t="n">
        <v>400000</v>
      </c>
      <c r="R2968" s="22"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2" t="n">
        <v>100000</v>
      </c>
      <c r="K2969" t="inlineStr">
        <is>
          <t>10/Jul/23</t>
        </is>
      </c>
      <c r="M2969" t="inlineStr">
        <is>
          <t>Sport</t>
        </is>
      </c>
      <c r="R2969" s="22"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2" t="n">
        <v>400000</v>
      </c>
      <c r="K2970" t="inlineStr">
        <is>
          <t>2024-05-02</t>
        </is>
      </c>
      <c r="L2970" t="inlineStr">
        <is>
          <t>Appuis divers</t>
        </is>
      </c>
      <c r="R2970" s="22"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2" t="n">
        <v>100000</v>
      </c>
      <c r="K2971" t="inlineStr">
        <is>
          <t>17/Jul/23</t>
        </is>
      </c>
      <c r="M2971" t="inlineStr">
        <is>
          <t>Religieux</t>
        </is>
      </c>
      <c r="R2971" s="22"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2" t="n">
        <v>400000</v>
      </c>
      <c r="K2972" s="23" t="n">
        <v>45068</v>
      </c>
      <c r="M2972" t="inlineStr">
        <is>
          <t>Appuis divers</t>
        </is>
      </c>
      <c r="R2972" s="22"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2" t="n">
        <v>400000</v>
      </c>
      <c r="K2973" s="23" t="n">
        <v>45219</v>
      </c>
      <c r="M2973" t="inlineStr">
        <is>
          <t>Appuis divers</t>
        </is>
      </c>
      <c r="R2973" s="22"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2" t="n">
        <v>200000</v>
      </c>
      <c r="K2974" t="inlineStr">
        <is>
          <t>17/Jul/23</t>
        </is>
      </c>
      <c r="M2974" t="inlineStr">
        <is>
          <t>Religieux</t>
        </is>
      </c>
      <c r="R2974" s="22"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2" t="n">
        <v>150000</v>
      </c>
      <c r="K2975" t="inlineStr">
        <is>
          <t>19/Jul/23</t>
        </is>
      </c>
      <c r="M2975" t="inlineStr">
        <is>
          <t>Education</t>
        </is>
      </c>
      <c r="R2975" s="22"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2" t="n">
        <v>150000</v>
      </c>
      <c r="K2976" t="inlineStr">
        <is>
          <t>19/Jul/23</t>
        </is>
      </c>
      <c r="M2976" t="inlineStr">
        <is>
          <t>Education</t>
        </is>
      </c>
      <c r="R2976" s="22"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2" t="n">
        <v>150000</v>
      </c>
      <c r="K2977" t="inlineStr">
        <is>
          <t>19/Jul/23</t>
        </is>
      </c>
      <c r="M2977" t="inlineStr">
        <is>
          <t>Education</t>
        </is>
      </c>
      <c r="R2977" s="22"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2" t="n">
        <v>300000</v>
      </c>
      <c r="K2978" t="inlineStr">
        <is>
          <t>21/Jul/23</t>
        </is>
      </c>
      <c r="M2978" t="inlineStr">
        <is>
          <t>Religieux</t>
        </is>
      </c>
      <c r="R2978" s="22"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2" t="n">
        <v>50000</v>
      </c>
      <c r="K2979" t="inlineStr">
        <is>
          <t>25/Jul/23</t>
        </is>
      </c>
      <c r="M2979" t="inlineStr">
        <is>
          <t>Emploi Local</t>
        </is>
      </c>
      <c r="R2979" s="22"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2" t="n">
        <v>50000</v>
      </c>
      <c r="K2980" t="inlineStr">
        <is>
          <t>25/Jul/23</t>
        </is>
      </c>
      <c r="M2980" t="inlineStr">
        <is>
          <t>Emploi Local</t>
        </is>
      </c>
      <c r="R2980" s="22"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2" t="n">
        <v>70000</v>
      </c>
      <c r="K2981" t="inlineStr">
        <is>
          <t>25/Jul/23</t>
        </is>
      </c>
      <c r="M2981" t="inlineStr">
        <is>
          <t>Appuis divers</t>
        </is>
      </c>
      <c r="R2981" s="22"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2" t="n">
        <v>70000</v>
      </c>
      <c r="K2982" t="inlineStr">
        <is>
          <t>25/Jul/23</t>
        </is>
      </c>
      <c r="M2982" t="inlineStr">
        <is>
          <t>Appuis divers</t>
        </is>
      </c>
      <c r="R2982" s="22"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2" t="n">
        <v>150000</v>
      </c>
      <c r="K2983" t="inlineStr">
        <is>
          <t>25/Jul/23</t>
        </is>
      </c>
      <c r="M2983" t="inlineStr">
        <is>
          <t>Religieux</t>
        </is>
      </c>
      <c r="R2983" s="22"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2" t="n">
        <v>100000</v>
      </c>
      <c r="K2984" t="inlineStr">
        <is>
          <t>08/Aug/23</t>
        </is>
      </c>
      <c r="M2984" t="inlineStr">
        <is>
          <t>Appuis divers</t>
        </is>
      </c>
      <c r="R2984" s="22"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2" t="n">
        <v>250000</v>
      </c>
      <c r="K2985" t="inlineStr">
        <is>
          <t>08/Aug/23</t>
        </is>
      </c>
      <c r="M2985" t="inlineStr">
        <is>
          <t>Appuis divers</t>
        </is>
      </c>
      <c r="R2985" s="22"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2" t="n">
        <v>200000</v>
      </c>
      <c r="K2986" t="inlineStr">
        <is>
          <t>10/Aug/23</t>
        </is>
      </c>
      <c r="M2986" t="inlineStr">
        <is>
          <t>Religieux</t>
        </is>
      </c>
      <c r="R2986" s="22"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2" t="n">
        <v>199900</v>
      </c>
      <c r="K2987" t="inlineStr">
        <is>
          <t>10/Aug/23</t>
        </is>
      </c>
      <c r="M2987" t="inlineStr">
        <is>
          <t>Appuis divers</t>
        </is>
      </c>
      <c r="R2987" s="22"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2" t="n">
        <v>60000</v>
      </c>
      <c r="K2988" t="inlineStr">
        <is>
          <t>10/Aug/23</t>
        </is>
      </c>
      <c r="M2988" t="inlineStr">
        <is>
          <t>Appuis divers</t>
        </is>
      </c>
      <c r="R2988" s="22"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2" t="n">
        <v>60000</v>
      </c>
      <c r="K2989" t="inlineStr">
        <is>
          <t>10/Aug/23</t>
        </is>
      </c>
      <c r="M2989" t="inlineStr">
        <is>
          <t>Appuis divers</t>
        </is>
      </c>
      <c r="R2989" s="22"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2" t="n">
        <v>60000</v>
      </c>
      <c r="K2990" t="inlineStr">
        <is>
          <t>10/Aug/23</t>
        </is>
      </c>
      <c r="M2990" t="inlineStr">
        <is>
          <t>Appuis divers</t>
        </is>
      </c>
      <c r="R2990" s="22"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2" t="n">
        <v>60000</v>
      </c>
      <c r="K2991" t="inlineStr">
        <is>
          <t>10/Aug/23</t>
        </is>
      </c>
      <c r="M2991" t="inlineStr">
        <is>
          <t>Appuis divers</t>
        </is>
      </c>
      <c r="R2991" s="22"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2" t="n">
        <v>60000</v>
      </c>
      <c r="K2992" t="inlineStr">
        <is>
          <t>10/Aug/23</t>
        </is>
      </c>
      <c r="M2992" t="inlineStr">
        <is>
          <t>Appuis divers</t>
        </is>
      </c>
      <c r="R2992" s="22"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2" t="n">
        <v>200000</v>
      </c>
      <c r="K2993" t="inlineStr">
        <is>
          <t>28/Aug/23</t>
        </is>
      </c>
      <c r="M2993" t="inlineStr">
        <is>
          <t>Education</t>
        </is>
      </c>
      <c r="R2993" s="22"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2" t="n">
        <v>300000</v>
      </c>
      <c r="K2994" t="inlineStr">
        <is>
          <t>28/Aug/23</t>
        </is>
      </c>
      <c r="M2994" t="inlineStr">
        <is>
          <t>Appuis divers</t>
        </is>
      </c>
      <c r="R2994" s="22"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2" t="n">
        <v>150000</v>
      </c>
      <c r="K2995" s="23" t="n">
        <v>45170</v>
      </c>
      <c r="M2995" t="inlineStr">
        <is>
          <t>Appuis divers</t>
        </is>
      </c>
      <c r="R2995" s="22"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2"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2" t="n">
        <v>44165</v>
      </c>
      <c r="K2997" t="inlineStr">
        <is>
          <t>NC</t>
        </is>
      </c>
      <c r="L2997" t="inlineStr">
        <is>
          <t>NC</t>
        </is>
      </c>
      <c r="M2997" t="inlineStr">
        <is>
          <t xml:space="preserve">Néant </t>
        </is>
      </c>
      <c r="N2997" t="inlineStr">
        <is>
          <t xml:space="preserve">Néant </t>
        </is>
      </c>
      <c r="O2997" t="inlineStr">
        <is>
          <t>NC</t>
        </is>
      </c>
      <c r="R2997" s="22"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2" t="n">
        <v>150000</v>
      </c>
      <c r="K2998" s="23" t="n">
        <v>45170</v>
      </c>
      <c r="M2998" t="inlineStr">
        <is>
          <t>Education</t>
        </is>
      </c>
      <c r="R2998" s="22"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2" t="n">
        <v>150000</v>
      </c>
      <c r="K2999" s="23" t="n">
        <v>45170</v>
      </c>
      <c r="M2999" t="inlineStr">
        <is>
          <t>Appuis divers</t>
        </is>
      </c>
      <c r="R2999" s="22"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2" t="n">
        <v>395390</v>
      </c>
      <c r="K3000" t="inlineStr">
        <is>
          <t>2024-05-25</t>
        </is>
      </c>
      <c r="L3000" t="inlineStr">
        <is>
          <t>Appuis divers</t>
        </is>
      </c>
      <c r="R3000" s="22"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2" t="n">
        <v>300000</v>
      </c>
      <c r="K3001" s="23" t="n">
        <v>45182</v>
      </c>
      <c r="M3001" t="inlineStr">
        <is>
          <t>Appuis divers</t>
        </is>
      </c>
      <c r="R3001" s="22"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2" t="n">
        <v>250000</v>
      </c>
      <c r="K3002" s="23" t="n">
        <v>45182</v>
      </c>
      <c r="M3002" t="inlineStr">
        <is>
          <t>Appuis divers</t>
        </is>
      </c>
      <c r="R3002" s="22"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2" t="n">
        <v>395352</v>
      </c>
      <c r="K3003" s="23" t="n">
        <v>45321</v>
      </c>
      <c r="M3003" t="inlineStr">
        <is>
          <t>134193AA</t>
        </is>
      </c>
      <c r="N3003" t="inlineStr">
        <is>
          <t>N/A</t>
        </is>
      </c>
      <c r="O3003" t="inlineStr">
        <is>
          <t>N/A</t>
        </is>
      </c>
      <c r="P3003" t="inlineStr">
        <is>
          <t>Convention minère et Code minier (Fond Social et Fond d'appui au developpement local)</t>
        </is>
      </c>
      <c r="Q3003" t="inlineStr">
        <is>
          <t>NA</t>
        </is>
      </c>
      <c r="R3003" s="22"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2" t="n">
        <v>70000</v>
      </c>
      <c r="K3004" s="23" t="n">
        <v>45182</v>
      </c>
      <c r="M3004" t="inlineStr">
        <is>
          <t>Appuis divers</t>
        </is>
      </c>
      <c r="R3004" s="22"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2" t="n">
        <v>50000</v>
      </c>
      <c r="K3005" s="23" t="n">
        <v>45182</v>
      </c>
      <c r="M3005" t="inlineStr">
        <is>
          <t>Emploi Local</t>
        </is>
      </c>
      <c r="R3005" s="22"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2" t="n">
        <v>100000</v>
      </c>
      <c r="K3006" s="23" t="n">
        <v>45190</v>
      </c>
      <c r="M3006" t="inlineStr">
        <is>
          <t>Religieux</t>
        </is>
      </c>
      <c r="R3006" s="22"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2" t="n">
        <v>392881</v>
      </c>
      <c r="K3007" s="23" t="n">
        <v>45412</v>
      </c>
      <c r="M3007" t="inlineStr">
        <is>
          <t>130382AC</t>
        </is>
      </c>
      <c r="N3007" t="inlineStr">
        <is>
          <t>N/A</t>
        </is>
      </c>
      <c r="O3007" t="inlineStr">
        <is>
          <t>N/A</t>
        </is>
      </c>
      <c r="P3007" t="inlineStr">
        <is>
          <t>Convention minère et Code minier (Fond Social et Fond d'appui au developpement local)</t>
        </is>
      </c>
      <c r="Q3007" t="inlineStr">
        <is>
          <t>NA</t>
        </is>
      </c>
      <c r="R3007" s="22"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2" t="n">
        <v>100000</v>
      </c>
      <c r="K3008" s="23" t="n">
        <v>45190</v>
      </c>
      <c r="M3008" t="inlineStr">
        <is>
          <t>Religieux</t>
        </is>
      </c>
      <c r="R3008" s="22"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2" t="n">
        <v>100000</v>
      </c>
      <c r="K3009" s="23" t="n">
        <v>45195</v>
      </c>
      <c r="M3009" t="inlineStr">
        <is>
          <t>Religieux</t>
        </is>
      </c>
      <c r="R3009" s="22"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2" t="n">
        <v>100000</v>
      </c>
      <c r="K3010" s="23" t="n">
        <v>45195</v>
      </c>
      <c r="M3010" t="inlineStr">
        <is>
          <t>Religieux</t>
        </is>
      </c>
      <c r="R3010" s="22"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2" t="n">
        <v>100000</v>
      </c>
      <c r="K3011" s="23" t="n">
        <v>45195</v>
      </c>
      <c r="M3011" t="inlineStr">
        <is>
          <t>Religieux</t>
        </is>
      </c>
      <c r="R3011" s="22"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2" t="n">
        <v>150000</v>
      </c>
      <c r="K3012" s="23" t="n">
        <v>45195</v>
      </c>
      <c r="M3012" t="inlineStr">
        <is>
          <t>Religieux</t>
        </is>
      </c>
      <c r="R3012" s="22"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2" t="n">
        <v>150000</v>
      </c>
      <c r="K3013" s="23" t="n">
        <v>45195</v>
      </c>
      <c r="M3013" t="inlineStr">
        <is>
          <t>Religieux</t>
        </is>
      </c>
      <c r="R3013" s="22"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2" t="n">
        <v>100000</v>
      </c>
      <c r="K3014" s="23" t="n">
        <v>45195</v>
      </c>
      <c r="M3014" t="inlineStr">
        <is>
          <t>Religieux</t>
        </is>
      </c>
      <c r="R3014" s="22"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2" t="n">
        <v>392410.55</v>
      </c>
      <c r="O3015" t="inlineStr">
        <is>
          <t>SF General</t>
        </is>
      </c>
      <c r="P3015" t="inlineStr">
        <is>
          <t>Obligation de développement social: art.15 de l'avenant 1 à la convention minière de Sabodala du 23 mars 2005</t>
        </is>
      </c>
      <c r="R3015" s="22"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2" t="n">
        <v>50000</v>
      </c>
      <c r="K3016" s="23" t="n">
        <v>45204</v>
      </c>
      <c r="M3016" t="inlineStr">
        <is>
          <t>Emploi Local</t>
        </is>
      </c>
      <c r="R3016" s="22"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2" t="n">
        <v>70000</v>
      </c>
      <c r="K3017" s="23" t="n">
        <v>45204</v>
      </c>
      <c r="M3017" t="inlineStr">
        <is>
          <t>Appuis divers</t>
        </is>
      </c>
      <c r="R3017" s="22"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2" t="n">
        <v>385920</v>
      </c>
      <c r="K3018" s="23" t="n">
        <v>45350</v>
      </c>
      <c r="M3018" t="inlineStr">
        <is>
          <t>137714</t>
        </is>
      </c>
      <c r="N3018" t="inlineStr">
        <is>
          <t>N/A</t>
        </is>
      </c>
      <c r="O3018" t="inlineStr">
        <is>
          <t>N/A</t>
        </is>
      </c>
      <c r="P3018" t="inlineStr">
        <is>
          <t>Convention minère et Code minier (Fond Social et Fond d'appui au developpement local)</t>
        </is>
      </c>
      <c r="Q3018" t="inlineStr">
        <is>
          <t>NA</t>
        </is>
      </c>
      <c r="R3018" s="22"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2" t="n">
        <v>375000</v>
      </c>
      <c r="K3019" t="inlineStr">
        <is>
          <t>2024-01-09</t>
        </is>
      </c>
      <c r="L3019" t="inlineStr">
        <is>
          <t>Appuis divers</t>
        </is>
      </c>
      <c r="R3019" s="22"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2" t="n">
        <v>375000</v>
      </c>
      <c r="K3020" t="inlineStr">
        <is>
          <t>22/11/2023</t>
        </is>
      </c>
      <c r="L3020" t="inlineStr">
        <is>
          <t>Appuis divers</t>
        </is>
      </c>
      <c r="R3020" s="22"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2" t="n">
        <v>100000</v>
      </c>
      <c r="K3021" s="23" t="n">
        <v>45217</v>
      </c>
      <c r="M3021" t="inlineStr">
        <is>
          <t>Religieux</t>
        </is>
      </c>
      <c r="R3021" s="22"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2" t="n">
        <v>209800</v>
      </c>
      <c r="K3022" s="23" t="n">
        <v>45223</v>
      </c>
      <c r="M3022" t="inlineStr">
        <is>
          <t>Appuis divers</t>
        </is>
      </c>
      <c r="R3022" s="22"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2" t="n">
        <v>63157.89</v>
      </c>
      <c r="K3023" s="23" t="n">
        <v>45223</v>
      </c>
      <c r="M3023" t="inlineStr">
        <is>
          <t>Appuis divers</t>
        </is>
      </c>
      <c r="R3023" s="22"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2" t="n">
        <v>63157.89</v>
      </c>
      <c r="K3024" s="23" t="n">
        <v>45223</v>
      </c>
      <c r="M3024" t="inlineStr">
        <is>
          <t>Appuis divers</t>
        </is>
      </c>
      <c r="R3024" s="22"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2" t="n">
        <v>63157.89</v>
      </c>
      <c r="K3025" s="23" t="n">
        <v>45223</v>
      </c>
      <c r="M3025" t="inlineStr">
        <is>
          <t>Appuis divers</t>
        </is>
      </c>
      <c r="R3025" s="22"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2" t="n">
        <v>63157.89</v>
      </c>
      <c r="K3026" s="23" t="n">
        <v>45223</v>
      </c>
      <c r="M3026" t="inlineStr">
        <is>
          <t>Appuis divers</t>
        </is>
      </c>
      <c r="R3026" s="22"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2" t="n">
        <v>63157.89</v>
      </c>
      <c r="K3027" s="23" t="n">
        <v>45223</v>
      </c>
      <c r="M3027" t="inlineStr">
        <is>
          <t>Appuis divers</t>
        </is>
      </c>
      <c r="R3027" s="22"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2" t="n">
        <v>100000</v>
      </c>
      <c r="K3028" s="23" t="n">
        <v>45232</v>
      </c>
      <c r="M3028" t="inlineStr">
        <is>
          <t>Religieux</t>
        </is>
      </c>
      <c r="R3028" s="22"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2" t="n">
        <v>375000</v>
      </c>
      <c r="K3029" t="inlineStr">
        <is>
          <t>01/12/2023</t>
        </is>
      </c>
      <c r="L3029" t="inlineStr">
        <is>
          <t>Appuis divers</t>
        </is>
      </c>
      <c r="R3029" s="22"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2" t="n">
        <v>300000</v>
      </c>
      <c r="K3030" s="23" t="n">
        <v>45232</v>
      </c>
      <c r="M3030" t="inlineStr">
        <is>
          <t>Religieux</t>
        </is>
      </c>
      <c r="R3030" s="22"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2" t="n">
        <v>100000</v>
      </c>
      <c r="K3031" s="23" t="n">
        <v>45232</v>
      </c>
      <c r="M3031" t="inlineStr">
        <is>
          <t>Religieux</t>
        </is>
      </c>
      <c r="R3031" s="22"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2" t="n">
        <v>100000</v>
      </c>
      <c r="K3032" s="23" t="n">
        <v>45237</v>
      </c>
      <c r="M3032" t="inlineStr">
        <is>
          <t>Education</t>
        </is>
      </c>
      <c r="R3032" s="22"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2" t="n">
        <v>100000</v>
      </c>
      <c r="K3033" s="23" t="n">
        <v>45237</v>
      </c>
      <c r="M3033" t="inlineStr">
        <is>
          <t>Religieux</t>
        </is>
      </c>
      <c r="R3033" s="22"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2" t="n">
        <v>100000</v>
      </c>
      <c r="K3034" s="23" t="n">
        <v>45237</v>
      </c>
      <c r="M3034" t="inlineStr">
        <is>
          <t>Religieux</t>
        </is>
      </c>
      <c r="R3034" s="22"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2" t="n">
        <v>50000</v>
      </c>
      <c r="K3035" s="23" t="n">
        <v>45237</v>
      </c>
      <c r="M3035" t="inlineStr">
        <is>
          <t>Emploi Local</t>
        </is>
      </c>
      <c r="R3035" s="22"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2" t="n">
        <v>70000</v>
      </c>
      <c r="K3036" s="23" t="n">
        <v>45237</v>
      </c>
      <c r="M3036" t="inlineStr">
        <is>
          <t>Appuis divers</t>
        </is>
      </c>
      <c r="R3036" s="22"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2" t="n">
        <v>375000</v>
      </c>
      <c r="K3037" t="inlineStr">
        <is>
          <t>13/12/2023</t>
        </is>
      </c>
      <c r="L3037" t="inlineStr">
        <is>
          <t>Appuis divers</t>
        </is>
      </c>
      <c r="R3037" s="22"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2" t="n">
        <v>100000</v>
      </c>
      <c r="K3038" t="inlineStr">
        <is>
          <t>01/Dec/23</t>
        </is>
      </c>
      <c r="M3038" t="inlineStr">
        <is>
          <t>Appuis divers</t>
        </is>
      </c>
      <c r="R3038" s="22"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2" t="n">
        <v>300000</v>
      </c>
      <c r="K3039" t="inlineStr">
        <is>
          <t>11/Dec/23</t>
        </is>
      </c>
      <c r="M3039" t="inlineStr">
        <is>
          <t>Appuis divers</t>
        </is>
      </c>
      <c r="R3039" s="22"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2" t="n">
        <v>200000</v>
      </c>
      <c r="K3040" t="inlineStr">
        <is>
          <t>11/Dec/23</t>
        </is>
      </c>
      <c r="M3040" t="inlineStr">
        <is>
          <t>Appuis divers</t>
        </is>
      </c>
      <c r="R3040" s="22"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2" t="n">
        <v>300000</v>
      </c>
      <c r="K3041" t="inlineStr">
        <is>
          <t>11/Dec/23</t>
        </is>
      </c>
      <c r="M3041" t="inlineStr">
        <is>
          <t>Appuis divers</t>
        </is>
      </c>
      <c r="R3041" s="22"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2" t="n">
        <v>300000</v>
      </c>
      <c r="K3042" t="inlineStr">
        <is>
          <t>11/Dec/23</t>
        </is>
      </c>
      <c r="M3042" t="inlineStr">
        <is>
          <t>Appuis divers</t>
        </is>
      </c>
      <c r="R3042" s="22"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2" t="n">
        <v>287000</v>
      </c>
      <c r="K3043" t="inlineStr">
        <is>
          <t>11/Dec/23</t>
        </is>
      </c>
      <c r="M3043" t="inlineStr">
        <is>
          <t>Appuis divers</t>
        </is>
      </c>
      <c r="R3043" s="22"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2" t="n">
        <v>375000</v>
      </c>
      <c r="K3044" t="inlineStr">
        <is>
          <t>28/12/2023</t>
        </is>
      </c>
      <c r="L3044" t="inlineStr">
        <is>
          <t>Appuis divers</t>
        </is>
      </c>
      <c r="R3044" s="22"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2" t="n">
        <v>373173.68</v>
      </c>
      <c r="K3045" s="23"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2"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2" t="n">
        <v>370000</v>
      </c>
      <c r="K3046" t="inlineStr">
        <is>
          <t>18/12/2023</t>
        </is>
      </c>
      <c r="L3046" t="inlineStr">
        <is>
          <t>Appuis divers</t>
        </is>
      </c>
      <c r="R3046" s="22"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2" t="n">
        <v>60000</v>
      </c>
      <c r="K3047" s="23" t="n">
        <v>45286</v>
      </c>
      <c r="R3047" s="22"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2"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2" t="n">
        <v>35000</v>
      </c>
      <c r="K3049" s="23" t="n">
        <v>45196</v>
      </c>
      <c r="R3049" s="22"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2" t="n">
        <v>362000</v>
      </c>
      <c r="K3050" t="inlineStr">
        <is>
          <t>21/06/2023</t>
        </is>
      </c>
      <c r="L3050" t="inlineStr">
        <is>
          <t>Appuis divers</t>
        </is>
      </c>
      <c r="R3050" s="22"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2" t="n">
        <v>2550000</v>
      </c>
      <c r="K3051" s="23" t="n">
        <v>45176</v>
      </c>
      <c r="R3051" s="22"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2" t="n">
        <v>360002.4</v>
      </c>
      <c r="K3052" s="23"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2"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2" t="n">
        <v>360001.81</v>
      </c>
      <c r="K3053" s="23"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2"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2" t="n">
        <v>1290000</v>
      </c>
      <c r="K3054" s="23" t="n">
        <v>45170</v>
      </c>
      <c r="R3054" s="22"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2" t="n">
        <v>420000</v>
      </c>
      <c r="K3055" s="23" t="n">
        <v>45170</v>
      </c>
      <c r="R3055" s="22"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2" t="n">
        <v>360000</v>
      </c>
      <c r="K3056" t="inlineStr">
        <is>
          <t>2024-06-30</t>
        </is>
      </c>
      <c r="L3056" t="inlineStr">
        <is>
          <t>Appuis divers</t>
        </is>
      </c>
      <c r="R3056" s="22"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2" t="n">
        <v>360000</v>
      </c>
      <c r="K3057" s="23" t="n">
        <v>44659</v>
      </c>
      <c r="L3057" t="inlineStr">
        <is>
          <t>SF Fond Gora &amp; General</t>
        </is>
      </c>
      <c r="R3057" s="22"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2" t="n">
        <v>200000</v>
      </c>
      <c r="K3058" s="23" t="n">
        <v>45113</v>
      </c>
      <c r="R3058" s="22"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2" t="n">
        <v>1200000</v>
      </c>
      <c r="K3059" s="23" t="n">
        <v>45111</v>
      </c>
      <c r="R3059" s="22"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2" t="n">
        <v>359999.19</v>
      </c>
      <c r="K3060" s="23"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2"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2" t="n">
        <v>359999.18</v>
      </c>
      <c r="K3061" s="23"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2"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2" t="n">
        <v>140000</v>
      </c>
      <c r="K3062" s="23" t="n">
        <v>45072</v>
      </c>
      <c r="R3062" s="22"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2" t="n">
        <v>20000</v>
      </c>
      <c r="K3063" s="23" t="n">
        <v>45071</v>
      </c>
      <c r="R3063" s="22"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2" t="n">
        <v>216000</v>
      </c>
      <c r="K3064" s="23" t="n">
        <v>45071</v>
      </c>
      <c r="R3064" s="22"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2" t="n">
        <v>5000</v>
      </c>
      <c r="K3065" s="23" t="n">
        <v>45071</v>
      </c>
      <c r="R3065" s="22"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2" t="n">
        <v>356700</v>
      </c>
      <c r="K3066" s="23" t="n">
        <v>45391</v>
      </c>
      <c r="R3066" s="22"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2" t="n">
        <v>45000</v>
      </c>
      <c r="K3067" s="23" t="n">
        <v>45070</v>
      </c>
      <c r="R3067" s="22"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2" t="n">
        <v>100000</v>
      </c>
      <c r="K3068" s="23" t="n">
        <v>45062</v>
      </c>
      <c r="R3068" s="22"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2" t="n">
        <v>30000</v>
      </c>
      <c r="K3069" s="23" t="n">
        <v>45054</v>
      </c>
      <c r="R3069" s="22"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2" t="n">
        <v>100000</v>
      </c>
      <c r="K3070" s="23" t="n">
        <v>45050</v>
      </c>
      <c r="R3070" s="22"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2" t="n">
        <v>659823</v>
      </c>
      <c r="K3071" s="23" t="n">
        <v>45049</v>
      </c>
      <c r="R3071" s="22"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2"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2" t="n">
        <v>355628.82</v>
      </c>
      <c r="K3073" s="23" t="n">
        <v>45428</v>
      </c>
      <c r="M3073" t="inlineStr">
        <is>
          <t>139278</t>
        </is>
      </c>
      <c r="N3073" t="inlineStr">
        <is>
          <t>N/A</t>
        </is>
      </c>
      <c r="O3073" t="inlineStr">
        <is>
          <t>N/A</t>
        </is>
      </c>
      <c r="P3073" t="inlineStr">
        <is>
          <t>Convention minère et Code minier (Fond Social et Fond d'appui au developpement local)</t>
        </is>
      </c>
      <c r="Q3073" t="inlineStr">
        <is>
          <t>NA</t>
        </is>
      </c>
      <c r="R3073" s="22"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2" t="n">
        <v>355000</v>
      </c>
      <c r="K3074" t="inlineStr">
        <is>
          <t>14/06/2023</t>
        </is>
      </c>
      <c r="L3074" t="inlineStr">
        <is>
          <t>Appuis divers</t>
        </is>
      </c>
      <c r="R3074" s="22"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2" t="n">
        <v>352500</v>
      </c>
      <c r="K3075" t="inlineStr">
        <is>
          <t>2024-12-02</t>
        </is>
      </c>
      <c r="L3075" t="inlineStr">
        <is>
          <t>Appuis divers</t>
        </is>
      </c>
      <c r="R3075" s="22"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2" t="n">
        <v>350000</v>
      </c>
      <c r="K3076" t="inlineStr">
        <is>
          <t>2024-12-19</t>
        </is>
      </c>
      <c r="L3076" t="inlineStr">
        <is>
          <t>Appuis divers</t>
        </is>
      </c>
      <c r="R3076" s="22"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2" t="n">
        <v>50500</v>
      </c>
      <c r="K3077" s="23" t="n">
        <v>45017</v>
      </c>
      <c r="R3077" s="22"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2" t="n">
        <v>68000</v>
      </c>
      <c r="K3078" s="23" t="n">
        <v>45002</v>
      </c>
      <c r="R3078" s="22"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2" t="n">
        <v>350000</v>
      </c>
      <c r="K3079" s="23" t="n">
        <v>45454</v>
      </c>
      <c r="R3079" s="22"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2" t="n">
        <v>350000</v>
      </c>
      <c r="L3080" t="inlineStr">
        <is>
          <t>APPUIS DIVERS (FETE NATIONALE)</t>
        </is>
      </c>
      <c r="R3080" s="22"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2" t="n">
        <v>7336</v>
      </c>
      <c r="K3081" t="inlineStr">
        <is>
          <t>Appuis divers</t>
        </is>
      </c>
      <c r="L3081" t="inlineStr">
        <is>
          <t>Appuis divers</t>
        </is>
      </c>
      <c r="M3081" t="inlineStr">
        <is>
          <t xml:space="preserve">Néant </t>
        </is>
      </c>
      <c r="N3081" t="inlineStr">
        <is>
          <t xml:space="preserve">Néant </t>
        </is>
      </c>
      <c r="O3081" t="inlineStr">
        <is>
          <t>Nc</t>
        </is>
      </c>
      <c r="R3081" s="22"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2" t="n">
        <v>342000</v>
      </c>
      <c r="L3082" t="inlineStr">
        <is>
          <t>APPUIS DIVERS (JOURNEE DE L4ENFANT AFRICAIN)</t>
        </is>
      </c>
      <c r="R3082" s="22"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2" t="n">
        <v>337500</v>
      </c>
      <c r="K3083" s="23"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2"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2" t="n">
        <v>336411.7</v>
      </c>
      <c r="K3084" s="23" t="n">
        <v>44985</v>
      </c>
      <c r="L3084" t="inlineStr">
        <is>
          <t>Appui divers</t>
        </is>
      </c>
      <c r="M3084" t="inlineStr">
        <is>
          <t>N/A</t>
        </is>
      </c>
      <c r="N3084" t="inlineStr">
        <is>
          <t>N/A</t>
        </is>
      </c>
      <c r="O3084" t="inlineStr">
        <is>
          <t>N/A</t>
        </is>
      </c>
      <c r="R3084" s="22"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2" t="n">
        <v>335000</v>
      </c>
      <c r="K3085" t="inlineStr">
        <is>
          <t>19/10/2023</t>
        </is>
      </c>
      <c r="L3085" t="inlineStr">
        <is>
          <t>Appuis divers</t>
        </is>
      </c>
      <c r="R3085" s="22"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2" t="n">
        <v>44165</v>
      </c>
      <c r="K3086" t="inlineStr">
        <is>
          <t>NC</t>
        </is>
      </c>
      <c r="L3086" t="inlineStr">
        <is>
          <t>NC</t>
        </is>
      </c>
      <c r="M3086" t="inlineStr">
        <is>
          <t xml:space="preserve">Néant </t>
        </is>
      </c>
      <c r="N3086" t="inlineStr">
        <is>
          <t xml:space="preserve">Néant </t>
        </is>
      </c>
      <c r="O3086" t="inlineStr">
        <is>
          <t>NC</t>
        </is>
      </c>
      <c r="R3086" s="22"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2" t="n">
        <v>331775.09</v>
      </c>
      <c r="K3087" s="23"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2"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2" t="n">
        <v>330000</v>
      </c>
      <c r="K3088" s="23" t="n">
        <v>44651</v>
      </c>
      <c r="L3088" t="inlineStr">
        <is>
          <t>SF General</t>
        </is>
      </c>
      <c r="R3088" s="22"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2" t="n">
        <v>44055</v>
      </c>
      <c r="K3089" t="inlineStr">
        <is>
          <t>Donation</t>
        </is>
      </c>
      <c r="L3089" t="inlineStr">
        <is>
          <t>Donation</t>
        </is>
      </c>
      <c r="M3089" t="inlineStr">
        <is>
          <t>Néant</t>
        </is>
      </c>
      <c r="N3089" t="inlineStr">
        <is>
          <t>Néant</t>
        </is>
      </c>
      <c r="O3089" t="inlineStr">
        <is>
          <t>NC</t>
        </is>
      </c>
      <c r="R3089" s="22"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2" t="n">
        <v>4900000</v>
      </c>
      <c r="K3090" t="inlineStr">
        <is>
          <t>30/06/2023</t>
        </is>
      </c>
      <c r="L3090" t="inlineStr">
        <is>
          <t>Education</t>
        </is>
      </c>
      <c r="R3090" s="22"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2"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2" t="n">
        <v>323700</v>
      </c>
      <c r="K3092" t="inlineStr">
        <is>
          <t>15/11/2023</t>
        </is>
      </c>
      <c r="L3092" t="inlineStr">
        <is>
          <t>Appuis divers</t>
        </is>
      </c>
      <c r="R3092" s="22"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2" t="n">
        <v>320000</v>
      </c>
      <c r="K3093" s="23" t="n">
        <v>44651</v>
      </c>
      <c r="L3093" t="inlineStr">
        <is>
          <t>SF General</t>
        </is>
      </c>
      <c r="R3093" s="22"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2" t="n">
        <v>4900000</v>
      </c>
      <c r="K3094" t="inlineStr">
        <is>
          <t>31/08/2023</t>
        </is>
      </c>
      <c r="L3094" t="inlineStr">
        <is>
          <t>Education</t>
        </is>
      </c>
      <c r="R3094" s="22"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2" t="n">
        <v>317000</v>
      </c>
      <c r="K3095" t="inlineStr">
        <is>
          <t>25/09/2023</t>
        </is>
      </c>
      <c r="L3095" t="inlineStr">
        <is>
          <t>Appuis divers</t>
        </is>
      </c>
      <c r="R3095" s="22"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2" t="n">
        <v>309500</v>
      </c>
      <c r="K3096" t="inlineStr">
        <is>
          <t>01/09/2023</t>
        </is>
      </c>
      <c r="L3096" t="inlineStr">
        <is>
          <t>Appuis divers</t>
        </is>
      </c>
      <c r="R3096" s="22"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2" t="n">
        <v>309000</v>
      </c>
      <c r="K3097" s="23"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2"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2" t="n">
        <v>306510.64</v>
      </c>
      <c r="K3098" s="23"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2"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2" t="n">
        <v>303000</v>
      </c>
      <c r="K3099" s="23" t="n">
        <v>45611</v>
      </c>
      <c r="R3099" s="22"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2" t="n">
        <v>302429.666666667</v>
      </c>
      <c r="L3100" t="inlineStr">
        <is>
          <t>APPUIS DIVERS</t>
        </is>
      </c>
      <c r="R3100" s="22"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2" t="n">
        <v>302429.666666667</v>
      </c>
      <c r="L3101" t="inlineStr">
        <is>
          <t>APPUIS DIVERS</t>
        </is>
      </c>
      <c r="R3101" s="22"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2" t="n">
        <v>302429.666666667</v>
      </c>
      <c r="L3102" t="inlineStr">
        <is>
          <t>APPUIS DIVERS</t>
        </is>
      </c>
      <c r="R3102" s="22"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2" t="n">
        <v>302429.666666667</v>
      </c>
      <c r="L3103" t="inlineStr">
        <is>
          <t>APPUIS DIVERS</t>
        </is>
      </c>
      <c r="R3103" s="22"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2" t="n">
        <v>302429.666666667</v>
      </c>
      <c r="L3104" t="inlineStr">
        <is>
          <t>APPUIS DIVERS</t>
        </is>
      </c>
      <c r="R3104" s="22"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2" t="n">
        <v>302429.666666667</v>
      </c>
      <c r="L3105" t="inlineStr">
        <is>
          <t>APPUIS DIVERS</t>
        </is>
      </c>
      <c r="R3105" s="22"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2" t="n">
        <v>302400</v>
      </c>
      <c r="K3106" s="23" t="n">
        <v>45457</v>
      </c>
      <c r="L3106" t="inlineStr">
        <is>
          <t>APPUIS DIVERS</t>
        </is>
      </c>
      <c r="R3106" s="22"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2" t="n">
        <v>300000</v>
      </c>
      <c r="K3107" s="23"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2"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2" t="n">
        <v>300000</v>
      </c>
      <c r="K3108" s="23"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2"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2" t="n">
        <v>300000</v>
      </c>
      <c r="K3109" s="23"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2"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2" t="n">
        <v>300000</v>
      </c>
      <c r="K3110" s="23" t="n">
        <v>45316</v>
      </c>
      <c r="R3110" s="22"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2" t="n">
        <v>300000</v>
      </c>
      <c r="K3111" s="23" t="n">
        <v>45427</v>
      </c>
      <c r="R3111" s="22"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2" t="n">
        <v>300000</v>
      </c>
      <c r="K3112" s="23" t="n">
        <v>45427</v>
      </c>
      <c r="R3112" s="22"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2" t="n">
        <v>300000</v>
      </c>
      <c r="K3113" s="23" t="n">
        <v>45406</v>
      </c>
      <c r="L3113" t="inlineStr">
        <is>
          <t>NEANT</t>
        </is>
      </c>
      <c r="M3113" t="n">
        <v>0</v>
      </c>
      <c r="N3113" s="22" t="n">
        <v>0</v>
      </c>
      <c r="O3113" t="inlineStr">
        <is>
          <t>NEANT</t>
        </is>
      </c>
      <c r="P3113" t="inlineStr">
        <is>
          <t>NEANT</t>
        </is>
      </c>
      <c r="Q3113" t="inlineStr">
        <is>
          <t>NEANT</t>
        </is>
      </c>
      <c r="R3113" s="22"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2" t="n">
        <v>300000</v>
      </c>
      <c r="K3114" t="inlineStr">
        <is>
          <t>2024-05-31</t>
        </is>
      </c>
      <c r="L3114" t="inlineStr">
        <is>
          <t>Appuis divers</t>
        </is>
      </c>
      <c r="R3114" s="22"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2" t="n">
        <v>300000</v>
      </c>
      <c r="K3115" t="inlineStr">
        <is>
          <t>2024-05-31</t>
        </is>
      </c>
      <c r="L3115" t="inlineStr">
        <is>
          <t>Appuis divers</t>
        </is>
      </c>
      <c r="R3115" s="22"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2" t="n">
        <v>300000</v>
      </c>
      <c r="K3116" t="inlineStr">
        <is>
          <t>2024-05-31</t>
        </is>
      </c>
      <c r="L3116" t="inlineStr">
        <is>
          <t>Appuis divers</t>
        </is>
      </c>
      <c r="R3116" s="22"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2" t="n">
        <v>300000</v>
      </c>
      <c r="K3117" t="inlineStr">
        <is>
          <t>2024-06-30</t>
        </is>
      </c>
      <c r="L3117" t="inlineStr">
        <is>
          <t>Appuis divers</t>
        </is>
      </c>
      <c r="R3117" s="22"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2" t="n">
        <v>300000</v>
      </c>
      <c r="K3118" t="inlineStr">
        <is>
          <t>2024-07-31</t>
        </is>
      </c>
      <c r="L3118" t="inlineStr">
        <is>
          <t>Appuis divers</t>
        </is>
      </c>
      <c r="R3118" s="22"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2" t="n">
        <v>300000</v>
      </c>
      <c r="K3119" t="inlineStr">
        <is>
          <t>2024-07-31</t>
        </is>
      </c>
      <c r="L3119" t="inlineStr">
        <is>
          <t>Appuis divers</t>
        </is>
      </c>
      <c r="R3119" s="22"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2" t="n">
        <v>300000</v>
      </c>
      <c r="K3120" t="inlineStr">
        <is>
          <t>2024-08-29</t>
        </is>
      </c>
      <c r="L3120" t="inlineStr">
        <is>
          <t>Appuis divers</t>
        </is>
      </c>
      <c r="R3120" s="22"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2" t="n">
        <v>300000</v>
      </c>
      <c r="K3121" t="inlineStr">
        <is>
          <t>2024-09-02</t>
        </is>
      </c>
      <c r="L3121" t="inlineStr">
        <is>
          <t>Appuis divers</t>
        </is>
      </c>
      <c r="R3121" s="22"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2" t="n">
        <v>300000</v>
      </c>
      <c r="K3122" t="inlineStr">
        <is>
          <t>2024-09-02</t>
        </is>
      </c>
      <c r="L3122" t="inlineStr">
        <is>
          <t>Appuis divers</t>
        </is>
      </c>
      <c r="R3122" s="22"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2" t="n">
        <v>300000</v>
      </c>
      <c r="K3123" t="inlineStr">
        <is>
          <t>2024-03-08</t>
        </is>
      </c>
      <c r="L3123" t="inlineStr">
        <is>
          <t>Appuis divers</t>
        </is>
      </c>
      <c r="R3123" s="22"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2" t="n">
        <v>300000</v>
      </c>
      <c r="K3124" t="inlineStr">
        <is>
          <t>2024-09-14</t>
        </is>
      </c>
      <c r="L3124" t="inlineStr">
        <is>
          <t>Appuis divers</t>
        </is>
      </c>
      <c r="R3124" s="22"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2" t="n">
        <v>300000</v>
      </c>
      <c r="K3125" t="inlineStr">
        <is>
          <t>2024-06-30</t>
        </is>
      </c>
      <c r="L3125" t="inlineStr">
        <is>
          <t>Appuis divers</t>
        </is>
      </c>
      <c r="R3125" s="22"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2" t="n">
        <v>300000</v>
      </c>
      <c r="K3126" t="inlineStr">
        <is>
          <t>2024-06-30</t>
        </is>
      </c>
      <c r="L3126" t="inlineStr">
        <is>
          <t>Appuis divers</t>
        </is>
      </c>
      <c r="R3126" s="22"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2" t="n">
        <v>300000</v>
      </c>
      <c r="K3127" s="23" t="n">
        <v>45297</v>
      </c>
      <c r="L3127" t="inlineStr">
        <is>
          <t>Appui Divers</t>
        </is>
      </c>
      <c r="M3127" t="inlineStr">
        <is>
          <t>Appui organisation Gamou</t>
        </is>
      </c>
      <c r="R3127" s="22"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2" t="n">
        <v>300000</v>
      </c>
      <c r="K3128" s="23" t="n">
        <v>45327</v>
      </c>
      <c r="L3128" t="inlineStr">
        <is>
          <t>Appui Divers</t>
        </is>
      </c>
      <c r="M3128" t="inlineStr">
        <is>
          <t>Appui organisation Gamou</t>
        </is>
      </c>
      <c r="R3128" s="22"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2" t="n">
        <v>300000</v>
      </c>
      <c r="K3129" s="23" t="n">
        <v>45559</v>
      </c>
      <c r="L3129" t="inlineStr">
        <is>
          <t>APPUIS DIVERS</t>
        </is>
      </c>
      <c r="R3129" s="22"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2" t="n">
        <v>300000</v>
      </c>
      <c r="K3130" s="23" t="n">
        <v>45525</v>
      </c>
      <c r="R3130" s="22"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2" t="n">
        <v>300000</v>
      </c>
      <c r="K3131" s="23" t="n">
        <v>45320</v>
      </c>
      <c r="L3131" t="inlineStr">
        <is>
          <t>DONS</t>
        </is>
      </c>
      <c r="R3131" s="22"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2" t="n">
        <v>-2545136</v>
      </c>
      <c r="K3132" t="inlineStr">
        <is>
          <t>31/12/2023</t>
        </is>
      </c>
      <c r="L3132" t="inlineStr">
        <is>
          <t>Education</t>
        </is>
      </c>
      <c r="R3132" s="22"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2" t="n">
        <v>4129333</v>
      </c>
      <c r="K3133" t="inlineStr">
        <is>
          <t>31/12/2023</t>
        </is>
      </c>
      <c r="L3133" t="inlineStr">
        <is>
          <t>Education</t>
        </is>
      </c>
      <c r="R3133" s="22"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2" t="n">
        <v>4129333</v>
      </c>
      <c r="K3134" t="inlineStr">
        <is>
          <t>31/12/2023</t>
        </is>
      </c>
      <c r="L3134" t="inlineStr">
        <is>
          <t>Education</t>
        </is>
      </c>
      <c r="R3134" s="22"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2" t="n">
        <v>4129333</v>
      </c>
      <c r="K3135" t="inlineStr">
        <is>
          <t>31/12/2023</t>
        </is>
      </c>
      <c r="L3135" t="inlineStr">
        <is>
          <t>Education</t>
        </is>
      </c>
      <c r="R3135" s="22"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2" t="n">
        <v>4129333</v>
      </c>
      <c r="K3136" t="inlineStr">
        <is>
          <t>31/12/2023</t>
        </is>
      </c>
      <c r="L3136" t="inlineStr">
        <is>
          <t>Education</t>
        </is>
      </c>
      <c r="R3136" s="22"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2" t="n">
        <v>4129333</v>
      </c>
      <c r="K3137" t="inlineStr">
        <is>
          <t>31/12/2023</t>
        </is>
      </c>
      <c r="L3137" t="inlineStr">
        <is>
          <t>Education</t>
        </is>
      </c>
      <c r="R3137" s="22"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2" t="n">
        <v>4129333</v>
      </c>
      <c r="K3138" t="inlineStr">
        <is>
          <t>31/12/2023</t>
        </is>
      </c>
      <c r="L3138" t="inlineStr">
        <is>
          <t>Education</t>
        </is>
      </c>
      <c r="R3138" s="22"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2" t="n">
        <v>4802402</v>
      </c>
      <c r="K3139" t="inlineStr">
        <is>
          <t>31/12/2023</t>
        </is>
      </c>
      <c r="L3139" t="inlineStr">
        <is>
          <t>Education</t>
        </is>
      </c>
      <c r="R3139" s="22"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2" t="n">
        <v>5551604</v>
      </c>
      <c r="K3140" t="inlineStr">
        <is>
          <t>31/12/2023</t>
        </is>
      </c>
      <c r="L3140" t="inlineStr">
        <is>
          <t>SPORTS</t>
        </is>
      </c>
      <c r="R3140" s="22"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2" t="n">
        <v>300000</v>
      </c>
      <c r="K3141" s="23" t="n">
        <v>45324</v>
      </c>
      <c r="L3141" t="inlineStr">
        <is>
          <t>DONS</t>
        </is>
      </c>
      <c r="R3141" s="22"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2" t="n">
        <v>7526122</v>
      </c>
      <c r="K3142" t="inlineStr">
        <is>
          <t>31/12/2023</t>
        </is>
      </c>
      <c r="L3142" t="inlineStr">
        <is>
          <t>Education</t>
        </is>
      </c>
      <c r="R3142" s="22"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2" t="n">
        <v>7526122</v>
      </c>
      <c r="K3143" t="inlineStr">
        <is>
          <t>31/12/2023</t>
        </is>
      </c>
      <c r="L3143" t="inlineStr">
        <is>
          <t>Education</t>
        </is>
      </c>
      <c r="R3143" s="22"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2" t="n">
        <v>7526122</v>
      </c>
      <c r="K3144" t="inlineStr">
        <is>
          <t>31/12/2023</t>
        </is>
      </c>
      <c r="L3144" t="inlineStr">
        <is>
          <t>Education</t>
        </is>
      </c>
      <c r="R3144" s="22"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2" t="n">
        <v>7526123</v>
      </c>
      <c r="K3145" t="inlineStr">
        <is>
          <t>31/12/2023</t>
        </is>
      </c>
      <c r="L3145" t="inlineStr">
        <is>
          <t>Education</t>
        </is>
      </c>
      <c r="R3145" s="22"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2" t="n">
        <v>7526123</v>
      </c>
      <c r="K3146" t="inlineStr">
        <is>
          <t>31/12/2023</t>
        </is>
      </c>
      <c r="L3146" t="inlineStr">
        <is>
          <t>Education</t>
        </is>
      </c>
      <c r="R3146" s="22"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2" t="n">
        <v>7526123</v>
      </c>
      <c r="K3147" t="inlineStr">
        <is>
          <t>31/12/2023</t>
        </is>
      </c>
      <c r="L3147" t="inlineStr">
        <is>
          <t>Education</t>
        </is>
      </c>
      <c r="R3147" s="22"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2" t="n">
        <v>7819417</v>
      </c>
      <c r="K3148" t="inlineStr">
        <is>
          <t>31/12/2023</t>
        </is>
      </c>
      <c r="L3148" t="inlineStr">
        <is>
          <t>Education</t>
        </is>
      </c>
      <c r="R3148" s="22"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2" t="n">
        <v>7951315</v>
      </c>
      <c r="K3149" t="inlineStr">
        <is>
          <t>31/12/2023</t>
        </is>
      </c>
      <c r="L3149" t="inlineStr">
        <is>
          <t>Education</t>
        </is>
      </c>
      <c r="R3149" s="22"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2" t="n">
        <v>8051315</v>
      </c>
      <c r="K3150" t="inlineStr">
        <is>
          <t>31/12/2023</t>
        </is>
      </c>
      <c r="L3150" t="inlineStr">
        <is>
          <t>Education</t>
        </is>
      </c>
      <c r="R3150" s="22"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2" t="n">
        <v>300000</v>
      </c>
      <c r="K3151" s="23" t="n">
        <v>45453</v>
      </c>
      <c r="L3151" t="inlineStr">
        <is>
          <t>DONS</t>
        </is>
      </c>
      <c r="R3151" s="22"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2" t="n">
        <v>300000</v>
      </c>
      <c r="K3152" s="23" t="n">
        <v>44914</v>
      </c>
      <c r="M3152" t="inlineStr">
        <is>
          <t>Sport</t>
        </is>
      </c>
      <c r="R3152" s="22"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2" t="n">
        <v>9800000</v>
      </c>
      <c r="K3153" t="inlineStr">
        <is>
          <t>31/12/2023</t>
        </is>
      </c>
      <c r="L3153" t="inlineStr">
        <is>
          <t>Education</t>
        </is>
      </c>
      <c r="R3153" s="22"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2" t="n">
        <v>13816733</v>
      </c>
      <c r="K3154" t="inlineStr">
        <is>
          <t>31/12/2023</t>
        </is>
      </c>
      <c r="L3154" t="inlineStr">
        <is>
          <t>SANTE</t>
        </is>
      </c>
      <c r="R3154" s="22"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2" t="n">
        <v>14952245</v>
      </c>
      <c r="K3155" t="inlineStr">
        <is>
          <t>31/12/2023</t>
        </is>
      </c>
      <c r="L3155" t="inlineStr">
        <is>
          <t>Education</t>
        </is>
      </c>
      <c r="R3155" s="22"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2" t="n">
        <v>15275550</v>
      </c>
      <c r="K3156" t="inlineStr">
        <is>
          <t>31/12/2023</t>
        </is>
      </c>
      <c r="L3156" t="inlineStr">
        <is>
          <t>Education</t>
        </is>
      </c>
      <c r="R3156" s="22"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2" t="n">
        <v>15275550</v>
      </c>
      <c r="K3157" t="inlineStr">
        <is>
          <t>31/12/2023</t>
        </is>
      </c>
      <c r="L3157" t="inlineStr">
        <is>
          <t>Education</t>
        </is>
      </c>
      <c r="R3157" s="22"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2" t="n">
        <v>15275550</v>
      </c>
      <c r="K3158" t="inlineStr">
        <is>
          <t>31/12/2023</t>
        </is>
      </c>
      <c r="L3158" t="inlineStr">
        <is>
          <t>Education</t>
        </is>
      </c>
      <c r="R3158" s="22"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2" t="n">
        <v>18844190</v>
      </c>
      <c r="K3159" t="inlineStr">
        <is>
          <t>31/12/2023</t>
        </is>
      </c>
      <c r="L3159" t="inlineStr">
        <is>
          <t>Education</t>
        </is>
      </c>
      <c r="R3159" s="22"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2" t="n">
        <v>27009076</v>
      </c>
      <c r="K3160" t="inlineStr">
        <is>
          <t>31/12/2023</t>
        </is>
      </c>
      <c r="L3160" t="inlineStr">
        <is>
          <t>Education</t>
        </is>
      </c>
      <c r="R3160" s="22"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2" t="n">
        <v>400000</v>
      </c>
      <c r="K3161" t="inlineStr">
        <is>
          <t>31/12/2023</t>
        </is>
      </c>
      <c r="L3161" t="inlineStr">
        <is>
          <t>Education</t>
        </is>
      </c>
      <c r="R3161" s="22"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2" t="n">
        <v>608000</v>
      </c>
      <c r="K3162" t="inlineStr">
        <is>
          <t>31/12/2023</t>
        </is>
      </c>
      <c r="L3162" t="inlineStr">
        <is>
          <t>SANTE</t>
        </is>
      </c>
      <c r="R3162" s="22"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2" t="n">
        <v>300000</v>
      </c>
      <c r="K3163" t="inlineStr">
        <is>
          <t>02/Feb/23</t>
        </is>
      </c>
      <c r="M3163" t="inlineStr">
        <is>
          <t>Culture</t>
        </is>
      </c>
      <c r="R3163" s="22"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2" t="n">
        <v>2196000</v>
      </c>
      <c r="K3164" t="inlineStr">
        <is>
          <t>31/12/2023</t>
        </is>
      </c>
      <c r="L3164" t="inlineStr">
        <is>
          <t>SANTE</t>
        </is>
      </c>
      <c r="R3164" s="22"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2" t="n">
        <v>300000</v>
      </c>
      <c r="K3165" s="23" t="n">
        <v>44994</v>
      </c>
      <c r="M3165" t="inlineStr">
        <is>
          <t>Appuis divers</t>
        </is>
      </c>
      <c r="R3165" s="22"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2" t="n">
        <v>4129333</v>
      </c>
      <c r="K3166" t="inlineStr">
        <is>
          <t>31/12/2023</t>
        </is>
      </c>
      <c r="L3166" t="inlineStr">
        <is>
          <t>Education</t>
        </is>
      </c>
      <c r="R3166" s="22"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2" t="n">
        <v>4129333</v>
      </c>
      <c r="K3167" t="inlineStr">
        <is>
          <t>31/12/2023</t>
        </is>
      </c>
      <c r="L3167" t="inlineStr">
        <is>
          <t>Education</t>
        </is>
      </c>
      <c r="R3167" s="22"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2" t="n">
        <v>40000</v>
      </c>
      <c r="K3168" t="inlineStr">
        <is>
          <t>05/01/2023</t>
        </is>
      </c>
      <c r="L3168" t="inlineStr">
        <is>
          <t>Education</t>
        </is>
      </c>
      <c r="R3168" s="22"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2" t="n">
        <v>25000</v>
      </c>
      <c r="K3169" t="inlineStr">
        <is>
          <t>05/01/2023</t>
        </is>
      </c>
      <c r="L3169" t="inlineStr">
        <is>
          <t>Education</t>
        </is>
      </c>
      <c r="R3169" s="22"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2" t="n">
        <v>25000</v>
      </c>
      <c r="K3170" t="inlineStr">
        <is>
          <t>24/01/2023</t>
        </is>
      </c>
      <c r="L3170" t="inlineStr">
        <is>
          <t>Education</t>
        </is>
      </c>
      <c r="R3170" s="22"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2" t="n">
        <v>40000</v>
      </c>
      <c r="K3171" t="inlineStr">
        <is>
          <t>24/01/2023</t>
        </is>
      </c>
      <c r="L3171" t="inlineStr">
        <is>
          <t>Education</t>
        </is>
      </c>
      <c r="R3171" s="22"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2" t="n">
        <v>-90100</v>
      </c>
      <c r="K3172" t="inlineStr">
        <is>
          <t>31/01/2023</t>
        </is>
      </c>
      <c r="L3172" t="inlineStr">
        <is>
          <t>Education</t>
        </is>
      </c>
      <c r="R3172" s="22"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2" t="n">
        <v>-88400</v>
      </c>
      <c r="K3173" t="inlineStr">
        <is>
          <t>31/01/2023</t>
        </is>
      </c>
      <c r="L3173" t="inlineStr">
        <is>
          <t>Education</t>
        </is>
      </c>
      <c r="R3173" s="22"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2" t="n">
        <v>-75500</v>
      </c>
      <c r="K3174" t="inlineStr">
        <is>
          <t>31/01/2023</t>
        </is>
      </c>
      <c r="L3174" t="inlineStr">
        <is>
          <t>Education</t>
        </is>
      </c>
      <c r="R3174" s="22"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2" t="n">
        <v>-55500</v>
      </c>
      <c r="K3175" t="inlineStr">
        <is>
          <t>31/01/2023</t>
        </is>
      </c>
      <c r="L3175" t="inlineStr">
        <is>
          <t>Education</t>
        </is>
      </c>
      <c r="R3175" s="22"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2" t="n">
        <v>300000</v>
      </c>
      <c r="K3176" s="23" t="n">
        <v>44994</v>
      </c>
      <c r="M3176" t="inlineStr">
        <is>
          <t>Appuis divers</t>
        </is>
      </c>
      <c r="R3176" s="22"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2" t="n">
        <v>300000</v>
      </c>
      <c r="K3177" s="23" t="n">
        <v>44994</v>
      </c>
      <c r="M3177" t="inlineStr">
        <is>
          <t>Divers</t>
        </is>
      </c>
      <c r="R3177" s="22"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2" t="n">
        <v>300000</v>
      </c>
      <c r="K3178" t="inlineStr">
        <is>
          <t>11/May/23</t>
        </is>
      </c>
      <c r="M3178" t="inlineStr">
        <is>
          <t>Education</t>
        </is>
      </c>
      <c r="R3178" s="22"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2" t="n">
        <v>55500</v>
      </c>
      <c r="K3179" t="inlineStr">
        <is>
          <t>10/02/2023</t>
        </is>
      </c>
      <c r="L3179" t="inlineStr">
        <is>
          <t>Education</t>
        </is>
      </c>
      <c r="R3179" s="22"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2" t="n">
        <v>90100</v>
      </c>
      <c r="K3180" t="inlineStr">
        <is>
          <t>10/02/2023</t>
        </is>
      </c>
      <c r="L3180" t="inlineStr">
        <is>
          <t>Education</t>
        </is>
      </c>
      <c r="R3180" s="22"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2" t="n">
        <v>75500</v>
      </c>
      <c r="K3181" t="inlineStr">
        <is>
          <t>10/02/2023</t>
        </is>
      </c>
      <c r="L3181" t="inlineStr">
        <is>
          <t>Education</t>
        </is>
      </c>
      <c r="R3181" s="22"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2" t="n">
        <v>88400</v>
      </c>
      <c r="K3182" t="inlineStr">
        <is>
          <t>10/02/2023</t>
        </is>
      </c>
      <c r="L3182" t="inlineStr">
        <is>
          <t>Education</t>
        </is>
      </c>
      <c r="R3182" s="22"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2" t="n">
        <v>300000</v>
      </c>
      <c r="K3183" t="inlineStr">
        <is>
          <t>23/May/23</t>
        </is>
      </c>
      <c r="M3183" t="inlineStr">
        <is>
          <t>Education</t>
        </is>
      </c>
      <c r="R3183" s="22"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2" t="n">
        <v>300000</v>
      </c>
      <c r="K3184" t="inlineStr">
        <is>
          <t>07/Jun/23</t>
        </is>
      </c>
      <c r="M3184" t="inlineStr">
        <is>
          <t>Appuis divers</t>
        </is>
      </c>
      <c r="R3184" s="22"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2" t="n">
        <v>40000</v>
      </c>
      <c r="K3185" t="inlineStr">
        <is>
          <t>28/02/2023</t>
        </is>
      </c>
      <c r="L3185" t="inlineStr">
        <is>
          <t>Education</t>
        </is>
      </c>
      <c r="R3185" s="22"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2" t="n">
        <v>25000</v>
      </c>
      <c r="K3186" t="inlineStr">
        <is>
          <t>28/02/2023</t>
        </is>
      </c>
      <c r="L3186" t="inlineStr">
        <is>
          <t>Education</t>
        </is>
      </c>
      <c r="R3186" s="22"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2" t="n">
        <v>40000</v>
      </c>
      <c r="K3187" t="inlineStr">
        <is>
          <t>02/03/2023</t>
        </is>
      </c>
      <c r="L3187" t="inlineStr">
        <is>
          <t>Education</t>
        </is>
      </c>
      <c r="R3187" s="22"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2" t="n">
        <v>25000</v>
      </c>
      <c r="K3188" t="inlineStr">
        <is>
          <t>02/03/2023</t>
        </is>
      </c>
      <c r="L3188" t="inlineStr">
        <is>
          <t>Education</t>
        </is>
      </c>
      <c r="R3188" s="22"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2" t="n">
        <v>300000</v>
      </c>
      <c r="K3189" s="23" t="n">
        <v>45205</v>
      </c>
      <c r="M3189" t="inlineStr">
        <is>
          <t>Appuis divers</t>
        </is>
      </c>
      <c r="R3189" s="22"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2" t="n">
        <v>300000</v>
      </c>
      <c r="K3190" t="inlineStr">
        <is>
          <t>19/10/2023</t>
        </is>
      </c>
      <c r="L3190" t="inlineStr">
        <is>
          <t>Appuis divers</t>
        </is>
      </c>
      <c r="R3190" s="22"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2" t="n">
        <v>300000</v>
      </c>
      <c r="K3191" t="inlineStr">
        <is>
          <t>22/02/2023</t>
        </is>
      </c>
      <c r="L3191" t="inlineStr">
        <is>
          <t>Appuis divers</t>
        </is>
      </c>
      <c r="R3191" s="22"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2" t="n">
        <v>300000</v>
      </c>
      <c r="K3192" t="inlineStr">
        <is>
          <t>22/02/2023</t>
        </is>
      </c>
      <c r="L3192" t="inlineStr">
        <is>
          <t>Appuis divers</t>
        </is>
      </c>
      <c r="R3192" s="22"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2" t="n">
        <v>40000</v>
      </c>
      <c r="K3193" t="inlineStr">
        <is>
          <t>16/03/2023</t>
        </is>
      </c>
      <c r="L3193" t="inlineStr">
        <is>
          <t>Education</t>
        </is>
      </c>
      <c r="R3193" s="22"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2" t="n">
        <v>40000</v>
      </c>
      <c r="K3194" t="inlineStr">
        <is>
          <t>16/03/2023</t>
        </is>
      </c>
      <c r="L3194" t="inlineStr">
        <is>
          <t>Education</t>
        </is>
      </c>
      <c r="R3194" s="22"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2" t="n">
        <v>40000</v>
      </c>
      <c r="K3195" t="inlineStr">
        <is>
          <t>16/03/2023</t>
        </is>
      </c>
      <c r="L3195" t="inlineStr">
        <is>
          <t>Education</t>
        </is>
      </c>
      <c r="R3195" s="22"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2" t="n">
        <v>40000</v>
      </c>
      <c r="K3196" t="inlineStr">
        <is>
          <t>16/03/2023</t>
        </is>
      </c>
      <c r="L3196" t="inlineStr">
        <is>
          <t>Education</t>
        </is>
      </c>
      <c r="R3196" s="22"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2" t="n">
        <v>40000</v>
      </c>
      <c r="K3197" t="inlineStr">
        <is>
          <t>16/03/2023</t>
        </is>
      </c>
      <c r="L3197" t="inlineStr">
        <is>
          <t>Education</t>
        </is>
      </c>
      <c r="R3197" s="22"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2" t="n">
        <v>40000</v>
      </c>
      <c r="K3198" t="inlineStr">
        <is>
          <t>16/03/2023</t>
        </is>
      </c>
      <c r="L3198" t="inlineStr">
        <is>
          <t>Education</t>
        </is>
      </c>
      <c r="R3198" s="22"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2" t="n">
        <v>24000</v>
      </c>
      <c r="K3199" t="inlineStr">
        <is>
          <t>16/03/2023</t>
        </is>
      </c>
      <c r="L3199" t="inlineStr">
        <is>
          <t>Education</t>
        </is>
      </c>
      <c r="R3199" s="22"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2" t="n">
        <v>24000</v>
      </c>
      <c r="K3200" t="inlineStr">
        <is>
          <t>16/03/2023</t>
        </is>
      </c>
      <c r="L3200" t="inlineStr">
        <is>
          <t>Education</t>
        </is>
      </c>
      <c r="R3200" s="22"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2" t="n">
        <v>24000</v>
      </c>
      <c r="K3201" t="inlineStr">
        <is>
          <t>16/03/2023</t>
        </is>
      </c>
      <c r="L3201" t="inlineStr">
        <is>
          <t>Education</t>
        </is>
      </c>
      <c r="R3201" s="22"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2" t="n">
        <v>24000</v>
      </c>
      <c r="K3202" t="inlineStr">
        <is>
          <t>16/03/2023</t>
        </is>
      </c>
      <c r="L3202" t="inlineStr">
        <is>
          <t>Education</t>
        </is>
      </c>
      <c r="R3202" s="22"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2" t="n">
        <v>24000</v>
      </c>
      <c r="K3203" t="inlineStr">
        <is>
          <t>16/03/2023</t>
        </is>
      </c>
      <c r="L3203" t="inlineStr">
        <is>
          <t>Education</t>
        </is>
      </c>
      <c r="R3203" s="22"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2" t="n">
        <v>24000</v>
      </c>
      <c r="K3204" t="inlineStr">
        <is>
          <t>16/03/2023</t>
        </is>
      </c>
      <c r="L3204" t="inlineStr">
        <is>
          <t>Education</t>
        </is>
      </c>
      <c r="R3204" s="22"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2" t="n">
        <v>40000</v>
      </c>
      <c r="K3205" t="inlineStr">
        <is>
          <t>03/04/2023</t>
        </is>
      </c>
      <c r="L3205" t="inlineStr">
        <is>
          <t>Education</t>
        </is>
      </c>
      <c r="R3205" s="22"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2" t="n">
        <v>25000</v>
      </c>
      <c r="K3206" t="inlineStr">
        <is>
          <t>03/04/2023</t>
        </is>
      </c>
      <c r="L3206" t="inlineStr">
        <is>
          <t>Education</t>
        </is>
      </c>
      <c r="R3206" s="22"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2" t="n">
        <v>40000</v>
      </c>
      <c r="K3207" t="inlineStr">
        <is>
          <t>05/04/2023</t>
        </is>
      </c>
      <c r="L3207" t="inlineStr">
        <is>
          <t>Education</t>
        </is>
      </c>
      <c r="R3207" s="22"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2" t="n">
        <v>40000</v>
      </c>
      <c r="K3208" t="inlineStr">
        <is>
          <t>05/04/2023</t>
        </is>
      </c>
      <c r="L3208" t="inlineStr">
        <is>
          <t>Education</t>
        </is>
      </c>
      <c r="R3208" s="22"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2" t="n">
        <v>40000</v>
      </c>
      <c r="K3209" t="inlineStr">
        <is>
          <t>05/04/2023</t>
        </is>
      </c>
      <c r="L3209" t="inlineStr">
        <is>
          <t>Education</t>
        </is>
      </c>
      <c r="R3209" s="22"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2" t="n">
        <v>40000</v>
      </c>
      <c r="K3210" t="inlineStr">
        <is>
          <t>05/04/2023</t>
        </is>
      </c>
      <c r="L3210" t="inlineStr">
        <is>
          <t>Education</t>
        </is>
      </c>
      <c r="R3210" s="22"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2" t="n">
        <v>40000</v>
      </c>
      <c r="K3211" t="inlineStr">
        <is>
          <t>05/04/2023</t>
        </is>
      </c>
      <c r="L3211" t="inlineStr">
        <is>
          <t>Education</t>
        </is>
      </c>
      <c r="R3211" s="22"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2" t="n">
        <v>40000</v>
      </c>
      <c r="K3212" t="inlineStr">
        <is>
          <t>05/04/2023</t>
        </is>
      </c>
      <c r="L3212" t="inlineStr">
        <is>
          <t>Education</t>
        </is>
      </c>
      <c r="R3212" s="22"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2" t="n">
        <v>300000</v>
      </c>
      <c r="K3213" t="inlineStr">
        <is>
          <t>08/05/2023</t>
        </is>
      </c>
      <c r="L3213" t="inlineStr">
        <is>
          <t>Appuis divers</t>
        </is>
      </c>
      <c r="R3213" s="22"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2" t="n">
        <v>300000</v>
      </c>
      <c r="K3214" t="inlineStr">
        <is>
          <t>08/05/2023</t>
        </is>
      </c>
      <c r="L3214" t="inlineStr">
        <is>
          <t>Appuis divers</t>
        </is>
      </c>
      <c r="R3214" s="22"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2" t="n">
        <v>300000</v>
      </c>
      <c r="K3215" t="inlineStr">
        <is>
          <t>01/06/2023</t>
        </is>
      </c>
      <c r="L3215" t="inlineStr">
        <is>
          <t>Appuis divers</t>
        </is>
      </c>
      <c r="R3215" s="22"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2" t="n">
        <v>300000</v>
      </c>
      <c r="K3216" t="inlineStr">
        <is>
          <t>04/08/2023</t>
        </is>
      </c>
      <c r="L3216" t="inlineStr">
        <is>
          <t>Appuis divers</t>
        </is>
      </c>
      <c r="R3216" s="22"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2" t="n">
        <v>40000</v>
      </c>
      <c r="K3217" t="inlineStr">
        <is>
          <t>27/04/2023</t>
        </is>
      </c>
      <c r="L3217" t="inlineStr">
        <is>
          <t>Education</t>
        </is>
      </c>
      <c r="R3217" s="22"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2" t="n">
        <v>40000</v>
      </c>
      <c r="K3218" t="inlineStr">
        <is>
          <t>27/04/2023</t>
        </is>
      </c>
      <c r="L3218" t="inlineStr">
        <is>
          <t>Education</t>
        </is>
      </c>
      <c r="R3218" s="22"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2" t="n">
        <v>40000</v>
      </c>
      <c r="K3219" t="inlineStr">
        <is>
          <t>27/04/2023</t>
        </is>
      </c>
      <c r="L3219" t="inlineStr">
        <is>
          <t>Education</t>
        </is>
      </c>
      <c r="R3219" s="22"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2" t="n">
        <v>40000</v>
      </c>
      <c r="K3220" t="inlineStr">
        <is>
          <t>27/04/2023</t>
        </is>
      </c>
      <c r="L3220" t="inlineStr">
        <is>
          <t>Education</t>
        </is>
      </c>
      <c r="R3220" s="22"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2" t="n">
        <v>40000</v>
      </c>
      <c r="K3221" t="inlineStr">
        <is>
          <t>27/04/2023</t>
        </is>
      </c>
      <c r="L3221" t="inlineStr">
        <is>
          <t>Education</t>
        </is>
      </c>
      <c r="R3221" s="22"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2" t="n">
        <v>40000</v>
      </c>
      <c r="K3222" t="inlineStr">
        <is>
          <t>27/04/2023</t>
        </is>
      </c>
      <c r="L3222" t="inlineStr">
        <is>
          <t>Education</t>
        </is>
      </c>
      <c r="R3222" s="22"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2" t="n">
        <v>40000</v>
      </c>
      <c r="K3223" t="inlineStr">
        <is>
          <t>02/05/2023</t>
        </is>
      </c>
      <c r="L3223" t="inlineStr">
        <is>
          <t>Education</t>
        </is>
      </c>
      <c r="R3223" s="22"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2" t="n">
        <v>25000</v>
      </c>
      <c r="K3224" t="inlineStr">
        <is>
          <t>02/05/2023</t>
        </is>
      </c>
      <c r="L3224" t="inlineStr">
        <is>
          <t>Education</t>
        </is>
      </c>
      <c r="R3224" s="22"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2" t="n">
        <v>300000</v>
      </c>
      <c r="K3225" t="inlineStr">
        <is>
          <t>25/09/2023</t>
        </is>
      </c>
      <c r="L3225" t="inlineStr">
        <is>
          <t>Appuis divers</t>
        </is>
      </c>
      <c r="R3225" s="22"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2" t="n">
        <v>200000</v>
      </c>
      <c r="K3226" t="inlineStr">
        <is>
          <t>04/05/2023</t>
        </is>
      </c>
      <c r="L3226" t="inlineStr">
        <is>
          <t>Education</t>
        </is>
      </c>
      <c r="R3226" s="22"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2" t="n">
        <v>300000</v>
      </c>
      <c r="K3227" t="inlineStr">
        <is>
          <t>22/11/2023</t>
        </is>
      </c>
      <c r="L3227" t="inlineStr">
        <is>
          <t>Appuis divers</t>
        </is>
      </c>
      <c r="R3227" s="22"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2" t="n">
        <v>500000</v>
      </c>
      <c r="K3228" t="inlineStr">
        <is>
          <t>22/05/2023</t>
        </is>
      </c>
      <c r="L3228" t="inlineStr">
        <is>
          <t>Education</t>
        </is>
      </c>
      <c r="R3228" s="22"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2" t="n">
        <v>300000</v>
      </c>
      <c r="K3229" t="inlineStr">
        <is>
          <t>11/12/2023</t>
        </is>
      </c>
      <c r="L3229" t="inlineStr">
        <is>
          <t>Appuis divers</t>
        </is>
      </c>
      <c r="R3229" s="22"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2" t="n">
        <v>150000</v>
      </c>
      <c r="K3230" t="inlineStr">
        <is>
          <t>22/05/2023</t>
        </is>
      </c>
      <c r="L3230" t="inlineStr">
        <is>
          <t>Education</t>
        </is>
      </c>
      <c r="R3230" s="22"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2" t="n">
        <v>-500000</v>
      </c>
      <c r="K3231" t="inlineStr">
        <is>
          <t>22/05/2023</t>
        </is>
      </c>
      <c r="L3231" t="inlineStr">
        <is>
          <t>Education</t>
        </is>
      </c>
      <c r="R3231" s="22"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2" t="n">
        <v>40000</v>
      </c>
      <c r="K3232" t="inlineStr">
        <is>
          <t>02/06/2023</t>
        </is>
      </c>
      <c r="L3232" t="inlineStr">
        <is>
          <t>Education</t>
        </is>
      </c>
      <c r="R3232" s="22"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2" t="n">
        <v>40000</v>
      </c>
      <c r="K3233" t="inlineStr">
        <is>
          <t>02/06/2023</t>
        </is>
      </c>
      <c r="L3233" t="inlineStr">
        <is>
          <t>Education</t>
        </is>
      </c>
      <c r="R3233" s="22"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2" t="n">
        <v>40000</v>
      </c>
      <c r="K3234" t="inlineStr">
        <is>
          <t>02/06/2023</t>
        </is>
      </c>
      <c r="L3234" t="inlineStr">
        <is>
          <t>Education</t>
        </is>
      </c>
      <c r="R3234" s="22"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2" t="n">
        <v>40000</v>
      </c>
      <c r="K3235" t="inlineStr">
        <is>
          <t>02/06/2023</t>
        </is>
      </c>
      <c r="L3235" t="inlineStr">
        <is>
          <t>Education</t>
        </is>
      </c>
      <c r="R3235" s="22"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2" t="n">
        <v>40000</v>
      </c>
      <c r="K3236" t="inlineStr">
        <is>
          <t>02/06/2023</t>
        </is>
      </c>
      <c r="L3236" t="inlineStr">
        <is>
          <t>Education</t>
        </is>
      </c>
      <c r="R3236" s="22"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2" t="n">
        <v>40000</v>
      </c>
      <c r="K3237" t="inlineStr">
        <is>
          <t>02/06/2023</t>
        </is>
      </c>
      <c r="L3237" t="inlineStr">
        <is>
          <t>Education</t>
        </is>
      </c>
      <c r="R3237" s="22"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2" t="n">
        <v>250000</v>
      </c>
      <c r="K3238" t="inlineStr">
        <is>
          <t>16/06/2023</t>
        </is>
      </c>
      <c r="L3238" t="inlineStr">
        <is>
          <t>Education</t>
        </is>
      </c>
      <c r="R3238" s="22"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2" t="n">
        <v>100000</v>
      </c>
      <c r="K3239" t="inlineStr">
        <is>
          <t>23/06/2023</t>
        </is>
      </c>
      <c r="L3239" t="inlineStr">
        <is>
          <t>Education</t>
        </is>
      </c>
      <c r="R3239" s="22"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2" t="n">
        <v>250000</v>
      </c>
      <c r="K3240" t="inlineStr">
        <is>
          <t>27/06/2023</t>
        </is>
      </c>
      <c r="L3240" t="inlineStr">
        <is>
          <t>Education</t>
        </is>
      </c>
      <c r="R3240" s="22"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2" t="n">
        <v>200000</v>
      </c>
      <c r="K3241" t="inlineStr">
        <is>
          <t>27/06/2023</t>
        </is>
      </c>
      <c r="L3241" t="inlineStr">
        <is>
          <t>Education</t>
        </is>
      </c>
      <c r="R3241" s="22"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2" t="n">
        <v>40000</v>
      </c>
      <c r="K3242" t="inlineStr">
        <is>
          <t>03/07/2023</t>
        </is>
      </c>
      <c r="L3242" t="inlineStr">
        <is>
          <t>Education</t>
        </is>
      </c>
      <c r="R3242" s="22"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2" t="n">
        <v>40000</v>
      </c>
      <c r="K3243" t="inlineStr">
        <is>
          <t>03/07/2023</t>
        </is>
      </c>
      <c r="L3243" t="inlineStr">
        <is>
          <t>Education</t>
        </is>
      </c>
      <c r="R3243" s="22"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2" t="n">
        <v>40000</v>
      </c>
      <c r="K3244" t="inlineStr">
        <is>
          <t>03/07/2023</t>
        </is>
      </c>
      <c r="L3244" t="inlineStr">
        <is>
          <t>Education</t>
        </is>
      </c>
      <c r="R3244" s="22"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2" t="n">
        <v>40000</v>
      </c>
      <c r="K3245" t="inlineStr">
        <is>
          <t>03/07/2023</t>
        </is>
      </c>
      <c r="L3245" t="inlineStr">
        <is>
          <t>Education</t>
        </is>
      </c>
      <c r="R3245" s="22"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2" t="n">
        <v>40000</v>
      </c>
      <c r="K3246" t="inlineStr">
        <is>
          <t>03/07/2023</t>
        </is>
      </c>
      <c r="L3246" t="inlineStr">
        <is>
          <t>Education</t>
        </is>
      </c>
      <c r="R3246" s="22"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2" t="n">
        <v>40000</v>
      </c>
      <c r="K3247" t="inlineStr">
        <is>
          <t>03/07/2023</t>
        </is>
      </c>
      <c r="L3247" t="inlineStr">
        <is>
          <t>Education</t>
        </is>
      </c>
      <c r="R3247" s="22"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2" t="n">
        <v>200000</v>
      </c>
      <c r="K3248" t="inlineStr">
        <is>
          <t>06/07/2023</t>
        </is>
      </c>
      <c r="L3248" t="inlineStr">
        <is>
          <t>Education</t>
        </is>
      </c>
      <c r="R3248" s="22"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2" t="n">
        <v>300000</v>
      </c>
      <c r="K3249" t="inlineStr">
        <is>
          <t>06/07/2023</t>
        </is>
      </c>
      <c r="L3249" t="inlineStr">
        <is>
          <t>Education</t>
        </is>
      </c>
      <c r="R3249" s="22"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2" t="n">
        <v>25000</v>
      </c>
      <c r="K3250" t="inlineStr">
        <is>
          <t>27/07/2023</t>
        </is>
      </c>
      <c r="L3250" t="inlineStr">
        <is>
          <t>Education</t>
        </is>
      </c>
      <c r="R3250" s="22"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2" t="n">
        <v>25000</v>
      </c>
      <c r="K3251" t="inlineStr">
        <is>
          <t>27/07/2023</t>
        </is>
      </c>
      <c r="L3251" t="inlineStr">
        <is>
          <t>Education</t>
        </is>
      </c>
      <c r="R3251" s="22"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2" t="n">
        <v>240000</v>
      </c>
      <c r="K3252" t="inlineStr">
        <is>
          <t>27/07/2023</t>
        </is>
      </c>
      <c r="L3252" t="inlineStr">
        <is>
          <t>Education</t>
        </is>
      </c>
      <c r="R3252" s="22"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2" t="n">
        <v>25000</v>
      </c>
      <c r="K3253" t="inlineStr">
        <is>
          <t>02/08/2023</t>
        </is>
      </c>
      <c r="L3253" t="inlineStr">
        <is>
          <t>Education</t>
        </is>
      </c>
      <c r="R3253" s="22"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2" t="n">
        <v>25000</v>
      </c>
      <c r="K3254" t="inlineStr">
        <is>
          <t>02/08/2023</t>
        </is>
      </c>
      <c r="L3254" t="inlineStr">
        <is>
          <t>Education</t>
        </is>
      </c>
      <c r="R3254" s="22"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2" t="n">
        <v>160000</v>
      </c>
      <c r="K3255" t="inlineStr">
        <is>
          <t>10/08/2023</t>
        </is>
      </c>
      <c r="L3255" t="inlineStr">
        <is>
          <t>Education</t>
        </is>
      </c>
      <c r="R3255" s="22"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2" t="n">
        <v>240000</v>
      </c>
      <c r="K3256" t="inlineStr">
        <is>
          <t>01/09/2023</t>
        </is>
      </c>
      <c r="L3256" t="inlineStr">
        <is>
          <t>Education</t>
        </is>
      </c>
      <c r="R3256" s="22"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2" t="n">
        <v>723300</v>
      </c>
      <c r="K3257" t="inlineStr">
        <is>
          <t>07/09/2023</t>
        </is>
      </c>
      <c r="L3257" t="inlineStr">
        <is>
          <t>Education</t>
        </is>
      </c>
      <c r="R3257" s="22"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2" t="n">
        <v>40000</v>
      </c>
      <c r="K3258" t="inlineStr">
        <is>
          <t>12/09/2023</t>
        </is>
      </c>
      <c r="L3258" t="inlineStr">
        <is>
          <t>Education</t>
        </is>
      </c>
      <c r="R3258" s="22"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2" t="n">
        <v>25000</v>
      </c>
      <c r="K3259" t="inlineStr">
        <is>
          <t>12/09/2023</t>
        </is>
      </c>
      <c r="L3259" t="inlineStr">
        <is>
          <t>Education</t>
        </is>
      </c>
      <c r="R3259" s="22"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2" t="n">
        <v>70700</v>
      </c>
      <c r="K3260" t="inlineStr">
        <is>
          <t>15/09/2023</t>
        </is>
      </c>
      <c r="L3260" t="inlineStr">
        <is>
          <t>Education</t>
        </is>
      </c>
      <c r="R3260" s="22"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2" t="n">
        <v>240000</v>
      </c>
      <c r="K3261" t="inlineStr">
        <is>
          <t>04/10/2023</t>
        </is>
      </c>
      <c r="L3261" t="inlineStr">
        <is>
          <t>Education</t>
        </is>
      </c>
      <c r="R3261" s="22"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2" t="n">
        <v>25000</v>
      </c>
      <c r="K3262" t="inlineStr">
        <is>
          <t>04/10/2023</t>
        </is>
      </c>
      <c r="L3262" t="inlineStr">
        <is>
          <t>Education</t>
        </is>
      </c>
      <c r="R3262" s="22"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2" t="n">
        <v>40000</v>
      </c>
      <c r="K3263" t="inlineStr">
        <is>
          <t>04/10/2023</t>
        </is>
      </c>
      <c r="L3263" t="inlineStr">
        <is>
          <t>Education</t>
        </is>
      </c>
      <c r="R3263" s="22"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2" t="n">
        <v>240000</v>
      </c>
      <c r="K3264" t="inlineStr">
        <is>
          <t>31/10/2023</t>
        </is>
      </c>
      <c r="L3264" t="inlineStr">
        <is>
          <t>Education</t>
        </is>
      </c>
      <c r="R3264" s="22"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2" t="n">
        <v>28400</v>
      </c>
      <c r="K3265" t="inlineStr">
        <is>
          <t>31/10/2023</t>
        </is>
      </c>
      <c r="L3265" t="inlineStr">
        <is>
          <t>Education</t>
        </is>
      </c>
      <c r="R3265" s="22"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2" t="n">
        <v>5335316</v>
      </c>
      <c r="K3266" t="inlineStr">
        <is>
          <t>31/10/2023</t>
        </is>
      </c>
      <c r="L3266" t="inlineStr">
        <is>
          <t>Education</t>
        </is>
      </c>
      <c r="R3266" s="22"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2" t="n">
        <v>3394900</v>
      </c>
      <c r="K3267" t="inlineStr">
        <is>
          <t>31/10/2023</t>
        </is>
      </c>
      <c r="L3267" t="inlineStr">
        <is>
          <t>Education</t>
        </is>
      </c>
      <c r="R3267" s="22"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2" t="n">
        <v>4178193</v>
      </c>
      <c r="K3268" t="inlineStr">
        <is>
          <t>31/10/2023</t>
        </is>
      </c>
      <c r="L3268" t="inlineStr">
        <is>
          <t>Education</t>
        </is>
      </c>
      <c r="R3268" s="22"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2" t="n">
        <v>25000</v>
      </c>
      <c r="K3269" t="inlineStr">
        <is>
          <t>07/11/2023</t>
        </is>
      </c>
      <c r="L3269" t="inlineStr">
        <is>
          <t>Education</t>
        </is>
      </c>
      <c r="R3269" s="22"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2" t="n">
        <v>40000</v>
      </c>
      <c r="K3270" t="inlineStr">
        <is>
          <t>07/11/2023</t>
        </is>
      </c>
      <c r="L3270" t="inlineStr">
        <is>
          <t>Education</t>
        </is>
      </c>
      <c r="R3270" s="22"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2" t="n">
        <v>89900</v>
      </c>
      <c r="K3271" t="inlineStr">
        <is>
          <t>23/11/2023</t>
        </is>
      </c>
      <c r="L3271" t="inlineStr">
        <is>
          <t>Education</t>
        </is>
      </c>
      <c r="R3271" s="22"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2" t="n">
        <v>240000</v>
      </c>
      <c r="K3272" t="inlineStr">
        <is>
          <t>01/12/2023</t>
        </is>
      </c>
      <c r="L3272" t="inlineStr">
        <is>
          <t>Education</t>
        </is>
      </c>
      <c r="R3272" s="22"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2" t="n">
        <v>65000</v>
      </c>
      <c r="K3273" t="inlineStr">
        <is>
          <t>12/12/2023</t>
        </is>
      </c>
      <c r="L3273" t="inlineStr">
        <is>
          <t>Education</t>
        </is>
      </c>
      <c r="R3273" s="22"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2" t="n">
        <v>2545136</v>
      </c>
      <c r="K3274" t="inlineStr">
        <is>
          <t>31/12/2023</t>
        </is>
      </c>
      <c r="L3274" t="inlineStr">
        <is>
          <t>Education</t>
        </is>
      </c>
      <c r="R3274" s="22"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2" t="n">
        <v>2413477</v>
      </c>
      <c r="K3275" t="inlineStr">
        <is>
          <t>31/12/2023</t>
        </is>
      </c>
      <c r="L3275" t="inlineStr">
        <is>
          <t>Education</t>
        </is>
      </c>
      <c r="R3275" s="22"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2" t="n">
        <v>4818224</v>
      </c>
      <c r="K3276" t="inlineStr">
        <is>
          <t>31/12/2023</t>
        </is>
      </c>
      <c r="L3276" t="inlineStr">
        <is>
          <t>Education</t>
        </is>
      </c>
      <c r="R3276" s="22"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2" t="n">
        <v>2542503</v>
      </c>
      <c r="K3277" t="inlineStr">
        <is>
          <t>17/01/2023</t>
        </is>
      </c>
      <c r="L3277" t="inlineStr">
        <is>
          <t>Hydraulique</t>
        </is>
      </c>
      <c r="R3277" s="22"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2" t="n">
        <v>2831827</v>
      </c>
      <c r="K3278" t="inlineStr">
        <is>
          <t>17/01/2023</t>
        </is>
      </c>
      <c r="L3278" t="inlineStr">
        <is>
          <t>Hydraulique</t>
        </is>
      </c>
      <c r="R3278" s="22"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2" t="n">
        <v>-261136</v>
      </c>
      <c r="K3279" t="inlineStr">
        <is>
          <t>19/01/2023</t>
        </is>
      </c>
      <c r="L3279" t="inlineStr">
        <is>
          <t>Hydraulique</t>
        </is>
      </c>
      <c r="R3279" s="22"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2" t="n">
        <v>-290852</v>
      </c>
      <c r="K3280" t="inlineStr">
        <is>
          <t>19/01/2023</t>
        </is>
      </c>
      <c r="L3280" t="inlineStr">
        <is>
          <t>Hydraulique</t>
        </is>
      </c>
      <c r="R3280" s="22"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2" t="n">
        <v>-2831827</v>
      </c>
      <c r="K3281" t="inlineStr">
        <is>
          <t>31/01/2023</t>
        </is>
      </c>
      <c r="L3281" t="inlineStr">
        <is>
          <t>Hydraulique</t>
        </is>
      </c>
      <c r="R3281" s="22"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2" t="n">
        <v>290852</v>
      </c>
      <c r="K3282" t="inlineStr">
        <is>
          <t>31/01/2023</t>
        </is>
      </c>
      <c r="L3282" t="inlineStr">
        <is>
          <t>Hydraulique</t>
        </is>
      </c>
      <c r="R3282" s="22"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2" t="n">
        <v>261136</v>
      </c>
      <c r="K3283" t="inlineStr">
        <is>
          <t>31/01/2023</t>
        </is>
      </c>
      <c r="L3283" t="inlineStr">
        <is>
          <t>Hydraulique</t>
        </is>
      </c>
      <c r="R3283" s="22"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2" t="n">
        <v>-2542503</v>
      </c>
      <c r="K3284" t="inlineStr">
        <is>
          <t>31/01/2023</t>
        </is>
      </c>
      <c r="L3284" t="inlineStr">
        <is>
          <t>Hydraulique</t>
        </is>
      </c>
      <c r="R3284" s="22"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2" t="n">
        <v>2453996</v>
      </c>
      <c r="K3285" t="inlineStr">
        <is>
          <t>31/01/2023</t>
        </is>
      </c>
      <c r="L3285" t="inlineStr">
        <is>
          <t>Hydraulique</t>
        </is>
      </c>
      <c r="R3285" s="22"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2" t="n">
        <v>2734892</v>
      </c>
      <c r="K3286" t="inlineStr">
        <is>
          <t>16/02/2023</t>
        </is>
      </c>
      <c r="L3286" t="inlineStr">
        <is>
          <t>Hydraulique</t>
        </is>
      </c>
      <c r="R3286" s="22"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2" t="n">
        <v>-280896</v>
      </c>
      <c r="K3287" t="inlineStr">
        <is>
          <t>16/02/2023</t>
        </is>
      </c>
      <c r="L3287" t="inlineStr">
        <is>
          <t>Hydraulique</t>
        </is>
      </c>
      <c r="R3287" s="22"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2" t="n">
        <v>2380961</v>
      </c>
      <c r="K3288" t="inlineStr">
        <is>
          <t>28/02/2023</t>
        </is>
      </c>
      <c r="L3288" t="inlineStr">
        <is>
          <t>Hydraulique</t>
        </is>
      </c>
      <c r="R3288" s="22"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2" t="n">
        <v>280896</v>
      </c>
      <c r="K3289" t="inlineStr">
        <is>
          <t>28/02/2023</t>
        </is>
      </c>
      <c r="L3289" t="inlineStr">
        <is>
          <t>Hydraulique</t>
        </is>
      </c>
      <c r="R3289" s="22"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2" t="n">
        <v>-2734892</v>
      </c>
      <c r="K3290" t="inlineStr">
        <is>
          <t>28/02/2023</t>
        </is>
      </c>
      <c r="L3290" t="inlineStr">
        <is>
          <t>Hydraulique</t>
        </is>
      </c>
      <c r="R3290" s="22"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2" t="n">
        <v>-272536</v>
      </c>
      <c r="K3291" t="inlineStr">
        <is>
          <t>20/03/2023</t>
        </is>
      </c>
      <c r="L3291" t="inlineStr">
        <is>
          <t>Hydraulique</t>
        </is>
      </c>
      <c r="R3291" s="22"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2" t="n">
        <v>2653497</v>
      </c>
      <c r="K3292" t="inlineStr">
        <is>
          <t>20/03/2023</t>
        </is>
      </c>
      <c r="L3292" t="inlineStr">
        <is>
          <t>Hydraulique</t>
        </is>
      </c>
      <c r="R3292" s="22"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2" t="n">
        <v>2712941</v>
      </c>
      <c r="K3293" t="inlineStr">
        <is>
          <t>31/03/2023</t>
        </is>
      </c>
      <c r="L3293" t="inlineStr">
        <is>
          <t>Hydraulique</t>
        </is>
      </c>
      <c r="R3293" s="22"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2" t="n">
        <v>272536</v>
      </c>
      <c r="K3294" t="inlineStr">
        <is>
          <t>31/03/2023</t>
        </is>
      </c>
      <c r="L3294" t="inlineStr">
        <is>
          <t>Hydraulique</t>
        </is>
      </c>
      <c r="R3294" s="22"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2" t="n">
        <v>-2653497</v>
      </c>
      <c r="K3295" t="inlineStr">
        <is>
          <t>31/03/2023</t>
        </is>
      </c>
      <c r="L3295" t="inlineStr">
        <is>
          <t>Hydraulique</t>
        </is>
      </c>
      <c r="R3295" s="22"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2" t="n">
        <v>3023477</v>
      </c>
      <c r="K3296" t="inlineStr">
        <is>
          <t>15/04/2023</t>
        </is>
      </c>
      <c r="L3296" t="inlineStr">
        <is>
          <t>Hydraulique</t>
        </is>
      </c>
      <c r="R3296" s="22"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2" t="n">
        <v>-310536</v>
      </c>
      <c r="K3297" t="inlineStr">
        <is>
          <t>17/04/2023</t>
        </is>
      </c>
      <c r="L3297" t="inlineStr">
        <is>
          <t>Hydraulique</t>
        </is>
      </c>
      <c r="R3297" s="22"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2" t="n">
        <v>-303468</v>
      </c>
      <c r="K3298" t="inlineStr">
        <is>
          <t>22/05/2023</t>
        </is>
      </c>
      <c r="L3298" t="inlineStr">
        <is>
          <t>Hydraulique</t>
        </is>
      </c>
      <c r="R3298" s="22"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2" t="n">
        <v>2954660</v>
      </c>
      <c r="K3299" t="inlineStr">
        <is>
          <t>22/05/2023</t>
        </is>
      </c>
      <c r="L3299" t="inlineStr">
        <is>
          <t>Hydraulique</t>
        </is>
      </c>
      <c r="R3299" s="22"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2" t="n">
        <v>2862996</v>
      </c>
      <c r="K3300" t="inlineStr">
        <is>
          <t>31/05/2023</t>
        </is>
      </c>
      <c r="L3300" t="inlineStr">
        <is>
          <t>Hydraulique</t>
        </is>
      </c>
      <c r="R3300" s="22"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2" t="n">
        <v>-2954660</v>
      </c>
      <c r="K3301" t="inlineStr">
        <is>
          <t>31/05/2023</t>
        </is>
      </c>
      <c r="L3301" t="inlineStr">
        <is>
          <t>Hydraulique</t>
        </is>
      </c>
      <c r="R3301" s="22"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2" t="n">
        <v>3190708</v>
      </c>
      <c r="K3302" t="inlineStr">
        <is>
          <t>20/06/2023</t>
        </is>
      </c>
      <c r="L3302" t="inlineStr">
        <is>
          <t>Hydraulique</t>
        </is>
      </c>
      <c r="R3302" s="22"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2" t="n">
        <v>-327712</v>
      </c>
      <c r="K3303" t="inlineStr">
        <is>
          <t>20/06/2023</t>
        </is>
      </c>
      <c r="L3303" t="inlineStr">
        <is>
          <t>Hydraulique</t>
        </is>
      </c>
      <c r="R3303" s="22"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2" t="n">
        <v>2474579</v>
      </c>
      <c r="K3304" t="inlineStr">
        <is>
          <t>30/06/2023</t>
        </is>
      </c>
      <c r="L3304" t="inlineStr">
        <is>
          <t>Hydraulique</t>
        </is>
      </c>
      <c r="R3304" s="22"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2" t="n">
        <v>2757831</v>
      </c>
      <c r="K3305" t="inlineStr">
        <is>
          <t>11/07/2023</t>
        </is>
      </c>
      <c r="L3305" t="inlineStr">
        <is>
          <t>Hydraulique</t>
        </is>
      </c>
      <c r="R3305" s="22"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2" t="n">
        <v>-283252</v>
      </c>
      <c r="K3306" t="inlineStr">
        <is>
          <t>11/07/2023</t>
        </is>
      </c>
      <c r="L3306" t="inlineStr">
        <is>
          <t>Hydraulique</t>
        </is>
      </c>
      <c r="R3306" s="22"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2" t="n">
        <v>2531679</v>
      </c>
      <c r="K3307" t="inlineStr">
        <is>
          <t>31/07/2023</t>
        </is>
      </c>
      <c r="L3307" t="inlineStr">
        <is>
          <t>Hydraulique</t>
        </is>
      </c>
      <c r="R3307" s="22"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2" t="n">
        <v>2821467</v>
      </c>
      <c r="K3308" t="inlineStr">
        <is>
          <t>23/08/2023</t>
        </is>
      </c>
      <c r="L3308" t="inlineStr">
        <is>
          <t>Hydraulique</t>
        </is>
      </c>
      <c r="R3308" s="22"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2" t="n">
        <v>-289788</v>
      </c>
      <c r="K3309" t="inlineStr">
        <is>
          <t>23/08/2023</t>
        </is>
      </c>
      <c r="L3309" t="inlineStr">
        <is>
          <t>Hydraulique</t>
        </is>
      </c>
      <c r="R3309" s="22"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2" t="n">
        <v>-2531679</v>
      </c>
      <c r="K3310" t="inlineStr">
        <is>
          <t>31/08/2023</t>
        </is>
      </c>
      <c r="L3310" t="inlineStr">
        <is>
          <t>Hydraulique</t>
        </is>
      </c>
      <c r="R3310" s="22"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2" t="n">
        <v>2463292</v>
      </c>
      <c r="K3311" t="inlineStr">
        <is>
          <t>31/08/2023</t>
        </is>
      </c>
      <c r="L3311" t="inlineStr">
        <is>
          <t>Hydraulique</t>
        </is>
      </c>
      <c r="R3311" s="22"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2" t="n">
        <v>2745252</v>
      </c>
      <c r="K3312" t="inlineStr">
        <is>
          <t>30/09/2023</t>
        </is>
      </c>
      <c r="L3312" t="inlineStr">
        <is>
          <t>Hydraulique</t>
        </is>
      </c>
      <c r="R3312" s="22"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2" t="n">
        <v>-281960</v>
      </c>
      <c r="K3313" t="inlineStr">
        <is>
          <t>30/09/2023</t>
        </is>
      </c>
      <c r="L3313" t="inlineStr">
        <is>
          <t>Hydraulique</t>
        </is>
      </c>
      <c r="R3313" s="22"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2" t="n">
        <v>-2463292</v>
      </c>
      <c r="K3314" t="inlineStr">
        <is>
          <t>30/09/2023</t>
        </is>
      </c>
      <c r="L3314" t="inlineStr">
        <is>
          <t>Hydraulique</t>
        </is>
      </c>
      <c r="R3314" s="22"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2" t="n">
        <v>3615262</v>
      </c>
      <c r="K3315" t="inlineStr">
        <is>
          <t>30/09/2023</t>
        </is>
      </c>
      <c r="L3315" t="inlineStr">
        <is>
          <t>Hydraulique</t>
        </is>
      </c>
      <c r="R3315" s="22"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2" t="n">
        <v>-2474579</v>
      </c>
      <c r="K3316" t="inlineStr">
        <is>
          <t>30/09/2023</t>
        </is>
      </c>
      <c r="L3316" t="inlineStr">
        <is>
          <t>Hydraulique</t>
        </is>
      </c>
      <c r="R3316" s="22"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2" t="n">
        <v>-2862996</v>
      </c>
      <c r="K3317" t="inlineStr">
        <is>
          <t>30/09/2023</t>
        </is>
      </c>
      <c r="L3317" t="inlineStr">
        <is>
          <t>Hydraulique</t>
        </is>
      </c>
      <c r="R3317" s="22"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2" t="n">
        <v>-413820</v>
      </c>
      <c r="K3318" t="inlineStr">
        <is>
          <t>13/10/2023</t>
        </is>
      </c>
      <c r="L3318" t="inlineStr">
        <is>
          <t>Hydraulique</t>
        </is>
      </c>
      <c r="R3318" s="22"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2" t="n">
        <v>4029082</v>
      </c>
      <c r="K3319" t="inlineStr">
        <is>
          <t>13/10/2023</t>
        </is>
      </c>
      <c r="L3319" t="inlineStr">
        <is>
          <t>Hydraulique</t>
        </is>
      </c>
      <c r="R3319" s="22"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2" t="n">
        <v>3783908</v>
      </c>
      <c r="K3320" t="inlineStr">
        <is>
          <t>31/10/2023</t>
        </is>
      </c>
      <c r="L3320" t="inlineStr">
        <is>
          <t>Hydraulique</t>
        </is>
      </c>
      <c r="R3320" s="22"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2" t="n">
        <v>-3615262</v>
      </c>
      <c r="K3321" t="inlineStr">
        <is>
          <t>31/10/2023</t>
        </is>
      </c>
      <c r="L3321" t="inlineStr">
        <is>
          <t>Hydraulique</t>
        </is>
      </c>
      <c r="R3321" s="22"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2" t="n">
        <v>-433124</v>
      </c>
      <c r="K3322" t="inlineStr">
        <is>
          <t>15/11/2023</t>
        </is>
      </c>
      <c r="L3322" t="inlineStr">
        <is>
          <t>Hydraulique</t>
        </is>
      </c>
      <c r="R3322" s="22"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2" t="n">
        <v>4217032</v>
      </c>
      <c r="K3323" t="inlineStr">
        <is>
          <t>15/11/2023</t>
        </is>
      </c>
      <c r="L3323" t="inlineStr">
        <is>
          <t>Hydraulique</t>
        </is>
      </c>
      <c r="R3323" s="22"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2" t="n">
        <v>3823082</v>
      </c>
      <c r="K3324" t="inlineStr">
        <is>
          <t>30/11/2023</t>
        </is>
      </c>
      <c r="L3324" t="inlineStr">
        <is>
          <t>Hydraulique</t>
        </is>
      </c>
      <c r="R3324" s="22"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2" t="n">
        <v>-3783908</v>
      </c>
      <c r="K3325" t="inlineStr">
        <is>
          <t>30/11/2023</t>
        </is>
      </c>
      <c r="L3325" t="inlineStr">
        <is>
          <t>Hydraulique</t>
        </is>
      </c>
      <c r="R3325" s="22"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2" t="n">
        <v>-437608</v>
      </c>
      <c r="K3326" t="inlineStr">
        <is>
          <t>14/12/2023</t>
        </is>
      </c>
      <c r="L3326" t="inlineStr">
        <is>
          <t>Hydraulique</t>
        </is>
      </c>
      <c r="R3326" s="22"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2" t="n">
        <v>4260690</v>
      </c>
      <c r="K3327" t="inlineStr">
        <is>
          <t>14/12/2023</t>
        </is>
      </c>
      <c r="L3327" t="inlineStr">
        <is>
          <t>Hydraulique</t>
        </is>
      </c>
      <c r="R3327" s="22"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2" t="n">
        <v>3843664</v>
      </c>
      <c r="K3328" t="inlineStr">
        <is>
          <t>31/12/2023</t>
        </is>
      </c>
      <c r="L3328" t="inlineStr">
        <is>
          <t>Hydraulique</t>
        </is>
      </c>
      <c r="R3328" s="22"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2" t="n">
        <v>-3823082</v>
      </c>
      <c r="K3329" t="inlineStr">
        <is>
          <t>31/12/2023</t>
        </is>
      </c>
      <c r="L3329" t="inlineStr">
        <is>
          <t>Hydraulique</t>
        </is>
      </c>
      <c r="R3329" s="22"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2" t="n">
        <v>795151</v>
      </c>
      <c r="K3330" t="inlineStr">
        <is>
          <t>31/12/2023</t>
        </is>
      </c>
      <c r="L3330" t="inlineStr">
        <is>
          <t>Hydraulique</t>
        </is>
      </c>
      <c r="R3330" s="22"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2" t="n">
        <v>300000</v>
      </c>
      <c r="K3331" s="23" t="n">
        <v>44621</v>
      </c>
      <c r="L3331" t="inlineStr">
        <is>
          <t>SF General</t>
        </is>
      </c>
      <c r="R3331" s="22"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2" t="n">
        <v>9999921</v>
      </c>
      <c r="K3332" t="inlineStr">
        <is>
          <t>14/04/2023</t>
        </is>
      </c>
      <c r="L3332" t="inlineStr">
        <is>
          <t>SANTE</t>
        </is>
      </c>
      <c r="R3332" s="22"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2" t="n">
        <v>2000162</v>
      </c>
      <c r="K3333" t="inlineStr">
        <is>
          <t>17/04/2023</t>
        </is>
      </c>
      <c r="L3333" t="inlineStr">
        <is>
          <t>SANTE</t>
        </is>
      </c>
      <c r="R3333" s="22"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2" t="n">
        <v>300000</v>
      </c>
      <c r="O3334" t="inlineStr">
        <is>
          <t>SF General</t>
        </is>
      </c>
      <c r="P3334" t="inlineStr">
        <is>
          <t>Obligation de développement social: art.15 de l'avenant 1 à la convention minière de Sabodala du 23 mars 2005</t>
        </is>
      </c>
      <c r="R3334" s="22"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2" t="n">
        <v>300000</v>
      </c>
      <c r="K3335" s="23" t="n">
        <v>44457</v>
      </c>
      <c r="L3335" t="inlineStr">
        <is>
          <t>Appuis divers</t>
        </is>
      </c>
      <c r="M3335" t="inlineStr">
        <is>
          <t>N/A</t>
        </is>
      </c>
      <c r="N3335" t="inlineStr">
        <is>
          <t>N/A</t>
        </is>
      </c>
      <c r="O3335" t="inlineStr">
        <is>
          <t>N/A</t>
        </is>
      </c>
      <c r="P3335" t="inlineStr">
        <is>
          <t>Nc</t>
        </is>
      </c>
      <c r="R3335" s="22"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2" t="n">
        <v>300000</v>
      </c>
      <c r="K3336" s="23" t="n">
        <v>44522</v>
      </c>
      <c r="L3336" t="inlineStr">
        <is>
          <t>Appuis divers</t>
        </is>
      </c>
      <c r="M3336" t="inlineStr">
        <is>
          <t>N/A</t>
        </is>
      </c>
      <c r="N3336" t="inlineStr">
        <is>
          <t>N/A</t>
        </is>
      </c>
      <c r="O3336" t="inlineStr">
        <is>
          <t>N/A</t>
        </is>
      </c>
      <c r="P3336" t="inlineStr">
        <is>
          <t>Nc</t>
        </is>
      </c>
      <c r="R3336" s="22"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2" t="n">
        <v>300000</v>
      </c>
      <c r="K3337" t="inlineStr">
        <is>
          <t>Nc</t>
        </is>
      </c>
      <c r="L3337" t="inlineStr">
        <is>
          <t>APPUIS DIVERS</t>
        </is>
      </c>
      <c r="M3337" t="inlineStr">
        <is>
          <t>N/A</t>
        </is>
      </c>
      <c r="N3337" t="inlineStr">
        <is>
          <t>N/A</t>
        </is>
      </c>
      <c r="O3337" t="inlineStr">
        <is>
          <t>N/A</t>
        </is>
      </c>
      <c r="P3337" t="inlineStr">
        <is>
          <t>Nc</t>
        </is>
      </c>
      <c r="R3337" s="22"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2" t="n">
        <v>300000</v>
      </c>
      <c r="K3338" t="inlineStr">
        <is>
          <t>Nc</t>
        </is>
      </c>
      <c r="L3338" t="inlineStr">
        <is>
          <t>APPUIS DIVERS</t>
        </is>
      </c>
      <c r="M3338" t="inlineStr">
        <is>
          <t>N/A</t>
        </is>
      </c>
      <c r="N3338" t="inlineStr">
        <is>
          <t>N/A</t>
        </is>
      </c>
      <c r="O3338" t="inlineStr">
        <is>
          <t>N/A</t>
        </is>
      </c>
      <c r="P3338" t="inlineStr">
        <is>
          <t>Nc</t>
        </is>
      </c>
      <c r="R3338" s="22"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2"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2"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2"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2" t="n">
        <v>80000</v>
      </c>
      <c r="K3342" t="inlineStr">
        <is>
          <t>31/12/2023</t>
        </is>
      </c>
      <c r="L3342" t="inlineStr">
        <is>
          <t>SANTE</t>
        </is>
      </c>
      <c r="R3342" s="22"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2" t="n">
        <v>5741800</v>
      </c>
      <c r="K3343" t="inlineStr">
        <is>
          <t>31/12/2023</t>
        </is>
      </c>
      <c r="L3343" t="inlineStr">
        <is>
          <t>SANTE</t>
        </is>
      </c>
      <c r="R3343" s="22"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2" t="n">
        <v>44137</v>
      </c>
      <c r="K3344" t="inlineStr">
        <is>
          <t>Donation</t>
        </is>
      </c>
      <c r="L3344" t="inlineStr">
        <is>
          <t>Donation</t>
        </is>
      </c>
      <c r="M3344" t="inlineStr">
        <is>
          <t>Néant</t>
        </is>
      </c>
      <c r="N3344" t="inlineStr">
        <is>
          <t>Néant</t>
        </is>
      </c>
      <c r="O3344" t="inlineStr">
        <is>
          <t>NC</t>
        </is>
      </c>
      <c r="R3344" s="22"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2" t="n">
        <v>43924</v>
      </c>
      <c r="K3345" t="inlineStr">
        <is>
          <t>APPUI DIVERS</t>
        </is>
      </c>
      <c r="L3345" t="inlineStr">
        <is>
          <t>PRESENTATION CONDOLEANCES DIOGO</t>
        </is>
      </c>
      <c r="M3345" t="inlineStr">
        <is>
          <t xml:space="preserve">Néant </t>
        </is>
      </c>
      <c r="N3345" t="inlineStr">
        <is>
          <t xml:space="preserve">Néant </t>
        </is>
      </c>
      <c r="O3345" t="inlineStr">
        <is>
          <t>NC</t>
        </is>
      </c>
      <c r="R3345" s="22"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2"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2"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2" t="n">
        <v>40000</v>
      </c>
      <c r="K3347" t="inlineStr">
        <is>
          <t>07/02/2023</t>
        </is>
      </c>
      <c r="L3347" t="inlineStr">
        <is>
          <t>Education</t>
        </is>
      </c>
      <c r="R3347" s="22"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2" t="n">
        <v>25000</v>
      </c>
      <c r="K3348" t="inlineStr">
        <is>
          <t>07/02/2023</t>
        </is>
      </c>
      <c r="L3348" t="inlineStr">
        <is>
          <t>Education</t>
        </is>
      </c>
      <c r="R3348" s="22"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2"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2"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2" t="n">
        <v>44165</v>
      </c>
      <c r="K3350" t="inlineStr">
        <is>
          <t>NC</t>
        </is>
      </c>
      <c r="L3350" t="inlineStr">
        <is>
          <t>NC</t>
        </is>
      </c>
      <c r="M3350" t="inlineStr">
        <is>
          <t xml:space="preserve">Néant </t>
        </is>
      </c>
      <c r="N3350" t="inlineStr">
        <is>
          <t xml:space="preserve">Néant </t>
        </is>
      </c>
      <c r="O3350" t="inlineStr">
        <is>
          <t>NC</t>
        </is>
      </c>
      <c r="R3350" s="22"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2" t="n">
        <v>299997.93</v>
      </c>
      <c r="K3351" s="23"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2"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2" t="n">
        <v>289890</v>
      </c>
      <c r="K3352" s="23" t="n">
        <v>45218</v>
      </c>
      <c r="L3352" t="inlineStr">
        <is>
          <t>Donation</t>
        </is>
      </c>
      <c r="M3352" t="inlineStr">
        <is>
          <t>NA</t>
        </is>
      </c>
      <c r="N3352" t="inlineStr">
        <is>
          <t>NA</t>
        </is>
      </c>
      <c r="O3352" t="inlineStr">
        <is>
          <t>NA</t>
        </is>
      </c>
      <c r="P3352" t="inlineStr">
        <is>
          <t>NA</t>
        </is>
      </c>
      <c r="Q3352" t="inlineStr">
        <is>
          <t>NA</t>
        </is>
      </c>
      <c r="R3352" s="22"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2" t="n">
        <v>284500</v>
      </c>
      <c r="K3353" t="inlineStr">
        <is>
          <t>10/08/2023</t>
        </is>
      </c>
      <c r="L3353" t="inlineStr">
        <is>
          <t>Appuis divers</t>
        </is>
      </c>
      <c r="R3353" s="22"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2" t="n">
        <v>284000</v>
      </c>
      <c r="K3354" t="inlineStr">
        <is>
          <t>23/08/2023</t>
        </is>
      </c>
      <c r="L3354" t="inlineStr">
        <is>
          <t>Appuis divers</t>
        </is>
      </c>
      <c r="R3354" s="22"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2" t="n">
        <v>425000</v>
      </c>
      <c r="K3355" t="inlineStr">
        <is>
          <t>28/02/2023</t>
        </is>
      </c>
      <c r="L3355" t="inlineStr">
        <is>
          <t>SANTE</t>
        </is>
      </c>
      <c r="R3355" s="22"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2" t="n">
        <v>90000</v>
      </c>
      <c r="K3356" t="inlineStr">
        <is>
          <t>28/02/2023</t>
        </is>
      </c>
      <c r="L3356" t="inlineStr">
        <is>
          <t>SANTE</t>
        </is>
      </c>
      <c r="R3356" s="22"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2" t="n">
        <v>230000</v>
      </c>
      <c r="K3357" t="inlineStr">
        <is>
          <t>28/02/2023</t>
        </is>
      </c>
      <c r="L3357" t="inlineStr">
        <is>
          <t>SANTE</t>
        </is>
      </c>
      <c r="R3357" s="22"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2" t="n">
        <v>-25000</v>
      </c>
      <c r="K3358" t="inlineStr">
        <is>
          <t>28/02/2023</t>
        </is>
      </c>
      <c r="L3358" t="inlineStr">
        <is>
          <t>Education</t>
        </is>
      </c>
      <c r="R3358" s="22"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2" t="n">
        <v>-40000</v>
      </c>
      <c r="K3359" t="inlineStr">
        <is>
          <t>28/02/2023</t>
        </is>
      </c>
      <c r="L3359" t="inlineStr">
        <is>
          <t>Education</t>
        </is>
      </c>
      <c r="R3359" s="22"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2" t="n">
        <v>280000</v>
      </c>
      <c r="K3360" s="23" t="n">
        <v>44994</v>
      </c>
      <c r="M3360" t="inlineStr">
        <is>
          <t>Appuis divers</t>
        </is>
      </c>
      <c r="R3360" s="22"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2" t="n">
        <v>94000</v>
      </c>
      <c r="K3361" t="inlineStr">
        <is>
          <t>03/03/2023</t>
        </is>
      </c>
      <c r="L3361" t="inlineStr">
        <is>
          <t>SANTE</t>
        </is>
      </c>
      <c r="R3361" s="22"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2" t="n">
        <v>365500</v>
      </c>
      <c r="K3362" t="inlineStr">
        <is>
          <t>03/03/2023</t>
        </is>
      </c>
      <c r="L3362" t="inlineStr">
        <is>
          <t>SANTE</t>
        </is>
      </c>
      <c r="R3362" s="22"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2" t="n">
        <v>280000</v>
      </c>
      <c r="K3363" t="inlineStr">
        <is>
          <t>27/10/2023</t>
        </is>
      </c>
      <c r="L3363" t="inlineStr">
        <is>
          <t>Appuis divers</t>
        </is>
      </c>
      <c r="R3363" s="22"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2" t="n">
        <v>276192.78</v>
      </c>
      <c r="K3364" s="23" t="n">
        <v>44676</v>
      </c>
      <c r="L3364" t="inlineStr">
        <is>
          <t>SF General</t>
        </is>
      </c>
      <c r="R3364" s="22"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2" t="n">
        <v>275002.6</v>
      </c>
      <c r="O3365" t="inlineStr">
        <is>
          <t>SF General</t>
        </is>
      </c>
      <c r="P3365" t="inlineStr">
        <is>
          <t>Obligation de développement social: art.15 de l'avenant 1 à la convention minière de Sabodala du 23 mars 2005</t>
        </is>
      </c>
      <c r="R3365" s="22"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2" t="n">
        <v>44165</v>
      </c>
      <c r="K3366" t="inlineStr">
        <is>
          <t>NC</t>
        </is>
      </c>
      <c r="L3366" t="inlineStr">
        <is>
          <t>NC</t>
        </is>
      </c>
      <c r="M3366" t="inlineStr">
        <is>
          <t xml:space="preserve">Néant </t>
        </is>
      </c>
      <c r="N3366" t="inlineStr">
        <is>
          <t xml:space="preserve">Néant </t>
        </is>
      </c>
      <c r="O3366" t="inlineStr">
        <is>
          <t>NC</t>
        </is>
      </c>
      <c r="R3366" s="22"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2" t="n">
        <v>270000.19</v>
      </c>
      <c r="K3367" s="23"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2"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2" t="n">
        <v>270000</v>
      </c>
      <c r="K3368" s="23" t="n">
        <v>44924</v>
      </c>
      <c r="R3368" s="22"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2" t="n">
        <v>270000</v>
      </c>
      <c r="K3369" t="inlineStr">
        <is>
          <t>31/03/2023</t>
        </is>
      </c>
      <c r="L3369" t="inlineStr">
        <is>
          <t>Appuis divers</t>
        </is>
      </c>
      <c r="R3369" s="22"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2" t="n">
        <v>269999.53</v>
      </c>
      <c r="K3370" s="23" t="n">
        <v>44992</v>
      </c>
      <c r="L3370" t="inlineStr">
        <is>
          <t>Appui divers</t>
        </is>
      </c>
      <c r="M3370" t="inlineStr">
        <is>
          <t>N/A</t>
        </is>
      </c>
      <c r="N3370" t="inlineStr">
        <is>
          <t>N/A</t>
        </is>
      </c>
      <c r="O3370" t="inlineStr">
        <is>
          <t>N/A</t>
        </is>
      </c>
      <c r="R3370" s="22"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2" t="n">
        <v>267400</v>
      </c>
      <c r="K3371" t="inlineStr">
        <is>
          <t>28/12/2023</t>
        </is>
      </c>
      <c r="L3371" t="inlineStr">
        <is>
          <t>Appuis divers</t>
        </is>
      </c>
      <c r="R3371" s="22"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2" t="n">
        <v>264001.38</v>
      </c>
      <c r="K3372" s="23" t="n">
        <v>44599</v>
      </c>
      <c r="L3372" t="inlineStr">
        <is>
          <t>SF Fond Gora &amp; General</t>
        </is>
      </c>
      <c r="R3372" s="22"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2" t="n">
        <v>259292</v>
      </c>
      <c r="K3373" t="inlineStr">
        <is>
          <t>14/03/2023</t>
        </is>
      </c>
      <c r="L3373" t="inlineStr">
        <is>
          <t>SANTE</t>
        </is>
      </c>
      <c r="R3373" s="22"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2" t="n">
        <v>-259292</v>
      </c>
      <c r="K3374" t="inlineStr">
        <is>
          <t>14/03/2023</t>
        </is>
      </c>
      <c r="L3374" t="inlineStr">
        <is>
          <t>SANTE</t>
        </is>
      </c>
      <c r="R3374" s="22"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2" t="n">
        <v>263998.36</v>
      </c>
      <c r="K3375" s="23" t="n">
        <v>44659</v>
      </c>
      <c r="L3375" t="inlineStr">
        <is>
          <t>SF Fond Gora &amp; General</t>
        </is>
      </c>
      <c r="R3375" s="22"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2" t="n">
        <v>262190.59613782</v>
      </c>
      <c r="K3376" s="23" t="n">
        <v>45349</v>
      </c>
      <c r="M3376" t="inlineStr">
        <is>
          <t>Fourniture de Chaises visiteurs en plastiques de bonne quali</t>
        </is>
      </c>
      <c r="P3376" t="inlineStr">
        <is>
          <t>Convention minère et Code minier (Fond Social et Fond d'appui au developpement local)</t>
        </is>
      </c>
      <c r="R3376" s="22"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2"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2"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2" t="n">
        <v>252000</v>
      </c>
      <c r="K3379" s="23" t="n">
        <v>45534</v>
      </c>
      <c r="L3379" t="inlineStr">
        <is>
          <t>APPUIS DIVERS</t>
        </is>
      </c>
      <c r="R3379" s="22"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2" t="n">
        <v>250500</v>
      </c>
      <c r="K3380" t="inlineStr">
        <is>
          <t>28/12/2023</t>
        </is>
      </c>
      <c r="L3380" t="inlineStr">
        <is>
          <t>Appuis divers</t>
        </is>
      </c>
      <c r="R3380" s="22"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2" t="n">
        <v>250150</v>
      </c>
      <c r="K3381" s="23"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2"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2" t="n">
        <v>250150</v>
      </c>
      <c r="K3382" s="23"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2"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2" t="n">
        <v>250150</v>
      </c>
      <c r="K3383" s="23"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2"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2" t="n">
        <v>250150</v>
      </c>
      <c r="K3384" s="23"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2"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2" t="n">
        <v>250150</v>
      </c>
      <c r="K3385" s="23"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2"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2" t="n">
        <v>250150</v>
      </c>
      <c r="K3386" s="23"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2"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2" t="n">
        <v>250150</v>
      </c>
      <c r="K3387" s="23"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2"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2" t="n">
        <v>250150</v>
      </c>
      <c r="K3388" s="23"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2"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2" t="n">
        <v>250150</v>
      </c>
      <c r="K3389" s="23"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2"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2" t="n">
        <v>250150</v>
      </c>
      <c r="K3390" s="23"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2"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2" t="n">
        <v>250150</v>
      </c>
      <c r="K3391" s="23"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2"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2" t="n">
        <v>250150</v>
      </c>
      <c r="K3392" s="23"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2"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2" t="n">
        <v>250150</v>
      </c>
      <c r="K3393" s="23"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2"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2" t="n">
        <v>250150</v>
      </c>
      <c r="K3394" s="23"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2"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2" t="n">
        <v>60000</v>
      </c>
      <c r="K3395" t="inlineStr">
        <is>
          <t>24/04/2023</t>
        </is>
      </c>
      <c r="L3395" t="inlineStr">
        <is>
          <t>SANTE</t>
        </is>
      </c>
      <c r="R3395" s="22"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2" t="n">
        <v>250150</v>
      </c>
      <c r="K3396" s="23"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2"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2" t="n">
        <v>250150</v>
      </c>
      <c r="K3397" s="23"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2"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2" t="n">
        <v>250150</v>
      </c>
      <c r="K3398" s="23"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2"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2" t="n">
        <v>500000</v>
      </c>
      <c r="K3399" t="inlineStr">
        <is>
          <t>04/05/2023</t>
        </is>
      </c>
      <c r="L3399" t="inlineStr">
        <is>
          <t>SANTE</t>
        </is>
      </c>
      <c r="R3399" s="22"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2" t="n">
        <v>250150</v>
      </c>
      <c r="K3400" s="23"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2"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2" t="n">
        <v>250150</v>
      </c>
      <c r="K3401" s="23"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2"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2" t="n">
        <v>250150</v>
      </c>
      <c r="K3402" s="23"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2"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2" t="n">
        <v>250002.89</v>
      </c>
      <c r="O3403" t="inlineStr">
        <is>
          <t>SF General</t>
        </is>
      </c>
      <c r="P3403" t="inlineStr">
        <is>
          <t>Obligation de développement social: art.15 de l'avenant 1 à la convention minière de Sabodala du 23 mars 2005</t>
        </is>
      </c>
      <c r="R3403" s="22"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2" t="n">
        <v>250002.23</v>
      </c>
      <c r="K3404" s="23"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2"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2" t="n">
        <v>250000</v>
      </c>
      <c r="K3405" s="23" t="n">
        <v>45414</v>
      </c>
      <c r="R3405" s="22"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2" t="n">
        <v>250000</v>
      </c>
      <c r="K3406" s="23" t="n">
        <v>45455</v>
      </c>
      <c r="R3406" s="22"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2" t="n">
        <v>60000</v>
      </c>
      <c r="K3407" t="inlineStr">
        <is>
          <t>22/05/2023</t>
        </is>
      </c>
      <c r="L3407" t="inlineStr">
        <is>
          <t>SPORTS</t>
        </is>
      </c>
      <c r="R3407" s="22"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2" t="n">
        <v>100000</v>
      </c>
      <c r="K3408" t="inlineStr">
        <is>
          <t>22/05/2023</t>
        </is>
      </c>
      <c r="L3408" t="inlineStr">
        <is>
          <t>SPORTS</t>
        </is>
      </c>
      <c r="R3408" s="22"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2" t="n">
        <v>250000</v>
      </c>
      <c r="K3409" t="inlineStr">
        <is>
          <t>2024-05-31</t>
        </is>
      </c>
      <c r="L3409" t="inlineStr">
        <is>
          <t>Appuis divers</t>
        </is>
      </c>
      <c r="R3409" s="22"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2" t="n">
        <v>250000</v>
      </c>
      <c r="K3410" t="inlineStr">
        <is>
          <t>22/05/2023</t>
        </is>
      </c>
      <c r="L3410" t="inlineStr">
        <is>
          <t>SPORTS</t>
        </is>
      </c>
      <c r="R3410" s="22"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2" t="n">
        <v>250000</v>
      </c>
      <c r="K3411" t="inlineStr">
        <is>
          <t>2024-05-31</t>
        </is>
      </c>
      <c r="L3411" t="inlineStr">
        <is>
          <t>Appuis divers</t>
        </is>
      </c>
      <c r="R3411" s="22"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2" t="n">
        <v>40000</v>
      </c>
      <c r="K3412" t="inlineStr">
        <is>
          <t>22/05/2023</t>
        </is>
      </c>
      <c r="L3412" t="inlineStr">
        <is>
          <t>SPORTS</t>
        </is>
      </c>
      <c r="R3412" s="22"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2" t="n">
        <v>250000</v>
      </c>
      <c r="K3413" s="23" t="n">
        <v>45636</v>
      </c>
      <c r="L3413" t="inlineStr">
        <is>
          <t>SUBENVTIONS</t>
        </is>
      </c>
      <c r="R3413" s="22"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2" t="n">
        <v>403000</v>
      </c>
      <c r="K3414" t="inlineStr">
        <is>
          <t>23/05/2023</t>
        </is>
      </c>
      <c r="L3414" t="inlineStr">
        <is>
          <t>SPORTS</t>
        </is>
      </c>
      <c r="R3414" s="22"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2" t="n">
        <v>250000</v>
      </c>
      <c r="K3415" t="inlineStr">
        <is>
          <t>08/03/2023</t>
        </is>
      </c>
      <c r="L3415" t="inlineStr">
        <is>
          <t>Appuis divers</t>
        </is>
      </c>
      <c r="R3415" s="22"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2" t="n">
        <v>250000</v>
      </c>
      <c r="K3416" t="inlineStr">
        <is>
          <t>22/05/2023</t>
        </is>
      </c>
      <c r="L3416" t="inlineStr">
        <is>
          <t>Appuis divers</t>
        </is>
      </c>
      <c r="R3416" s="22"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2" t="n">
        <v>250000</v>
      </c>
      <c r="K3417" t="inlineStr">
        <is>
          <t>08/03/2023</t>
        </is>
      </c>
      <c r="L3417" t="inlineStr">
        <is>
          <t>Appuis divers</t>
        </is>
      </c>
      <c r="R3417" s="22"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2" t="n">
        <v>250000</v>
      </c>
      <c r="K3418" t="inlineStr">
        <is>
          <t>08/03/2023</t>
        </is>
      </c>
      <c r="L3418" t="inlineStr">
        <is>
          <t>Appuis divers</t>
        </is>
      </c>
      <c r="R3418" s="22"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2" t="n">
        <v>250000</v>
      </c>
      <c r="K3419" t="inlineStr">
        <is>
          <t>04/05/2023</t>
        </is>
      </c>
      <c r="L3419" t="inlineStr">
        <is>
          <t>Appuis divers</t>
        </is>
      </c>
      <c r="R3419" s="22"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2" t="n">
        <v>250000</v>
      </c>
      <c r="L3420" t="inlineStr">
        <is>
          <t>APPUIS DIVERS</t>
        </is>
      </c>
      <c r="R3420" s="22"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2" t="n">
        <v>250000</v>
      </c>
      <c r="L3421" t="inlineStr">
        <is>
          <t>APPUIS DIVERS</t>
        </is>
      </c>
      <c r="R3421" s="22"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2" t="n">
        <v>250000</v>
      </c>
      <c r="L3422" t="inlineStr">
        <is>
          <t>APPUIS DIVERS</t>
        </is>
      </c>
      <c r="R3422" s="22"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2" t="n">
        <v>250000</v>
      </c>
      <c r="L3423" t="inlineStr">
        <is>
          <t>APPUIS DIVERS</t>
        </is>
      </c>
      <c r="R3423" s="22"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2" t="n">
        <v>40000</v>
      </c>
      <c r="K3424" t="inlineStr">
        <is>
          <t>14/06/2023</t>
        </is>
      </c>
      <c r="L3424" t="inlineStr">
        <is>
          <t>SANTE</t>
        </is>
      </c>
      <c r="R3424" s="22"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2" t="n">
        <v>150000</v>
      </c>
      <c r="K3425" t="inlineStr">
        <is>
          <t>14/06/2023</t>
        </is>
      </c>
      <c r="L3425" t="inlineStr">
        <is>
          <t>SPORTS</t>
        </is>
      </c>
      <c r="R3425" s="22"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2" t="n">
        <v>-150000</v>
      </c>
      <c r="K3426" t="inlineStr">
        <is>
          <t>14/06/2023</t>
        </is>
      </c>
      <c r="L3426" t="inlineStr">
        <is>
          <t>SPORTS</t>
        </is>
      </c>
      <c r="R3426" s="22"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2" t="n">
        <v>150000</v>
      </c>
      <c r="K3427" t="inlineStr">
        <is>
          <t>15/06/2023</t>
        </is>
      </c>
      <c r="L3427" t="inlineStr">
        <is>
          <t>SPORTS</t>
        </is>
      </c>
      <c r="R3427" s="22"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2"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2" t="n">
        <v>11700000</v>
      </c>
      <c r="K3429" t="inlineStr">
        <is>
          <t>20/07/2023</t>
        </is>
      </c>
      <c r="L3429" t="inlineStr">
        <is>
          <t>SPORTS</t>
        </is>
      </c>
      <c r="R3429" s="22"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2" t="n">
        <v>7200000</v>
      </c>
      <c r="K3430" t="inlineStr">
        <is>
          <t>20/07/2023</t>
        </is>
      </c>
      <c r="L3430" t="inlineStr">
        <is>
          <t>SPORTS</t>
        </is>
      </c>
      <c r="R3430" s="22"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2"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2" t="n">
        <v>220000</v>
      </c>
      <c r="K3432" t="inlineStr">
        <is>
          <t>21/07/2023</t>
        </is>
      </c>
      <c r="L3432" t="inlineStr">
        <is>
          <t>Education</t>
        </is>
      </c>
      <c r="R3432" s="22"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2"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2" t="n">
        <v>2180000</v>
      </c>
      <c r="K3434" t="inlineStr">
        <is>
          <t>21/07/2023</t>
        </is>
      </c>
      <c r="L3434" t="inlineStr">
        <is>
          <t>SPORTS</t>
        </is>
      </c>
      <c r="R3434" s="22"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2"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2"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2"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2"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2" t="n">
        <v>43859</v>
      </c>
      <c r="K3439" t="inlineStr">
        <is>
          <t>Donation</t>
        </is>
      </c>
      <c r="L3439" t="inlineStr">
        <is>
          <t>Donation</t>
        </is>
      </c>
      <c r="M3439" t="inlineStr">
        <is>
          <t>Néant</t>
        </is>
      </c>
      <c r="N3439" t="inlineStr">
        <is>
          <t>Néant</t>
        </is>
      </c>
      <c r="O3439" t="inlineStr">
        <is>
          <t>NC</t>
        </is>
      </c>
      <c r="R3439" s="22"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2" t="n">
        <v>337000</v>
      </c>
      <c r="K3440" t="inlineStr">
        <is>
          <t>01/08/2023</t>
        </is>
      </c>
      <c r="L3440" t="inlineStr">
        <is>
          <t>SPORTS</t>
        </is>
      </c>
      <c r="R3440" s="22"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2" t="n">
        <v>2000000</v>
      </c>
      <c r="K3441" t="inlineStr">
        <is>
          <t>01/08/2023</t>
        </is>
      </c>
      <c r="L3441" t="inlineStr">
        <is>
          <t>SPORTS</t>
        </is>
      </c>
      <c r="R3441" s="22"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2" t="n">
        <v>44046</v>
      </c>
      <c r="K3442" t="inlineStr">
        <is>
          <t>APPUI DIVERS</t>
        </is>
      </c>
      <c r="L3442" t="inlineStr">
        <is>
          <t>APPUI DIVERS</t>
        </is>
      </c>
      <c r="M3442" t="inlineStr">
        <is>
          <t xml:space="preserve">Néant </t>
        </is>
      </c>
      <c r="N3442" t="inlineStr">
        <is>
          <t xml:space="preserve">Néant </t>
        </is>
      </c>
      <c r="O3442" t="inlineStr">
        <is>
          <t>NC</t>
        </is>
      </c>
      <c r="R3442" s="22"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2" t="n">
        <v>517000</v>
      </c>
      <c r="K3443" t="inlineStr">
        <is>
          <t>01/08/2023</t>
        </is>
      </c>
      <c r="L3443" t="inlineStr">
        <is>
          <t>SPORTS</t>
        </is>
      </c>
      <c r="R3443" s="22"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2" t="n">
        <v>867500</v>
      </c>
      <c r="K3444" t="inlineStr">
        <is>
          <t>04/08/2023</t>
        </is>
      </c>
      <c r="L3444" t="inlineStr">
        <is>
          <t>SPORTS</t>
        </is>
      </c>
      <c r="R3444" s="22"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2" t="n">
        <v>44046</v>
      </c>
      <c r="K3445" t="inlineStr">
        <is>
          <t>APPUI DIVERS</t>
        </is>
      </c>
      <c r="L3445" t="inlineStr">
        <is>
          <t>APPUI DIVERS</t>
        </is>
      </c>
      <c r="M3445" t="inlineStr">
        <is>
          <t xml:space="preserve">Néant </t>
        </is>
      </c>
      <c r="N3445" t="inlineStr">
        <is>
          <t xml:space="preserve">Néant </t>
        </is>
      </c>
      <c r="O3445" t="inlineStr">
        <is>
          <t>NC</t>
        </is>
      </c>
      <c r="R3445" s="22"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2" t="n">
        <v>43860</v>
      </c>
      <c r="K3446" t="inlineStr">
        <is>
          <t>SANTE</t>
        </is>
      </c>
      <c r="L3446" t="inlineStr">
        <is>
          <t>PRISE EN CHARG SOINS ALIOU DIOUF</t>
        </is>
      </c>
      <c r="M3446" t="inlineStr">
        <is>
          <t xml:space="preserve">Néant </t>
        </is>
      </c>
      <c r="N3446" t="inlineStr">
        <is>
          <t xml:space="preserve">Néant </t>
        </is>
      </c>
      <c r="O3446" t="inlineStr">
        <is>
          <t>NC</t>
        </is>
      </c>
      <c r="R3446" s="22"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2" t="n">
        <v>43902</v>
      </c>
      <c r="K3447" t="inlineStr">
        <is>
          <t>APPUI DIVERS</t>
        </is>
      </c>
      <c r="L3447" t="inlineStr">
        <is>
          <t>ASSISTANCE SOCIAL EMPLOYE GCO</t>
        </is>
      </c>
      <c r="M3447" t="inlineStr">
        <is>
          <t xml:space="preserve">Néant </t>
        </is>
      </c>
      <c r="N3447" t="inlineStr">
        <is>
          <t xml:space="preserve">Néant </t>
        </is>
      </c>
      <c r="O3447" t="inlineStr">
        <is>
          <t>NC</t>
        </is>
      </c>
      <c r="R3447" s="22"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2" t="n">
        <v>7518</v>
      </c>
      <c r="K3448" t="inlineStr">
        <is>
          <t>Appuis divers</t>
        </is>
      </c>
      <c r="L3448" t="inlineStr">
        <is>
          <t>Appuis divers</t>
        </is>
      </c>
      <c r="M3448" t="inlineStr">
        <is>
          <t xml:space="preserve">Néant </t>
        </is>
      </c>
      <c r="N3448" t="inlineStr">
        <is>
          <t xml:space="preserve">Néant </t>
        </is>
      </c>
      <c r="O3448" t="inlineStr">
        <is>
          <t>Nc</t>
        </is>
      </c>
      <c r="R3448" s="22"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2" t="n">
        <v>249998.8</v>
      </c>
      <c r="K3449" s="23"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2"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2" t="n">
        <v>249998.8</v>
      </c>
      <c r="K3450" s="23"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2"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2" t="n">
        <v>247671</v>
      </c>
      <c r="K3451" t="inlineStr">
        <is>
          <t>20/11/2023</t>
        </is>
      </c>
      <c r="L3451" t="inlineStr">
        <is>
          <t>Appuis divers</t>
        </is>
      </c>
      <c r="R3451" s="22"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2" t="n">
        <v>247671</v>
      </c>
      <c r="K3452" t="inlineStr">
        <is>
          <t>30/11/2023</t>
        </is>
      </c>
      <c r="L3452" t="inlineStr">
        <is>
          <t>Appuis divers</t>
        </is>
      </c>
      <c r="R3452" s="22"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2" t="n">
        <v>44165</v>
      </c>
      <c r="K3453" t="inlineStr">
        <is>
          <t>NC</t>
        </is>
      </c>
      <c r="L3453" t="inlineStr">
        <is>
          <t>NC</t>
        </is>
      </c>
      <c r="M3453" t="inlineStr">
        <is>
          <t xml:space="preserve">Néant </t>
        </is>
      </c>
      <c r="N3453" t="inlineStr">
        <is>
          <t xml:space="preserve">Néant </t>
        </is>
      </c>
      <c r="O3453" t="inlineStr">
        <is>
          <t>NC</t>
        </is>
      </c>
      <c r="R3453" s="22"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2" t="n">
        <v>242027.20305094</v>
      </c>
      <c r="K3454" s="23" t="n">
        <v>45349</v>
      </c>
      <c r="M3454" t="inlineStr">
        <is>
          <t>Table de conférence en bois</t>
        </is>
      </c>
      <c r="P3454" t="inlineStr">
        <is>
          <t>Convention minère et Code minier (Fond Social et Fond d'appui au developpement local)</t>
        </is>
      </c>
      <c r="R3454" s="22"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2" t="n">
        <v>411000</v>
      </c>
      <c r="K3455" t="inlineStr">
        <is>
          <t>14/08/2023</t>
        </is>
      </c>
      <c r="L3455" t="inlineStr">
        <is>
          <t>SPORTS</t>
        </is>
      </c>
      <c r="R3455" s="22"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2" t="n">
        <v>240001.99</v>
      </c>
      <c r="K3456" s="23"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2"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2" t="n">
        <v>240000</v>
      </c>
      <c r="K3457" t="inlineStr">
        <is>
          <t>11/12/2023</t>
        </is>
      </c>
      <c r="L3457" t="inlineStr">
        <is>
          <t>Appuis divers</t>
        </is>
      </c>
      <c r="R3457" s="22"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2" t="n">
        <v>239997.44</v>
      </c>
      <c r="K3458" s="23"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2"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2" t="n">
        <v>239997.43</v>
      </c>
      <c r="K3459" s="23"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2"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2" t="n">
        <v>235580</v>
      </c>
      <c r="K3460" t="inlineStr">
        <is>
          <t>20/10/2023</t>
        </is>
      </c>
      <c r="L3460" t="inlineStr">
        <is>
          <t>Appuis divers</t>
        </is>
      </c>
      <c r="R3460" s="22"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2" t="n">
        <v>235329.26618734</v>
      </c>
      <c r="K3461" s="23"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2"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2" t="n">
        <v>1000000</v>
      </c>
      <c r="K3462" t="inlineStr">
        <is>
          <t>23/08/2023</t>
        </is>
      </c>
      <c r="L3462" t="inlineStr">
        <is>
          <t>Education</t>
        </is>
      </c>
      <c r="R3462" s="22"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2" t="n">
        <v>235000</v>
      </c>
      <c r="K3463" t="inlineStr">
        <is>
          <t>06/09/2023</t>
        </is>
      </c>
      <c r="L3463" t="inlineStr">
        <is>
          <t>Appuis divers</t>
        </is>
      </c>
      <c r="R3463" s="22"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2" t="n">
        <v>235000</v>
      </c>
      <c r="K3464" s="23" t="n">
        <v>44522</v>
      </c>
      <c r="L3464" t="inlineStr">
        <is>
          <t>Appuis divers</t>
        </is>
      </c>
      <c r="M3464" t="inlineStr">
        <is>
          <t>N/A</t>
        </is>
      </c>
      <c r="N3464" t="inlineStr">
        <is>
          <t>N/A</t>
        </is>
      </c>
      <c r="O3464" t="inlineStr">
        <is>
          <t>N/A</t>
        </is>
      </c>
      <c r="P3464" t="inlineStr">
        <is>
          <t>Nc</t>
        </is>
      </c>
      <c r="R3464" s="22"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2" t="n">
        <v>233751.51</v>
      </c>
      <c r="K3465" s="23" t="n">
        <v>45525</v>
      </c>
      <c r="M3465" t="inlineStr">
        <is>
          <t>130531AB</t>
        </is>
      </c>
      <c r="N3465" t="inlineStr">
        <is>
          <t>N/A</t>
        </is>
      </c>
      <c r="O3465" t="inlineStr">
        <is>
          <t>N/A</t>
        </is>
      </c>
      <c r="P3465" t="inlineStr">
        <is>
          <t>Convention minère et Code minier (Fond Social et Fond d'appui au developpement local)</t>
        </is>
      </c>
      <c r="Q3465" t="inlineStr">
        <is>
          <t>NA</t>
        </is>
      </c>
      <c r="R3465" s="22"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2" t="n">
        <v>-1000000</v>
      </c>
      <c r="K3466" t="inlineStr">
        <is>
          <t>28/08/2023</t>
        </is>
      </c>
      <c r="L3466" t="inlineStr">
        <is>
          <t>Education</t>
        </is>
      </c>
      <c r="R3466" s="22"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2" t="n">
        <v>232500</v>
      </c>
      <c r="K3467" t="inlineStr">
        <is>
          <t>2024-05-02</t>
        </is>
      </c>
      <c r="L3467" t="inlineStr">
        <is>
          <t>Appuis divers</t>
        </is>
      </c>
      <c r="R3467" s="22"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2" t="n">
        <v>232500</v>
      </c>
      <c r="K3468" t="inlineStr">
        <is>
          <t>2024-05-02</t>
        </is>
      </c>
      <c r="L3468" t="inlineStr">
        <is>
          <t>Appuis divers</t>
        </is>
      </c>
      <c r="R3468" s="22"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2" t="n">
        <v>225400</v>
      </c>
      <c r="K3469" t="inlineStr">
        <is>
          <t>30/09/2023</t>
        </is>
      </c>
      <c r="L3469" t="inlineStr">
        <is>
          <t>Appuis divers</t>
        </is>
      </c>
      <c r="R3469" s="22"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2"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2" t="n">
        <v>44165</v>
      </c>
      <c r="K3471" t="inlineStr">
        <is>
          <t>NC</t>
        </is>
      </c>
      <c r="L3471" t="inlineStr">
        <is>
          <t>NC</t>
        </is>
      </c>
      <c r="M3471" t="inlineStr">
        <is>
          <t xml:space="preserve">Néant </t>
        </is>
      </c>
      <c r="N3471" t="inlineStr">
        <is>
          <t xml:space="preserve">Néant </t>
        </is>
      </c>
      <c r="O3471" t="inlineStr">
        <is>
          <t>NC</t>
        </is>
      </c>
      <c r="R3471" s="22"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2" t="n">
        <v>44165</v>
      </c>
      <c r="K3472" t="inlineStr">
        <is>
          <t>NC</t>
        </is>
      </c>
      <c r="L3472" t="inlineStr">
        <is>
          <t>NC</t>
        </is>
      </c>
      <c r="M3472" t="inlineStr">
        <is>
          <t xml:space="preserve">Néant </t>
        </is>
      </c>
      <c r="N3472" t="inlineStr">
        <is>
          <t xml:space="preserve">Néant </t>
        </is>
      </c>
      <c r="O3472" t="inlineStr">
        <is>
          <t>NC</t>
        </is>
      </c>
      <c r="R3472" s="22"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2" t="n">
        <v>44165</v>
      </c>
      <c r="K3473" t="inlineStr">
        <is>
          <t>NC</t>
        </is>
      </c>
      <c r="L3473" t="inlineStr">
        <is>
          <t>NC</t>
        </is>
      </c>
      <c r="M3473" t="inlineStr">
        <is>
          <t xml:space="preserve">Néant </t>
        </is>
      </c>
      <c r="N3473" t="inlineStr">
        <is>
          <t xml:space="preserve">Néant </t>
        </is>
      </c>
      <c r="O3473" t="inlineStr">
        <is>
          <t>NC</t>
        </is>
      </c>
      <c r="R3473" s="22"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2" t="n">
        <v>44165</v>
      </c>
      <c r="K3474" t="inlineStr">
        <is>
          <t>NC</t>
        </is>
      </c>
      <c r="L3474" t="inlineStr">
        <is>
          <t>NC</t>
        </is>
      </c>
      <c r="M3474" t="inlineStr">
        <is>
          <t xml:space="preserve">Néant </t>
        </is>
      </c>
      <c r="N3474" t="inlineStr">
        <is>
          <t xml:space="preserve">Néant </t>
        </is>
      </c>
      <c r="O3474" t="inlineStr">
        <is>
          <t>NC</t>
        </is>
      </c>
      <c r="R3474" s="22"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2" t="n">
        <v>44165</v>
      </c>
      <c r="K3475" t="inlineStr">
        <is>
          <t>NC</t>
        </is>
      </c>
      <c r="L3475" t="inlineStr">
        <is>
          <t>NC</t>
        </is>
      </c>
      <c r="M3475" t="inlineStr">
        <is>
          <t xml:space="preserve">Néant </t>
        </is>
      </c>
      <c r="N3475" t="inlineStr">
        <is>
          <t xml:space="preserve">Néant </t>
        </is>
      </c>
      <c r="O3475" t="inlineStr">
        <is>
          <t>NC</t>
        </is>
      </c>
      <c r="R3475" s="22"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2" t="n">
        <v>44165</v>
      </c>
      <c r="K3476" t="inlineStr">
        <is>
          <t>NC</t>
        </is>
      </c>
      <c r="L3476" t="inlineStr">
        <is>
          <t>NC</t>
        </is>
      </c>
      <c r="M3476" t="inlineStr">
        <is>
          <t xml:space="preserve">Néant </t>
        </is>
      </c>
      <c r="N3476" t="inlineStr">
        <is>
          <t xml:space="preserve">Néant </t>
        </is>
      </c>
      <c r="O3476" t="inlineStr">
        <is>
          <t>NC</t>
        </is>
      </c>
      <c r="R3476" s="22"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2" t="n">
        <v>44165</v>
      </c>
      <c r="K3477" t="inlineStr">
        <is>
          <t>NC</t>
        </is>
      </c>
      <c r="L3477" t="inlineStr">
        <is>
          <t xml:space="preserve">Néant </t>
        </is>
      </c>
      <c r="M3477" t="inlineStr">
        <is>
          <t xml:space="preserve">Néant </t>
        </is>
      </c>
      <c r="N3477" t="inlineStr">
        <is>
          <t xml:space="preserve">Néant </t>
        </is>
      </c>
      <c r="O3477" t="inlineStr">
        <is>
          <t>NC</t>
        </is>
      </c>
      <c r="R3477" s="22"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2" t="n">
        <v>224998.47</v>
      </c>
      <c r="K3478" s="23"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2"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2" t="n">
        <v>220346.72013648</v>
      </c>
      <c r="K3479" s="23" t="n">
        <v>45349</v>
      </c>
      <c r="M3479" t="inlineStr">
        <is>
          <t>Balance</t>
        </is>
      </c>
      <c r="P3479" t="inlineStr">
        <is>
          <t>Convention minère et Code minier (Fond Social et Fond d'appui au developpement local)</t>
        </is>
      </c>
      <c r="R3479" s="22"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2" t="n">
        <v>44165</v>
      </c>
      <c r="K3480" t="inlineStr">
        <is>
          <t>NC</t>
        </is>
      </c>
      <c r="L3480" t="inlineStr">
        <is>
          <t>NC</t>
        </is>
      </c>
      <c r="M3480" t="inlineStr">
        <is>
          <t xml:space="preserve">Néant </t>
        </is>
      </c>
      <c r="N3480" t="inlineStr">
        <is>
          <t xml:space="preserve">Néant </t>
        </is>
      </c>
      <c r="O3480" t="inlineStr">
        <is>
          <t>NC</t>
        </is>
      </c>
      <c r="R3480" s="22"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2" t="n">
        <v>220000</v>
      </c>
      <c r="K3481" t="inlineStr">
        <is>
          <t>21/07/2023</t>
        </is>
      </c>
      <c r="L3481" t="inlineStr">
        <is>
          <t>Appuis divers</t>
        </is>
      </c>
      <c r="R3481" s="22"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2" t="n">
        <v>100000</v>
      </c>
      <c r="K3482" t="inlineStr">
        <is>
          <t>02/10/2023</t>
        </is>
      </c>
      <c r="L3482" t="inlineStr">
        <is>
          <t>SPORTS</t>
        </is>
      </c>
      <c r="R3482" s="22"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2" t="n">
        <v>215998.3</v>
      </c>
      <c r="K3483" s="23"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2"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2" t="n">
        <v>207833.91</v>
      </c>
      <c r="K3484" s="23" t="n">
        <v>45345</v>
      </c>
      <c r="M3484" t="inlineStr">
        <is>
          <t>137087</t>
        </is>
      </c>
      <c r="P3484" t="inlineStr">
        <is>
          <t>Convention minère et Code minier (Fond Social et Fond d'appui au developpement local)</t>
        </is>
      </c>
      <c r="R3484" s="22"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2" t="n">
        <v>201600</v>
      </c>
      <c r="K3485" s="23" t="n">
        <v>45456</v>
      </c>
      <c r="L3485" t="inlineStr">
        <is>
          <t>APPUIS DIVERS</t>
        </is>
      </c>
      <c r="R3485" s="22"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2" t="n">
        <v>200002.27</v>
      </c>
      <c r="K3486" s="23" t="n">
        <v>44599</v>
      </c>
      <c r="L3486" t="inlineStr">
        <is>
          <t>SF Fond Gora &amp; General</t>
        </is>
      </c>
      <c r="R3486" s="22"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2" t="n">
        <v>200000.91</v>
      </c>
      <c r="K3487" s="23" t="n">
        <v>45626</v>
      </c>
      <c r="M3487" t="inlineStr">
        <is>
          <t>Frais de mobilisation pour Aller</t>
        </is>
      </c>
      <c r="P3487" t="inlineStr">
        <is>
          <t>Convention minère et Code minier (Fond Social et Fond d'appui au developpement local)</t>
        </is>
      </c>
      <c r="R3487" s="22"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2" t="n">
        <v>200000.91</v>
      </c>
      <c r="K3488" s="23" t="n">
        <v>45626</v>
      </c>
      <c r="M3488" t="inlineStr">
        <is>
          <t>Frais de demoblisation pour retour</t>
        </is>
      </c>
      <c r="P3488" t="inlineStr">
        <is>
          <t>Convention minère et Code minier (Fond Social et Fond d'appui au developpement local)</t>
        </is>
      </c>
      <c r="R3488" s="22"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2" t="n">
        <v>200000</v>
      </c>
      <c r="K3489" s="23"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2"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2" t="n">
        <v>200000</v>
      </c>
      <c r="K3490" s="23"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2"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2" t="n">
        <v>485900</v>
      </c>
      <c r="K3491" t="inlineStr">
        <is>
          <t>19/10/2023</t>
        </is>
      </c>
      <c r="L3491" t="inlineStr">
        <is>
          <t>Education</t>
        </is>
      </c>
      <c r="R3491" s="22"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2" t="n">
        <v>200000</v>
      </c>
      <c r="K3492" s="23" t="n">
        <v>45372</v>
      </c>
      <c r="R3492" s="22"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2" t="n">
        <v>200000</v>
      </c>
      <c r="K3493" s="23" t="n">
        <v>45453</v>
      </c>
      <c r="R3493" s="22"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2" t="n">
        <v>200000</v>
      </c>
      <c r="K3494" t="inlineStr">
        <is>
          <t>2024-01-08</t>
        </is>
      </c>
      <c r="L3494" t="inlineStr">
        <is>
          <t>Appuis divers</t>
        </is>
      </c>
      <c r="R3494" s="22"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2" t="n">
        <v>200000</v>
      </c>
      <c r="K3495" t="inlineStr">
        <is>
          <t>2024-01-15</t>
        </is>
      </c>
      <c r="L3495" t="inlineStr">
        <is>
          <t>Appuis divers</t>
        </is>
      </c>
      <c r="R3495" s="22"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2" t="n">
        <v>200000</v>
      </c>
      <c r="K3496" t="inlineStr">
        <is>
          <t>2024-04-11</t>
        </is>
      </c>
      <c r="L3496" t="inlineStr">
        <is>
          <t>Appuis divers</t>
        </is>
      </c>
      <c r="R3496" s="22"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2" t="n">
        <v>200000</v>
      </c>
      <c r="K3497" t="inlineStr">
        <is>
          <t>2024-05-31</t>
        </is>
      </c>
      <c r="L3497" t="inlineStr">
        <is>
          <t>Appuis divers</t>
        </is>
      </c>
      <c r="R3497" s="22"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2" t="n">
        <v>335000</v>
      </c>
      <c r="K3498" t="inlineStr">
        <is>
          <t>31/10/2023</t>
        </is>
      </c>
      <c r="L3498" t="inlineStr">
        <is>
          <t>Education</t>
        </is>
      </c>
      <c r="R3498" s="22"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2" t="n">
        <v>200000</v>
      </c>
      <c r="K3499" t="inlineStr">
        <is>
          <t>2024-07-06</t>
        </is>
      </c>
      <c r="L3499" t="inlineStr">
        <is>
          <t>Appuis divers</t>
        </is>
      </c>
      <c r="R3499" s="22"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2" t="n">
        <v>200000</v>
      </c>
      <c r="K3500" t="inlineStr">
        <is>
          <t>2024-09-14</t>
        </is>
      </c>
      <c r="L3500" t="inlineStr">
        <is>
          <t>Appuis divers</t>
        </is>
      </c>
      <c r="R3500" s="22"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2" t="n">
        <v>200000</v>
      </c>
      <c r="K3501" t="inlineStr">
        <is>
          <t>2024-04-05</t>
        </is>
      </c>
      <c r="L3501" t="inlineStr">
        <is>
          <t>Appuis divers</t>
        </is>
      </c>
      <c r="R3501" s="22"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2" t="n">
        <v>200000</v>
      </c>
      <c r="K3502" t="inlineStr">
        <is>
          <t>2024-12-02</t>
        </is>
      </c>
      <c r="L3502" t="inlineStr">
        <is>
          <t>Appuis divers</t>
        </is>
      </c>
      <c r="R3502" s="22"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2" t="n">
        <v>175000</v>
      </c>
      <c r="K3503" t="inlineStr">
        <is>
          <t>03/11/2023</t>
        </is>
      </c>
      <c r="L3503" t="inlineStr">
        <is>
          <t>SPORTS</t>
        </is>
      </c>
      <c r="R3503" s="22"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2" t="n">
        <v>125400</v>
      </c>
      <c r="K3504" t="inlineStr">
        <is>
          <t>07/11/2023</t>
        </is>
      </c>
      <c r="L3504" t="inlineStr">
        <is>
          <t>Education</t>
        </is>
      </c>
      <c r="R3504" s="22"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2" t="n">
        <v>150000</v>
      </c>
      <c r="K3505" t="inlineStr">
        <is>
          <t>08/11/2023</t>
        </is>
      </c>
      <c r="L3505" t="inlineStr">
        <is>
          <t>SPORTS</t>
        </is>
      </c>
      <c r="R3505" s="22"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2" t="n">
        <v>200000</v>
      </c>
      <c r="K3506" s="23" t="n">
        <v>45531</v>
      </c>
      <c r="R3506" s="22"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2" t="n">
        <v>200000</v>
      </c>
      <c r="K3507" s="23" t="n">
        <v>45476</v>
      </c>
      <c r="M3507" t="inlineStr">
        <is>
          <t>Et 60 tonnes de ciment + 60 mètres cubes de basalte (8/16) et 10 camions sable de dune pour la réhabilitation des salles de classes de Ngoundiane</t>
        </is>
      </c>
      <c r="R3507" s="22"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2" t="n">
        <v>200000</v>
      </c>
      <c r="K3508" s="23" t="n">
        <v>44927</v>
      </c>
      <c r="M3508" t="inlineStr">
        <is>
          <t>Religieux</t>
        </is>
      </c>
      <c r="R3508" s="22"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2" t="n">
        <v>200000</v>
      </c>
      <c r="K3509" s="23" t="n">
        <v>44927</v>
      </c>
      <c r="M3509" t="inlineStr">
        <is>
          <t>Sport</t>
        </is>
      </c>
      <c r="R3509" s="22"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2" t="n">
        <v>200000</v>
      </c>
      <c r="K3510" s="23" t="n">
        <v>44939</v>
      </c>
      <c r="M3510" t="inlineStr">
        <is>
          <t>Religieux</t>
        </is>
      </c>
      <c r="R3510" s="22"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2" t="n">
        <v>200000</v>
      </c>
      <c r="K3511" t="inlineStr">
        <is>
          <t>23/Feb/23</t>
        </is>
      </c>
      <c r="M3511" t="inlineStr">
        <is>
          <t>Education</t>
        </is>
      </c>
      <c r="R3511" s="22"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2" t="n">
        <v>200000</v>
      </c>
      <c r="K3512" t="inlineStr">
        <is>
          <t>13/Apr/23</t>
        </is>
      </c>
      <c r="M3512" t="inlineStr">
        <is>
          <t>Religieux</t>
        </is>
      </c>
      <c r="R3512" s="22"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2" t="n">
        <v>200000</v>
      </c>
      <c r="K3513" t="inlineStr">
        <is>
          <t>13/Apr/23</t>
        </is>
      </c>
      <c r="M3513" t="inlineStr">
        <is>
          <t>santé</t>
        </is>
      </c>
      <c r="R3513" s="22"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2" t="n">
        <v>200000</v>
      </c>
      <c r="K3514" t="inlineStr">
        <is>
          <t>09/May/23</t>
        </is>
      </c>
      <c r="M3514" t="inlineStr">
        <is>
          <t>Education</t>
        </is>
      </c>
      <c r="R3514" s="22"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2" t="n">
        <v>200000</v>
      </c>
      <c r="K3515" t="inlineStr">
        <is>
          <t>01/Jun/23</t>
        </is>
      </c>
      <c r="M3515" t="inlineStr">
        <is>
          <t>Appuis divers</t>
        </is>
      </c>
      <c r="R3515" s="22"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2" t="n">
        <v>200000</v>
      </c>
      <c r="K3516" t="inlineStr">
        <is>
          <t>01/Jun/23</t>
        </is>
      </c>
      <c r="M3516" t="inlineStr">
        <is>
          <t>Environnement</t>
        </is>
      </c>
      <c r="R3516" s="22"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2" t="n">
        <v>200000</v>
      </c>
      <c r="K3517" t="inlineStr">
        <is>
          <t>07/Jun/23</t>
        </is>
      </c>
      <c r="M3517" t="inlineStr">
        <is>
          <t>Religieux</t>
        </is>
      </c>
      <c r="R3517" s="22"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2" t="n">
        <v>200000</v>
      </c>
      <c r="K3518" s="23" t="n">
        <v>45157</v>
      </c>
      <c r="R3518" s="22"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2" t="n">
        <v>200000</v>
      </c>
      <c r="K3519" s="23" t="n">
        <v>44928</v>
      </c>
      <c r="R3519" s="22"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2" t="n">
        <v>200000</v>
      </c>
      <c r="K3520" t="inlineStr">
        <is>
          <t>22/05/2023</t>
        </is>
      </c>
      <c r="L3520" t="inlineStr">
        <is>
          <t>Appuis divers</t>
        </is>
      </c>
      <c r="R3520" s="22"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2" t="n">
        <v>200000</v>
      </c>
      <c r="K3521" t="inlineStr">
        <is>
          <t>31/12/2023</t>
        </is>
      </c>
      <c r="L3521" t="inlineStr">
        <is>
          <t>Appuis divers</t>
        </is>
      </c>
      <c r="R3521" s="22"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2" t="n">
        <v>200000</v>
      </c>
      <c r="K3522" t="inlineStr">
        <is>
          <t>04/05/2023</t>
        </is>
      </c>
      <c r="L3522" t="inlineStr">
        <is>
          <t>Appuis divers</t>
        </is>
      </c>
      <c r="R3522" s="22"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2" t="n">
        <v>200000</v>
      </c>
      <c r="K3523" t="inlineStr">
        <is>
          <t>23/05/2023</t>
        </is>
      </c>
      <c r="L3523" t="inlineStr">
        <is>
          <t>Appuis divers</t>
        </is>
      </c>
      <c r="R3523" s="22"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2" t="n">
        <v>200000</v>
      </c>
      <c r="K3524" t="inlineStr">
        <is>
          <t>01/06/2023</t>
        </is>
      </c>
      <c r="L3524" t="inlineStr">
        <is>
          <t>Appuis divers</t>
        </is>
      </c>
      <c r="R3524" s="22"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2" t="n">
        <v>200000</v>
      </c>
      <c r="K3525" t="inlineStr">
        <is>
          <t>10/08/2023</t>
        </is>
      </c>
      <c r="L3525" t="inlineStr">
        <is>
          <t>Appuis divers</t>
        </is>
      </c>
      <c r="R3525" s="22"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2" t="n">
        <v>200000</v>
      </c>
      <c r="K3526" t="inlineStr">
        <is>
          <t>10/08/2023</t>
        </is>
      </c>
      <c r="L3526" t="inlineStr">
        <is>
          <t>Appuis divers</t>
        </is>
      </c>
      <c r="R3526" s="22"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2" t="n">
        <v>200000</v>
      </c>
      <c r="K3527" t="inlineStr">
        <is>
          <t>18/08/2023</t>
        </is>
      </c>
      <c r="L3527" t="inlineStr">
        <is>
          <t>Appuis divers</t>
        </is>
      </c>
      <c r="R3527" s="22"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2" t="n">
        <v>200000</v>
      </c>
      <c r="K3528" t="inlineStr">
        <is>
          <t>23/08/2023</t>
        </is>
      </c>
      <c r="L3528" t="inlineStr">
        <is>
          <t>Appuis divers</t>
        </is>
      </c>
      <c r="R3528" s="22"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2" t="n">
        <v>200000</v>
      </c>
      <c r="K3529" t="inlineStr">
        <is>
          <t>23/08/2023</t>
        </is>
      </c>
      <c r="L3529" t="inlineStr">
        <is>
          <t>Appuis divers</t>
        </is>
      </c>
      <c r="R3529" s="22"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2" t="n">
        <v>200000</v>
      </c>
      <c r="K3530" t="inlineStr">
        <is>
          <t>27/10/2023</t>
        </is>
      </c>
      <c r="L3530" t="inlineStr">
        <is>
          <t>Appuis divers</t>
        </is>
      </c>
      <c r="R3530" s="22"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2" t="n">
        <v>200000</v>
      </c>
      <c r="O3531" t="inlineStr">
        <is>
          <t>SF General</t>
        </is>
      </c>
      <c r="P3531" t="inlineStr">
        <is>
          <t>Obligation de développement social: art.15 de l'avenant 1 à la convention minière de Sabodala du 23 mars 2005</t>
        </is>
      </c>
      <c r="R3531" s="22"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2" t="n">
        <v>350000</v>
      </c>
      <c r="K3532" t="inlineStr">
        <is>
          <t>28/12/2023</t>
        </is>
      </c>
      <c r="L3532" t="inlineStr">
        <is>
          <t>SANTE</t>
        </is>
      </c>
      <c r="R3532" s="22"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2" t="n">
        <v>200000</v>
      </c>
      <c r="K3533" s="23" t="n">
        <v>44301</v>
      </c>
      <c r="L3533" t="inlineStr">
        <is>
          <t>Appuis divers</t>
        </is>
      </c>
      <c r="M3533" t="inlineStr">
        <is>
          <t>N/A</t>
        </is>
      </c>
      <c r="N3533" t="inlineStr">
        <is>
          <t>N/A</t>
        </is>
      </c>
      <c r="O3533" t="inlineStr">
        <is>
          <t>N/A</t>
        </is>
      </c>
      <c r="P3533" t="inlineStr">
        <is>
          <t>Nc</t>
        </is>
      </c>
      <c r="R3533" s="22"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2"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2"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2" t="n">
        <v>80000</v>
      </c>
      <c r="K3536" t="inlineStr">
        <is>
          <t>28/12/2023</t>
        </is>
      </c>
      <c r="L3536" t="inlineStr">
        <is>
          <t>SANTE</t>
        </is>
      </c>
      <c r="R3536" s="22"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2"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2"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2"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2" t="n">
        <v>44046</v>
      </c>
      <c r="K3540" t="inlineStr">
        <is>
          <t>APPUI DIVERS</t>
        </is>
      </c>
      <c r="L3540" t="inlineStr">
        <is>
          <t>APPUI DIVERS</t>
        </is>
      </c>
      <c r="M3540" t="inlineStr">
        <is>
          <t xml:space="preserve">Néant </t>
        </is>
      </c>
      <c r="N3540" t="inlineStr">
        <is>
          <t xml:space="preserve">Néant </t>
        </is>
      </c>
      <c r="O3540" t="inlineStr">
        <is>
          <t>NC</t>
        </is>
      </c>
      <c r="R3540" s="22"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2" t="n">
        <v>44046</v>
      </c>
      <c r="K3541" t="inlineStr">
        <is>
          <t>APPUI DIVERS</t>
        </is>
      </c>
      <c r="L3541" t="inlineStr">
        <is>
          <t>APPUI DIVERS</t>
        </is>
      </c>
      <c r="M3541" t="inlineStr">
        <is>
          <t xml:space="preserve">Néant </t>
        </is>
      </c>
      <c r="N3541" t="inlineStr">
        <is>
          <t xml:space="preserve">Néant </t>
        </is>
      </c>
      <c r="O3541" t="inlineStr">
        <is>
          <t>NC</t>
        </is>
      </c>
      <c r="R3541" s="22"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2" t="n">
        <v>43900</v>
      </c>
      <c r="K3542" t="inlineStr">
        <is>
          <t>CULTURE</t>
        </is>
      </c>
      <c r="L3542" t="inlineStr">
        <is>
          <t>SOUTIEN ORG 72H AMTIVE</t>
        </is>
      </c>
      <c r="M3542" t="inlineStr">
        <is>
          <t xml:space="preserve">Néant </t>
        </is>
      </c>
      <c r="N3542" t="inlineStr">
        <is>
          <t xml:space="preserve">Néant </t>
        </is>
      </c>
      <c r="O3542" t="inlineStr">
        <is>
          <t>NC</t>
        </is>
      </c>
      <c r="R3542" s="22"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2" t="n">
        <v>43868</v>
      </c>
      <c r="K3543" t="inlineStr">
        <is>
          <t>SANTE</t>
        </is>
      </c>
      <c r="L3543" t="inlineStr">
        <is>
          <t>ASSISTANCE SINISTRE EMPLOYE RAIL</t>
        </is>
      </c>
      <c r="M3543" t="inlineStr">
        <is>
          <t xml:space="preserve">Néant </t>
        </is>
      </c>
      <c r="N3543" t="inlineStr">
        <is>
          <t xml:space="preserve">Néant </t>
        </is>
      </c>
      <c r="O3543" t="inlineStr">
        <is>
          <t>NC</t>
        </is>
      </c>
      <c r="R3543" s="22"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2" t="n">
        <v>43873</v>
      </c>
      <c r="K3544" t="inlineStr">
        <is>
          <t>CULTURE</t>
        </is>
      </c>
      <c r="L3544" t="inlineStr">
        <is>
          <t>SOUTIEN MISS MATH DEPT TIVAOUANE</t>
        </is>
      </c>
      <c r="M3544" t="inlineStr">
        <is>
          <t xml:space="preserve">Néant </t>
        </is>
      </c>
      <c r="N3544" t="inlineStr">
        <is>
          <t xml:space="preserve">Néant </t>
        </is>
      </c>
      <c r="O3544" t="inlineStr">
        <is>
          <t>NC</t>
        </is>
      </c>
      <c r="R3544" s="22"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2" t="n">
        <v>76370986</v>
      </c>
      <c r="K3545" t="inlineStr">
        <is>
          <t>31/12/2023</t>
        </is>
      </c>
      <c r="L3545" t="inlineStr">
        <is>
          <t>SANTE</t>
        </is>
      </c>
      <c r="R3545" s="22"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2" t="n">
        <v>750000</v>
      </c>
      <c r="K3546" s="23" t="n">
        <v>44947</v>
      </c>
      <c r="L3546" t="inlineStr">
        <is>
          <t>Infrastructure</t>
        </is>
      </c>
      <c r="R3546" s="22"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2" t="n">
        <v>12289680</v>
      </c>
      <c r="K3547" s="23" t="n">
        <v>45015</v>
      </c>
      <c r="L3547" t="inlineStr">
        <is>
          <t>Infrastructure</t>
        </is>
      </c>
      <c r="R3547" s="22"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2" t="n">
        <v>7770000</v>
      </c>
      <c r="K3548" s="23" t="n">
        <v>45048</v>
      </c>
      <c r="L3548" t="inlineStr">
        <is>
          <t>Infrastructure</t>
        </is>
      </c>
      <c r="R3548" s="22"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2" t="n">
        <v>2375000</v>
      </c>
      <c r="K3549" s="23" t="n">
        <v>45208</v>
      </c>
      <c r="L3549" t="inlineStr">
        <is>
          <t>Infrastructure</t>
        </is>
      </c>
      <c r="R3549" s="22"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2" t="n">
        <v>9335295.9</v>
      </c>
      <c r="K3550" s="23" t="n">
        <v>45017</v>
      </c>
      <c r="L3550" t="inlineStr">
        <is>
          <t>Infrastructure</t>
        </is>
      </c>
      <c r="R3550" s="22"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2" t="n">
        <v>470000</v>
      </c>
      <c r="K3551" s="23" t="n">
        <v>45030</v>
      </c>
      <c r="L3551" t="inlineStr">
        <is>
          <t>Infrastructure</t>
        </is>
      </c>
      <c r="R3551" s="22"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2" t="n">
        <v>540000</v>
      </c>
      <c r="K3552" s="23" t="n">
        <v>45017</v>
      </c>
      <c r="L3552" t="inlineStr">
        <is>
          <t>Infrastructure</t>
        </is>
      </c>
      <c r="R3552" s="22"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2" t="n">
        <v>44117</v>
      </c>
      <c r="K3553" t="inlineStr">
        <is>
          <t>CULTURE</t>
        </is>
      </c>
      <c r="L3553" t="inlineStr">
        <is>
          <t>SOUTIEN A L'ORGANISATION DES JOURNEES DE</t>
        </is>
      </c>
      <c r="M3553" t="inlineStr">
        <is>
          <t xml:space="preserve">Néant </t>
        </is>
      </c>
      <c r="N3553" t="inlineStr">
        <is>
          <t xml:space="preserve">Néant </t>
        </is>
      </c>
      <c r="O3553" t="inlineStr">
        <is>
          <t>NC</t>
        </is>
      </c>
      <c r="R3553" s="22"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2" t="n">
        <v>37140000</v>
      </c>
      <c r="K3554" t="inlineStr">
        <is>
          <t xml:space="preserve">JANVIER - DECEMBRE </t>
        </is>
      </c>
      <c r="L3554" t="inlineStr">
        <is>
          <t xml:space="preserve">EDUCATION </t>
        </is>
      </c>
      <c r="Q3554" t="inlineStr">
        <is>
          <t xml:space="preserve">ETUDIANTS </t>
        </is>
      </c>
      <c r="R3554" s="22"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2" t="n">
        <v>6050000</v>
      </c>
      <c r="K3555" t="inlineStr">
        <is>
          <t xml:space="preserve">JANVIER - DECEMBRE </t>
        </is>
      </c>
      <c r="L3555" t="inlineStr">
        <is>
          <t>APPUI INSTITUTIONNEL</t>
        </is>
      </c>
      <c r="Q3555" t="inlineStr">
        <is>
          <t>ACTIVITES SPORTIVES</t>
        </is>
      </c>
      <c r="R3555" s="22"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2" t="n">
        <v>124971165</v>
      </c>
      <c r="K3556" t="inlineStr">
        <is>
          <t xml:space="preserve">JANVIER - DECEMBRE </t>
        </is>
      </c>
      <c r="L3556" t="inlineStr">
        <is>
          <t>APPUI INSTITUTIONNEL</t>
        </is>
      </c>
      <c r="Q3556" t="inlineStr">
        <is>
          <t xml:space="preserve">COLLECTIVITES LOCALES </t>
        </is>
      </c>
      <c r="R3556" s="22"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2" t="n">
        <v>20000000</v>
      </c>
      <c r="K3557" s="23" t="n">
        <v>44931</v>
      </c>
      <c r="L3557" t="inlineStr">
        <is>
          <t>Education</t>
        </is>
      </c>
      <c r="M3557" t="inlineStr">
        <is>
          <t>Parrainage école primaire</t>
        </is>
      </c>
      <c r="N3557" t="inlineStr">
        <is>
          <t>Récurrent</t>
        </is>
      </c>
      <c r="O3557" t="inlineStr">
        <is>
          <t>Budget 2021-2022</t>
        </is>
      </c>
      <c r="R3557" s="22"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2" t="n">
        <v>17584946</v>
      </c>
      <c r="K3558" s="23" t="n">
        <v>45033</v>
      </c>
      <c r="L3558" t="inlineStr">
        <is>
          <t>Education</t>
        </is>
      </c>
      <c r="M3558" t="inlineStr">
        <is>
          <t>Parrainage école primaire</t>
        </is>
      </c>
      <c r="N3558" t="inlineStr">
        <is>
          <t>Récurrent</t>
        </is>
      </c>
      <c r="O3558" t="inlineStr">
        <is>
          <t>Solde 2021-2022</t>
        </is>
      </c>
      <c r="R3558" s="22"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2" t="n">
        <v>15000000</v>
      </c>
      <c r="K3559" s="23" t="n">
        <v>45189</v>
      </c>
      <c r="L3559" t="inlineStr">
        <is>
          <t>Education</t>
        </is>
      </c>
      <c r="M3559" t="inlineStr">
        <is>
          <t>Parrainage école primaire</t>
        </is>
      </c>
      <c r="N3559" t="inlineStr">
        <is>
          <t>Récurrent</t>
        </is>
      </c>
      <c r="O3559" t="inlineStr">
        <is>
          <t>Budget 2022-2023</t>
        </is>
      </c>
      <c r="R3559" s="22"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2" t="n">
        <v>1077874</v>
      </c>
      <c r="K3560" s="23" t="n">
        <v>44971</v>
      </c>
      <c r="L3560" t="inlineStr">
        <is>
          <t>Social</t>
        </is>
      </c>
      <c r="M3560" t="inlineStr">
        <is>
          <t>Caisse de solidarité SSPT</t>
        </is>
      </c>
      <c r="N3560" t="inlineStr">
        <is>
          <t>Récurrent</t>
        </is>
      </c>
      <c r="O3560" t="n">
        <v>44927</v>
      </c>
      <c r="R3560" s="22"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2" t="n">
        <v>383248</v>
      </c>
      <c r="K3561" s="23" t="n">
        <v>45006</v>
      </c>
      <c r="L3561" t="inlineStr">
        <is>
          <t>Social</t>
        </is>
      </c>
      <c r="M3561" t="inlineStr">
        <is>
          <t>Caisse de solidarité SSPT</t>
        </is>
      </c>
      <c r="N3561" t="inlineStr">
        <is>
          <t>Récurrent</t>
        </is>
      </c>
      <c r="O3561" t="n">
        <v>44958</v>
      </c>
      <c r="R3561" s="22"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2" t="n">
        <v>473903</v>
      </c>
      <c r="K3562" s="23" t="n">
        <v>45050</v>
      </c>
      <c r="L3562" t="inlineStr">
        <is>
          <t>Social</t>
        </is>
      </c>
      <c r="M3562" t="inlineStr">
        <is>
          <t>Caisse de solidarité SSPT</t>
        </is>
      </c>
      <c r="N3562" t="inlineStr">
        <is>
          <t>Récurrent</t>
        </is>
      </c>
      <c r="O3562" t="n">
        <v>44986</v>
      </c>
      <c r="R3562" s="22"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2" t="n">
        <v>192074</v>
      </c>
      <c r="K3563" s="23" t="n">
        <v>45068</v>
      </c>
      <c r="L3563" t="inlineStr">
        <is>
          <t>Social</t>
        </is>
      </c>
      <c r="M3563" t="inlineStr">
        <is>
          <t>Caisse de solidarité SSPT</t>
        </is>
      </c>
      <c r="N3563" t="inlineStr">
        <is>
          <t>Récurrent</t>
        </is>
      </c>
      <c r="O3563" t="n">
        <v>45017</v>
      </c>
      <c r="R3563" s="22"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2" t="n">
        <v>512836</v>
      </c>
      <c r="K3564" s="23" t="n">
        <v>45097</v>
      </c>
      <c r="L3564" t="inlineStr">
        <is>
          <t>Social</t>
        </is>
      </c>
      <c r="M3564" t="inlineStr">
        <is>
          <t>Caisse de solidarité SSPT</t>
        </is>
      </c>
      <c r="N3564" t="inlineStr">
        <is>
          <t>Récurrent</t>
        </is>
      </c>
      <c r="O3564" t="n">
        <v>45047</v>
      </c>
      <c r="R3564" s="22"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2" t="n">
        <v>880091</v>
      </c>
      <c r="K3565" s="23" t="n">
        <v>45127</v>
      </c>
      <c r="L3565" t="inlineStr">
        <is>
          <t>Social</t>
        </is>
      </c>
      <c r="M3565" t="inlineStr">
        <is>
          <t>Caisse de solidarité SSPT</t>
        </is>
      </c>
      <c r="N3565" t="inlineStr">
        <is>
          <t>Récurrent</t>
        </is>
      </c>
      <c r="O3565" t="n">
        <v>45078</v>
      </c>
      <c r="R3565" s="22"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2" t="n">
        <v>746299</v>
      </c>
      <c r="K3566" s="23" t="n">
        <v>45161</v>
      </c>
      <c r="L3566" t="inlineStr">
        <is>
          <t>Social</t>
        </is>
      </c>
      <c r="M3566" t="inlineStr">
        <is>
          <t>Caisse de solidarité SSPT</t>
        </is>
      </c>
      <c r="N3566" t="inlineStr">
        <is>
          <t>Récurrent</t>
        </is>
      </c>
      <c r="O3566" t="n">
        <v>45108</v>
      </c>
      <c r="R3566" s="22"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2" t="n">
        <v>745243</v>
      </c>
      <c r="K3567" s="23" t="n">
        <v>45182</v>
      </c>
      <c r="L3567" t="inlineStr">
        <is>
          <t>Social</t>
        </is>
      </c>
      <c r="M3567" t="inlineStr">
        <is>
          <t>Caisse de solidarité SSPT</t>
        </is>
      </c>
      <c r="N3567" t="inlineStr">
        <is>
          <t>Récurrent</t>
        </is>
      </c>
      <c r="O3567" t="n">
        <v>45139</v>
      </c>
      <c r="R3567" s="22"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2" t="n">
        <v>579919</v>
      </c>
      <c r="K3568" s="23" t="n">
        <v>45240</v>
      </c>
      <c r="L3568" t="inlineStr">
        <is>
          <t>Social</t>
        </is>
      </c>
      <c r="M3568" t="inlineStr">
        <is>
          <t>Caisse de solidarité SSPT</t>
        </is>
      </c>
      <c r="N3568" t="inlineStr">
        <is>
          <t>Récurrent</t>
        </is>
      </c>
      <c r="O3568" t="n">
        <v>45170</v>
      </c>
      <c r="R3568" s="22"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2" t="n">
        <v>415515</v>
      </c>
      <c r="K3569" s="23" t="n">
        <v>45268</v>
      </c>
      <c r="L3569" t="inlineStr">
        <is>
          <t>Social</t>
        </is>
      </c>
      <c r="M3569" t="inlineStr">
        <is>
          <t>Caisse de solidarité SSPT</t>
        </is>
      </c>
      <c r="N3569" t="inlineStr">
        <is>
          <t>Récurrent</t>
        </is>
      </c>
      <c r="O3569" t="n">
        <v>45200</v>
      </c>
      <c r="R3569" s="22"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2" t="n">
        <v>708378</v>
      </c>
      <c r="K3570" s="23" t="n">
        <v>45291</v>
      </c>
      <c r="L3570" t="inlineStr">
        <is>
          <t>Social</t>
        </is>
      </c>
      <c r="M3570" t="inlineStr">
        <is>
          <t>Caisse de solidarité SSPT</t>
        </is>
      </c>
      <c r="N3570" t="inlineStr">
        <is>
          <t>Récurrent</t>
        </is>
      </c>
      <c r="O3570" t="n">
        <v>45231</v>
      </c>
      <c r="R3570" s="22"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2" t="n">
        <v>929574</v>
      </c>
      <c r="K3571" s="23" t="n">
        <v>44971</v>
      </c>
      <c r="L3571" t="inlineStr">
        <is>
          <t>Social</t>
        </is>
      </c>
      <c r="M3571" t="inlineStr">
        <is>
          <t>Caisse de solidarité SSPT</t>
        </is>
      </c>
      <c r="N3571" t="inlineStr">
        <is>
          <t>Récurrent</t>
        </is>
      </c>
      <c r="O3571" t="n">
        <v>44927</v>
      </c>
      <c r="R3571" s="22"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2" t="n">
        <v>890862</v>
      </c>
      <c r="K3572" s="23" t="n">
        <v>45006</v>
      </c>
      <c r="L3572" t="inlineStr">
        <is>
          <t>Social</t>
        </is>
      </c>
      <c r="M3572" t="inlineStr">
        <is>
          <t>Caisse de solidarité SSPT</t>
        </is>
      </c>
      <c r="N3572" t="inlineStr">
        <is>
          <t>Récurrent</t>
        </is>
      </c>
      <c r="O3572" t="n">
        <v>44958</v>
      </c>
      <c r="R3572" s="22"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2" t="n">
        <v>915000</v>
      </c>
      <c r="K3573" s="23" t="n">
        <v>45050</v>
      </c>
      <c r="L3573" t="inlineStr">
        <is>
          <t>Social</t>
        </is>
      </c>
      <c r="M3573" t="inlineStr">
        <is>
          <t>Caisse de solidarité SSPT</t>
        </is>
      </c>
      <c r="N3573" t="inlineStr">
        <is>
          <t>Récurrent</t>
        </is>
      </c>
      <c r="O3573" t="n">
        <v>44986</v>
      </c>
      <c r="R3573" s="22"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2" t="n">
        <v>904736</v>
      </c>
      <c r="K3574" s="23" t="n">
        <v>45068</v>
      </c>
      <c r="L3574" t="inlineStr">
        <is>
          <t>Social</t>
        </is>
      </c>
      <c r="M3574" t="inlineStr">
        <is>
          <t>Caisse de solidarité SSPT</t>
        </is>
      </c>
      <c r="N3574" t="inlineStr">
        <is>
          <t>Récurrent</t>
        </is>
      </c>
      <c r="O3574" t="n">
        <v>45017</v>
      </c>
      <c r="R3574" s="22"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2" t="n">
        <v>912800</v>
      </c>
      <c r="K3575" s="23" t="n">
        <v>45097</v>
      </c>
      <c r="L3575" t="inlineStr">
        <is>
          <t>Social</t>
        </is>
      </c>
      <c r="M3575" t="inlineStr">
        <is>
          <t>Caisse de solidarité SSPT</t>
        </is>
      </c>
      <c r="N3575" t="inlineStr">
        <is>
          <t>Récurrent</t>
        </is>
      </c>
      <c r="O3575" t="n">
        <v>45047</v>
      </c>
      <c r="R3575" s="22"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2" t="n">
        <v>887388</v>
      </c>
      <c r="K3576" s="23" t="n">
        <v>45127</v>
      </c>
      <c r="L3576" t="inlineStr">
        <is>
          <t>Social</t>
        </is>
      </c>
      <c r="M3576" t="inlineStr">
        <is>
          <t>Caisse de solidarité SSPT</t>
        </is>
      </c>
      <c r="N3576" t="inlineStr">
        <is>
          <t>Récurrent</t>
        </is>
      </c>
      <c r="O3576" t="n">
        <v>45078</v>
      </c>
      <c r="R3576" s="22"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2" t="n">
        <v>1023084</v>
      </c>
      <c r="K3577" s="23" t="n">
        <v>45147</v>
      </c>
      <c r="L3577" t="inlineStr">
        <is>
          <t>Social</t>
        </is>
      </c>
      <c r="M3577" t="inlineStr">
        <is>
          <t>Caisse de solidarité SSPT</t>
        </is>
      </c>
      <c r="N3577" t="inlineStr">
        <is>
          <t>Récurrent</t>
        </is>
      </c>
      <c r="O3577" t="n">
        <v>45108</v>
      </c>
      <c r="R3577" s="22"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2" t="n">
        <v>1032616</v>
      </c>
      <c r="K3578" s="23" t="n">
        <v>45182</v>
      </c>
      <c r="L3578" t="inlineStr">
        <is>
          <t>Social</t>
        </is>
      </c>
      <c r="M3578" t="inlineStr">
        <is>
          <t>Caisse de solidarité SSPT</t>
        </is>
      </c>
      <c r="N3578" t="inlineStr">
        <is>
          <t>Récurrent</t>
        </is>
      </c>
      <c r="O3578" t="n">
        <v>45139</v>
      </c>
      <c r="R3578" s="22"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2" t="n">
        <v>1038188</v>
      </c>
      <c r="K3579" s="23" t="n">
        <v>45240</v>
      </c>
      <c r="L3579" t="inlineStr">
        <is>
          <t>Social</t>
        </is>
      </c>
      <c r="M3579" t="inlineStr">
        <is>
          <t>Caisse de solidarité SSPT</t>
        </is>
      </c>
      <c r="N3579" t="inlineStr">
        <is>
          <t>Récurrent</t>
        </is>
      </c>
      <c r="O3579" t="n">
        <v>45170</v>
      </c>
      <c r="R3579" s="22"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2" t="n">
        <v>1029818</v>
      </c>
      <c r="K3580" s="23" t="n">
        <v>45268</v>
      </c>
      <c r="L3580" t="inlineStr">
        <is>
          <t>Social</t>
        </is>
      </c>
      <c r="M3580" t="inlineStr">
        <is>
          <t>Caisse de solidarité SSPT</t>
        </is>
      </c>
      <c r="N3580" t="inlineStr">
        <is>
          <t>Récurrent</t>
        </is>
      </c>
      <c r="O3580" t="n">
        <v>45200</v>
      </c>
      <c r="R3580" s="22"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2" t="n">
        <v>1055362</v>
      </c>
      <c r="K3581" s="23" t="n">
        <v>45291</v>
      </c>
      <c r="L3581" t="inlineStr">
        <is>
          <t>Social</t>
        </is>
      </c>
      <c r="M3581" t="inlineStr">
        <is>
          <t>Caisse de solidarité SSPT</t>
        </is>
      </c>
      <c r="N3581" t="inlineStr">
        <is>
          <t>Récurrent</t>
        </is>
      </c>
      <c r="O3581" t="n">
        <v>45231</v>
      </c>
      <c r="R3581" s="22"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2" t="n">
        <v>1304850</v>
      </c>
      <c r="K3582" s="23" t="n">
        <v>44971</v>
      </c>
      <c r="L3582" t="inlineStr">
        <is>
          <t>Social</t>
        </is>
      </c>
      <c r="M3582" t="inlineStr">
        <is>
          <t>Caisse de solidarité SSPT</t>
        </is>
      </c>
      <c r="N3582" t="inlineStr">
        <is>
          <t>Récurrent</t>
        </is>
      </c>
      <c r="O3582" t="n">
        <v>44927</v>
      </c>
      <c r="R3582" s="22"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2" t="n">
        <v>1325228</v>
      </c>
      <c r="K3583" s="23" t="n">
        <v>45009</v>
      </c>
      <c r="L3583" t="inlineStr">
        <is>
          <t>Social</t>
        </is>
      </c>
      <c r="M3583" t="inlineStr">
        <is>
          <t>Caisse de solidarité SSPT</t>
        </is>
      </c>
      <c r="N3583" t="inlineStr">
        <is>
          <t>Récurrent</t>
        </is>
      </c>
      <c r="O3583" t="n">
        <v>44958</v>
      </c>
      <c r="R3583" s="22"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2" t="n">
        <v>1217415</v>
      </c>
      <c r="K3584" s="23" t="n">
        <v>45055</v>
      </c>
      <c r="L3584" t="inlineStr">
        <is>
          <t>Social</t>
        </is>
      </c>
      <c r="M3584" t="inlineStr">
        <is>
          <t>Caisse de solidarité SSPT</t>
        </is>
      </c>
      <c r="N3584" t="inlineStr">
        <is>
          <t>Récurrent</t>
        </is>
      </c>
      <c r="O3584" t="n">
        <v>44986</v>
      </c>
      <c r="R3584" s="22"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2" t="n">
        <v>1220189</v>
      </c>
      <c r="K3585" s="23" t="n">
        <v>45068</v>
      </c>
      <c r="L3585" t="inlineStr">
        <is>
          <t>Social</t>
        </is>
      </c>
      <c r="M3585" t="inlineStr">
        <is>
          <t>Caisse de solidarité SSPT</t>
        </is>
      </c>
      <c r="N3585" t="inlineStr">
        <is>
          <t>Récurrent</t>
        </is>
      </c>
      <c r="O3585" t="n">
        <v>45017</v>
      </c>
      <c r="R3585" s="22"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2" t="n">
        <v>1556548</v>
      </c>
      <c r="K3586" s="23" t="n">
        <v>45131</v>
      </c>
      <c r="L3586" t="inlineStr">
        <is>
          <t>Social</t>
        </is>
      </c>
      <c r="M3586" t="inlineStr">
        <is>
          <t>Caisse de solidarité SSPT</t>
        </is>
      </c>
      <c r="N3586" t="inlineStr">
        <is>
          <t>Récurrent</t>
        </is>
      </c>
      <c r="O3586" t="n">
        <v>45047</v>
      </c>
      <c r="R3586" s="22"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2" t="n">
        <v>1519737</v>
      </c>
      <c r="K3587" s="23" t="n">
        <v>45127</v>
      </c>
      <c r="L3587" t="inlineStr">
        <is>
          <t>Social</t>
        </is>
      </c>
      <c r="M3587" t="inlineStr">
        <is>
          <t>Caisse de solidarité SSPT</t>
        </is>
      </c>
      <c r="N3587" t="inlineStr">
        <is>
          <t>Récurrent</t>
        </is>
      </c>
      <c r="O3587" t="n">
        <v>45078</v>
      </c>
      <c r="R3587" s="22"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2" t="n">
        <v>1711794</v>
      </c>
      <c r="K3588" s="23" t="n">
        <v>45147</v>
      </c>
      <c r="L3588" t="inlineStr">
        <is>
          <t>Social</t>
        </is>
      </c>
      <c r="M3588" t="inlineStr">
        <is>
          <t>Caisse de solidarité SSPT</t>
        </is>
      </c>
      <c r="N3588" t="inlineStr">
        <is>
          <t>Récurrent</t>
        </is>
      </c>
      <c r="O3588" t="n">
        <v>45108</v>
      </c>
      <c r="R3588" s="22"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2" t="n">
        <v>1714313</v>
      </c>
      <c r="K3589" s="23" t="n">
        <v>45238</v>
      </c>
      <c r="L3589" t="inlineStr">
        <is>
          <t>Social</t>
        </is>
      </c>
      <c r="M3589" t="inlineStr">
        <is>
          <t>Caisse de solidarité SSPT</t>
        </is>
      </c>
      <c r="N3589" t="inlineStr">
        <is>
          <t>Récurrent</t>
        </is>
      </c>
      <c r="O3589" t="n">
        <v>45139</v>
      </c>
      <c r="R3589" s="22"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2" t="n">
        <v>1758387</v>
      </c>
      <c r="K3590" s="23" t="n">
        <v>45240</v>
      </c>
      <c r="L3590" t="inlineStr">
        <is>
          <t>Social</t>
        </is>
      </c>
      <c r="M3590" t="inlineStr">
        <is>
          <t>Caisse de solidarité SSPT</t>
        </is>
      </c>
      <c r="N3590" t="inlineStr">
        <is>
          <t>Récurrent</t>
        </is>
      </c>
      <c r="O3590" t="n">
        <v>45170</v>
      </c>
      <c r="R3590" s="22"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2" t="n">
        <v>1784162</v>
      </c>
      <c r="K3591" s="23" t="n">
        <v>45268</v>
      </c>
      <c r="L3591" t="inlineStr">
        <is>
          <t>Social</t>
        </is>
      </c>
      <c r="M3591" t="inlineStr">
        <is>
          <t>Caisse de solidarité SSPT</t>
        </is>
      </c>
      <c r="N3591" t="inlineStr">
        <is>
          <t>Récurrent</t>
        </is>
      </c>
      <c r="O3591" t="n">
        <v>45200</v>
      </c>
      <c r="R3591" s="22"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2" t="n">
        <v>1740271</v>
      </c>
      <c r="K3592" s="23" t="n">
        <v>45291</v>
      </c>
      <c r="L3592" t="inlineStr">
        <is>
          <t>Social</t>
        </is>
      </c>
      <c r="M3592" t="inlineStr">
        <is>
          <t>Caisse de solidarité SSPT</t>
        </is>
      </c>
      <c r="N3592" t="inlineStr">
        <is>
          <t>Récurrent</t>
        </is>
      </c>
      <c r="O3592" t="n">
        <v>45231</v>
      </c>
      <c r="R3592" s="22"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2" t="n">
        <v>7640</v>
      </c>
      <c r="K3593" t="inlineStr">
        <is>
          <t>Appuis divers</t>
        </is>
      </c>
      <c r="L3593" t="inlineStr">
        <is>
          <t>Appuis divers</t>
        </is>
      </c>
      <c r="M3593" t="inlineStr">
        <is>
          <t xml:space="preserve">Néant </t>
        </is>
      </c>
      <c r="N3593" t="inlineStr">
        <is>
          <t xml:space="preserve">Néant </t>
        </is>
      </c>
      <c r="O3593" t="inlineStr">
        <is>
          <t>Nc</t>
        </is>
      </c>
      <c r="R3593" s="22"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2" t="n">
        <v>43938</v>
      </c>
      <c r="K3594" t="inlineStr">
        <is>
          <t>NC</t>
        </is>
      </c>
      <c r="L3594" t="inlineStr">
        <is>
          <t>NC</t>
        </is>
      </c>
      <c r="M3594" t="inlineStr">
        <is>
          <t xml:space="preserve">Néant </t>
        </is>
      </c>
      <c r="N3594" t="inlineStr">
        <is>
          <t xml:space="preserve">Néant </t>
        </is>
      </c>
      <c r="O3594" t="inlineStr">
        <is>
          <t>NC</t>
        </is>
      </c>
      <c r="R3594" s="22"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2" t="n">
        <v>44165</v>
      </c>
      <c r="K3595" t="inlineStr">
        <is>
          <t>NC</t>
        </is>
      </c>
      <c r="L3595" t="inlineStr">
        <is>
          <t>NC</t>
        </is>
      </c>
      <c r="M3595" t="inlineStr">
        <is>
          <t xml:space="preserve">Néant </t>
        </is>
      </c>
      <c r="N3595" t="inlineStr">
        <is>
          <t xml:space="preserve">Néant </t>
        </is>
      </c>
      <c r="O3595" t="inlineStr">
        <is>
          <t>NC</t>
        </is>
      </c>
      <c r="R3595" s="22"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2" t="n">
        <v>44165</v>
      </c>
      <c r="K3596" t="inlineStr">
        <is>
          <t>NC</t>
        </is>
      </c>
      <c r="L3596" t="inlineStr">
        <is>
          <t>NC</t>
        </is>
      </c>
      <c r="M3596" t="inlineStr">
        <is>
          <t xml:space="preserve">Néant </t>
        </is>
      </c>
      <c r="N3596" t="inlineStr">
        <is>
          <t xml:space="preserve">Néant </t>
        </is>
      </c>
      <c r="O3596" t="inlineStr">
        <is>
          <t>NC</t>
        </is>
      </c>
      <c r="R3596" s="22"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2" t="n">
        <v>44165</v>
      </c>
      <c r="K3597" t="inlineStr">
        <is>
          <t>NC</t>
        </is>
      </c>
      <c r="L3597" t="inlineStr">
        <is>
          <t>NC</t>
        </is>
      </c>
      <c r="M3597" t="inlineStr">
        <is>
          <t xml:space="preserve">Néant </t>
        </is>
      </c>
      <c r="N3597" t="inlineStr">
        <is>
          <t xml:space="preserve">Néant </t>
        </is>
      </c>
      <c r="O3597" t="inlineStr">
        <is>
          <t>NC</t>
        </is>
      </c>
      <c r="R3597" s="22"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2" t="n">
        <v>44165</v>
      </c>
      <c r="K3598" t="inlineStr">
        <is>
          <t>NC</t>
        </is>
      </c>
      <c r="L3598" t="inlineStr">
        <is>
          <t>NC</t>
        </is>
      </c>
      <c r="M3598" t="inlineStr">
        <is>
          <t xml:space="preserve">Néant </t>
        </is>
      </c>
      <c r="N3598" t="inlineStr">
        <is>
          <t xml:space="preserve">Néant </t>
        </is>
      </c>
      <c r="O3598" t="inlineStr">
        <is>
          <t>NC</t>
        </is>
      </c>
      <c r="R3598" s="22"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2" t="n">
        <v>44165</v>
      </c>
      <c r="K3599" t="inlineStr">
        <is>
          <t>NC</t>
        </is>
      </c>
      <c r="L3599" t="inlineStr">
        <is>
          <t>NC</t>
        </is>
      </c>
      <c r="M3599" t="inlineStr">
        <is>
          <t xml:space="preserve">Néant </t>
        </is>
      </c>
      <c r="N3599" t="inlineStr">
        <is>
          <t xml:space="preserve">Néant </t>
        </is>
      </c>
      <c r="O3599" t="inlineStr">
        <is>
          <t>NC</t>
        </is>
      </c>
      <c r="R3599" s="22"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2" t="n">
        <v>199999.59</v>
      </c>
      <c r="K3600" s="23"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2"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2" t="n">
        <v>199999.1</v>
      </c>
      <c r="K3601" s="23"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2"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2" t="n">
        <v>199998.15</v>
      </c>
      <c r="K3602" s="23"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2"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2" t="n">
        <v>198000.17</v>
      </c>
      <c r="K3603" s="23"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2"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2" t="n">
        <v>197344.82</v>
      </c>
      <c r="K3604" s="23" t="n">
        <v>45010</v>
      </c>
      <c r="L3604" t="inlineStr">
        <is>
          <t>Donation</t>
        </is>
      </c>
      <c r="M3604" t="inlineStr">
        <is>
          <t>NA</t>
        </is>
      </c>
      <c r="N3604" t="inlineStr">
        <is>
          <t>NA</t>
        </is>
      </c>
      <c r="O3604" t="inlineStr">
        <is>
          <t>NA</t>
        </is>
      </c>
      <c r="P3604" t="inlineStr">
        <is>
          <t>NA</t>
        </is>
      </c>
      <c r="Q3604" t="inlineStr">
        <is>
          <t>NA</t>
        </is>
      </c>
      <c r="R3604" s="22"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2" t="n">
        <v>197344.82</v>
      </c>
      <c r="K3605" s="23" t="n">
        <v>45010</v>
      </c>
      <c r="L3605" t="inlineStr">
        <is>
          <t>Donation</t>
        </is>
      </c>
      <c r="M3605" t="inlineStr">
        <is>
          <t>NA</t>
        </is>
      </c>
      <c r="N3605" t="inlineStr">
        <is>
          <t>NA</t>
        </is>
      </c>
      <c r="O3605" t="inlineStr">
        <is>
          <t>NA</t>
        </is>
      </c>
      <c r="P3605" t="inlineStr">
        <is>
          <t>NA</t>
        </is>
      </c>
      <c r="Q3605" t="inlineStr">
        <is>
          <t>NA</t>
        </is>
      </c>
      <c r="R3605" s="22"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2"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2" t="n">
        <v>189474</v>
      </c>
      <c r="K3607" s="23" t="n">
        <v>45335</v>
      </c>
      <c r="R3607" s="22"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2" t="n">
        <v>189474</v>
      </c>
      <c r="K3608" s="23" t="n">
        <v>45335</v>
      </c>
      <c r="R3608" s="22"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2" t="n">
        <v>3000002.27</v>
      </c>
      <c r="K3609" s="23" t="n">
        <v>44617</v>
      </c>
      <c r="L3609" t="inlineStr">
        <is>
          <t>SF General</t>
        </is>
      </c>
      <c r="R3609" s="22"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2" t="n">
        <v>1599999.65</v>
      </c>
      <c r="K3610" s="23" t="n">
        <v>44617</v>
      </c>
      <c r="L3610" t="inlineStr">
        <is>
          <t>SF General</t>
        </is>
      </c>
      <c r="R3610" s="22"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2" t="n">
        <v>1999999.56</v>
      </c>
      <c r="K3611" s="23" t="n">
        <v>44617</v>
      </c>
      <c r="L3611" t="inlineStr">
        <is>
          <t>SF General</t>
        </is>
      </c>
      <c r="R3611" s="22"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2" t="n">
        <v>189474</v>
      </c>
      <c r="K3612" s="23" t="n">
        <v>45335</v>
      </c>
      <c r="R3612" s="22"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2" t="n">
        <v>189474</v>
      </c>
      <c r="K3613" s="23" t="n">
        <v>45335</v>
      </c>
      <c r="R3613" s="22"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2" t="n">
        <v>188500</v>
      </c>
      <c r="L3614" t="inlineStr">
        <is>
          <t>APPUIS DIVERS</t>
        </is>
      </c>
      <c r="R3614" s="22"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2" t="n">
        <v>187500</v>
      </c>
      <c r="K3615" s="23" t="n">
        <v>45100</v>
      </c>
      <c r="L3615" t="inlineStr">
        <is>
          <t>Appui divers</t>
        </is>
      </c>
      <c r="M3615" t="inlineStr">
        <is>
          <t>N/A</t>
        </is>
      </c>
      <c r="N3615" t="inlineStr">
        <is>
          <t>N/A</t>
        </is>
      </c>
      <c r="O3615" t="inlineStr">
        <is>
          <t>N/A</t>
        </is>
      </c>
      <c r="R3615" s="22"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2" t="n">
        <v>120000</v>
      </c>
      <c r="K3616" s="23" t="n">
        <v>44651</v>
      </c>
      <c r="L3616" t="inlineStr">
        <is>
          <t>SF General</t>
        </is>
      </c>
      <c r="R3616" s="22"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2" t="n">
        <v>187391.27</v>
      </c>
      <c r="K3617" s="23" t="n">
        <v>45220</v>
      </c>
      <c r="L3617" t="inlineStr">
        <is>
          <t>Donation</t>
        </is>
      </c>
      <c r="M3617" t="inlineStr">
        <is>
          <t>NA</t>
        </is>
      </c>
      <c r="N3617" t="inlineStr">
        <is>
          <t>NA</t>
        </is>
      </c>
      <c r="O3617" t="inlineStr">
        <is>
          <t>NA</t>
        </is>
      </c>
      <c r="P3617" t="inlineStr">
        <is>
          <t>NA</t>
        </is>
      </c>
      <c r="Q3617" t="inlineStr">
        <is>
          <t>NA</t>
        </is>
      </c>
      <c r="R3617" s="22"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2" t="n">
        <v>44165</v>
      </c>
      <c r="K3618" t="inlineStr">
        <is>
          <t>NC</t>
        </is>
      </c>
      <c r="L3618" t="inlineStr">
        <is>
          <t>NC</t>
        </is>
      </c>
      <c r="M3618" t="inlineStr">
        <is>
          <t xml:space="preserve">Néant </t>
        </is>
      </c>
      <c r="N3618" t="inlineStr">
        <is>
          <t xml:space="preserve">Néant </t>
        </is>
      </c>
      <c r="O3618" t="inlineStr">
        <is>
          <t>NC</t>
        </is>
      </c>
      <c r="R3618" s="22"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2"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2"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2" t="n">
        <v>1234029.64</v>
      </c>
      <c r="K3621" s="23" t="n">
        <v>44676</v>
      </c>
      <c r="L3621" t="inlineStr">
        <is>
          <t>SF General</t>
        </is>
      </c>
      <c r="R3621" s="22"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2" t="n">
        <v>43845</v>
      </c>
      <c r="K3622" t="inlineStr">
        <is>
          <t>CULTURE</t>
        </is>
      </c>
      <c r="L3622" t="inlineStr">
        <is>
          <t>PRISE EN CHARG LOC BACHES&amp;CHAISES SITE R</t>
        </is>
      </c>
      <c r="M3622" t="inlineStr">
        <is>
          <t xml:space="preserve">Néant </t>
        </is>
      </c>
      <c r="N3622" t="inlineStr">
        <is>
          <t xml:space="preserve">Néant </t>
        </is>
      </c>
      <c r="O3622" t="inlineStr">
        <is>
          <t>NC</t>
        </is>
      </c>
      <c r="R3622" s="22"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2" t="n">
        <v>182450</v>
      </c>
      <c r="K3623" s="23" t="n">
        <v>45291</v>
      </c>
      <c r="R3623" s="22"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2" t="n">
        <v>182000</v>
      </c>
      <c r="K3624" s="23" t="n">
        <v>45387</v>
      </c>
      <c r="L3624" t="inlineStr">
        <is>
          <t>NEANT</t>
        </is>
      </c>
      <c r="M3624" t="n">
        <v>0</v>
      </c>
      <c r="N3624" s="22" t="n">
        <v>0</v>
      </c>
      <c r="O3624" t="inlineStr">
        <is>
          <t>NEANT</t>
        </is>
      </c>
      <c r="P3624" t="inlineStr">
        <is>
          <t>NEANT</t>
        </is>
      </c>
      <c r="Q3624" t="inlineStr">
        <is>
          <t>NEANT</t>
        </is>
      </c>
      <c r="R3624" s="22"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2" t="n">
        <v>180002.62</v>
      </c>
      <c r="K3625" s="23"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2"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2" t="n">
        <v>180001.2</v>
      </c>
      <c r="K3626" s="23"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2"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2" t="n">
        <v>44084</v>
      </c>
      <c r="K3627" t="inlineStr">
        <is>
          <t>Donation</t>
        </is>
      </c>
      <c r="L3627" t="inlineStr">
        <is>
          <t>Donation</t>
        </is>
      </c>
      <c r="M3627" t="inlineStr">
        <is>
          <t>Néant</t>
        </is>
      </c>
      <c r="N3627" t="inlineStr">
        <is>
          <t>Néant</t>
        </is>
      </c>
      <c r="O3627" t="inlineStr">
        <is>
          <t>NC</t>
        </is>
      </c>
      <c r="R3627" s="22"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2" t="n">
        <v>179101.02</v>
      </c>
      <c r="K3628" s="23" t="n">
        <v>44985</v>
      </c>
      <c r="L3628" t="inlineStr">
        <is>
          <t>Appui divers</t>
        </is>
      </c>
      <c r="M3628" t="inlineStr">
        <is>
          <t>N/A</t>
        </is>
      </c>
      <c r="N3628" t="inlineStr">
        <is>
          <t>N/A</t>
        </is>
      </c>
      <c r="O3628" t="inlineStr">
        <is>
          <t>N/A</t>
        </is>
      </c>
      <c r="R3628" s="22"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2" t="n">
        <v>175000</v>
      </c>
      <c r="K3629" t="inlineStr">
        <is>
          <t>17/11/2023</t>
        </is>
      </c>
      <c r="L3629" t="inlineStr">
        <is>
          <t>Appuis divers</t>
        </is>
      </c>
      <c r="R3629" s="22"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2" t="n">
        <v>174997.96</v>
      </c>
      <c r="O3630" t="inlineStr">
        <is>
          <t>SF General</t>
        </is>
      </c>
      <c r="P3630" t="inlineStr">
        <is>
          <t>Obligation de développement social: art.15 de l'avenant 1 à la convention minière de Sabodala du 23 mars 2005</t>
        </is>
      </c>
      <c r="R3630" s="22"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2" t="n">
        <v>2900000</v>
      </c>
      <c r="K3631" s="23" t="n">
        <v>44568</v>
      </c>
      <c r="L3631" t="inlineStr">
        <is>
          <t>SF Hydrolique (Eau)</t>
        </is>
      </c>
      <c r="R3631" s="22"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2" t="n">
        <v>2900000</v>
      </c>
      <c r="K3632" s="23" t="n">
        <v>44580</v>
      </c>
      <c r="L3632" t="inlineStr">
        <is>
          <t>SF Hydrolique (Eau)</t>
        </is>
      </c>
      <c r="R3632" s="22"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2" t="n">
        <v>1100000</v>
      </c>
      <c r="K3633" s="23" t="n">
        <v>44599</v>
      </c>
      <c r="L3633" t="inlineStr">
        <is>
          <t>SF Hydrolique (Eau)</t>
        </is>
      </c>
      <c r="R3633" s="22"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2" t="n">
        <v>3288000</v>
      </c>
      <c r="K3634" s="23" t="n">
        <v>44607</v>
      </c>
      <c r="L3634" t="inlineStr">
        <is>
          <t>SF Hydrolique (Eau)</t>
        </is>
      </c>
      <c r="R3634" s="22"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2" t="n">
        <v>1096000</v>
      </c>
      <c r="K3635" s="23" t="n">
        <v>44607</v>
      </c>
      <c r="L3635" t="inlineStr">
        <is>
          <t>SF Hydrolique (Eau)</t>
        </is>
      </c>
      <c r="R3635" s="22"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2" t="n">
        <v>140000</v>
      </c>
      <c r="K3636" s="23" t="n">
        <v>44608</v>
      </c>
      <c r="L3636" t="inlineStr">
        <is>
          <t>SF Hydrolique (Eau)</t>
        </is>
      </c>
      <c r="R3636" s="22"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2" t="n">
        <v>1795875</v>
      </c>
      <c r="K3637" s="23" t="n">
        <v>44651</v>
      </c>
      <c r="L3637" t="inlineStr">
        <is>
          <t>SF Hydrolique (Eau)</t>
        </is>
      </c>
      <c r="R3637" s="22"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2" t="n">
        <v>5387625</v>
      </c>
      <c r="K3638" s="23" t="n">
        <v>44651</v>
      </c>
      <c r="L3638" t="inlineStr">
        <is>
          <t>SF Hydrolique (Eau)</t>
        </is>
      </c>
      <c r="R3638" s="22"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2" t="n">
        <v>1880000</v>
      </c>
      <c r="K3639" s="23" t="n">
        <v>44659</v>
      </c>
      <c r="L3639" t="inlineStr">
        <is>
          <t>SF Hydrolique (Eau)</t>
        </is>
      </c>
      <c r="R3639" s="22"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2" t="n">
        <v>167000</v>
      </c>
      <c r="K3640" s="23" t="n">
        <v>44696</v>
      </c>
      <c r="L3640" t="inlineStr">
        <is>
          <t>SF Hydrolique (Eau)</t>
        </is>
      </c>
      <c r="R3640" s="22"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2" t="n">
        <v>1200001.38</v>
      </c>
      <c r="K3641" s="23" t="n">
        <v>44711</v>
      </c>
      <c r="L3641" t="inlineStr">
        <is>
          <t>SF Hydrolique (Eau)</t>
        </is>
      </c>
      <c r="R3641" s="22"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2" t="n">
        <v>15299997.73</v>
      </c>
      <c r="K3642" s="23" t="n">
        <v>44711</v>
      </c>
      <c r="L3642" t="inlineStr">
        <is>
          <t>SF Hydrolique (Eau)</t>
        </is>
      </c>
      <c r="R3642" s="22"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2" t="n">
        <v>1799999.02</v>
      </c>
      <c r="K3643" s="23" t="n">
        <v>44711</v>
      </c>
      <c r="L3643" t="inlineStr">
        <is>
          <t>SF Hydrolique (Eau)</t>
        </is>
      </c>
      <c r="R3643" s="22"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2" t="n">
        <v>300001.87</v>
      </c>
      <c r="K3644" s="23" t="n">
        <v>44711</v>
      </c>
      <c r="L3644" t="inlineStr">
        <is>
          <t>SF Hydrolique (Eau)</t>
        </is>
      </c>
      <c r="R3644" s="22"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2" t="n">
        <v>3348000</v>
      </c>
      <c r="K3645" s="23" t="n">
        <v>44712</v>
      </c>
      <c r="L3645" t="inlineStr">
        <is>
          <t>SF Hydrolique (Eau)</t>
        </is>
      </c>
      <c r="R3645" s="22"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2" t="n">
        <v>19448609.44</v>
      </c>
      <c r="K3646" s="23" t="n">
        <v>44568</v>
      </c>
      <c r="L3646" t="inlineStr">
        <is>
          <t>SF Santé</t>
        </is>
      </c>
      <c r="R3646" s="22"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2" t="n">
        <v>833095.12</v>
      </c>
      <c r="K3647" s="23" t="n">
        <v>44568</v>
      </c>
      <c r="L3647" t="inlineStr">
        <is>
          <t>SF Santé</t>
        </is>
      </c>
      <c r="R3647" s="22"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2" t="n">
        <v>6796755</v>
      </c>
      <c r="K3648" s="23" t="n">
        <v>44568</v>
      </c>
      <c r="L3648" t="inlineStr">
        <is>
          <t>SF Santé</t>
        </is>
      </c>
      <c r="R3648" s="22"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2" t="n">
        <v>-730721.505257923</v>
      </c>
      <c r="K3649" s="23" t="n">
        <v>44568</v>
      </c>
      <c r="L3649" t="inlineStr">
        <is>
          <t>SF Santé</t>
        </is>
      </c>
      <c r="R3649" s="22"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2" t="n">
        <v>-31300.97906088</v>
      </c>
      <c r="K3650" s="23" t="n">
        <v>44568</v>
      </c>
      <c r="L3650" t="inlineStr">
        <is>
          <t>SF Santé</t>
        </is>
      </c>
      <c r="R3650" s="22"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2" t="n">
        <v>4429998.07</v>
      </c>
      <c r="K3651" s="23" t="n">
        <v>44597</v>
      </c>
      <c r="L3651" t="inlineStr">
        <is>
          <t>SF Santé</t>
        </is>
      </c>
      <c r="R3651" s="22"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2" t="n">
        <v>3399498.8</v>
      </c>
      <c r="K3652" s="23" t="n">
        <v>44597</v>
      </c>
      <c r="L3652" t="inlineStr">
        <is>
          <t>SF Santé</t>
        </is>
      </c>
      <c r="R3652" s="22"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2" t="n">
        <v>5495694</v>
      </c>
      <c r="K3653" s="23" t="n">
        <v>44606</v>
      </c>
      <c r="L3653" t="inlineStr">
        <is>
          <t>SF Santé</t>
        </is>
      </c>
      <c r="R3653" s="22"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2" t="n">
        <v>510000</v>
      </c>
      <c r="K3654" s="23" t="n">
        <v>44611</v>
      </c>
      <c r="L3654" t="inlineStr">
        <is>
          <t>SF Santé</t>
        </is>
      </c>
      <c r="R3654" s="22"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2" t="n">
        <v>64291</v>
      </c>
      <c r="K3655" s="23" t="n">
        <v>44620</v>
      </c>
      <c r="L3655" t="inlineStr">
        <is>
          <t>SF Santé</t>
        </is>
      </c>
      <c r="R3655" s="22"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2" t="n">
        <v>375000</v>
      </c>
      <c r="K3656" s="23" t="n">
        <v>44623</v>
      </c>
      <c r="L3656" t="inlineStr">
        <is>
          <t>SF Santé</t>
        </is>
      </c>
      <c r="R3656" s="22"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2" t="n">
        <v>26782343.74</v>
      </c>
      <c r="K3657" s="23" t="n">
        <v>44627</v>
      </c>
      <c r="L3657" t="inlineStr">
        <is>
          <t>SF Santé</t>
        </is>
      </c>
      <c r="R3657" s="22"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2" t="n">
        <v>41000</v>
      </c>
      <c r="K3658" s="23" t="n">
        <v>44641</v>
      </c>
      <c r="L3658" t="inlineStr">
        <is>
          <t>SF Santé</t>
        </is>
      </c>
      <c r="R3658" s="22"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2" t="n">
        <v>-5.41</v>
      </c>
      <c r="K3659" s="23" t="n">
        <v>44651</v>
      </c>
      <c r="L3659" t="inlineStr">
        <is>
          <t>SF Santé</t>
        </is>
      </c>
      <c r="R3659" s="22"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2" t="n">
        <v>4253193.5</v>
      </c>
      <c r="K3660" s="23" t="n">
        <v>44651</v>
      </c>
      <c r="L3660" t="inlineStr">
        <is>
          <t>SF Santé</t>
        </is>
      </c>
      <c r="R3660" s="22"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2" t="n">
        <v>11860451</v>
      </c>
      <c r="K3661" s="23" t="n">
        <v>44690</v>
      </c>
      <c r="L3661" t="inlineStr">
        <is>
          <t>SF Santé</t>
        </is>
      </c>
      <c r="R3661" s="22"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2" t="n">
        <v>78577.28</v>
      </c>
      <c r="K3662" s="23" t="n">
        <v>44722</v>
      </c>
      <c r="L3662" t="inlineStr">
        <is>
          <t>SF Santé</t>
        </is>
      </c>
      <c r="R3662" s="22"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2" t="n">
        <v>68103.60000000001</v>
      </c>
      <c r="K3663" s="23" t="n">
        <v>44722</v>
      </c>
      <c r="L3663" t="inlineStr">
        <is>
          <t>SF Santé</t>
        </is>
      </c>
      <c r="R3663" s="22"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2" t="n">
        <v>39291.72</v>
      </c>
      <c r="K3664" s="23" t="n">
        <v>44722</v>
      </c>
      <c r="L3664" t="inlineStr">
        <is>
          <t>SF Santé</t>
        </is>
      </c>
      <c r="R3664" s="22"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2" t="n">
        <v>183357.27</v>
      </c>
      <c r="K3665" s="23" t="n">
        <v>44722</v>
      </c>
      <c r="L3665" t="inlineStr">
        <is>
          <t>SF Santé</t>
        </is>
      </c>
      <c r="R3665" s="22"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2" t="n">
        <v>78577.28</v>
      </c>
      <c r="K3666" s="23" t="n">
        <v>44722</v>
      </c>
      <c r="L3666" t="inlineStr">
        <is>
          <t>SF Santé</t>
        </is>
      </c>
      <c r="R3666" s="22"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2" t="n">
        <v>1021560.17</v>
      </c>
      <c r="K3667" s="23" t="n">
        <v>44722</v>
      </c>
      <c r="L3667" t="inlineStr">
        <is>
          <t>SF Santé</t>
        </is>
      </c>
      <c r="R3667" s="22"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2" t="n">
        <v>471488.36</v>
      </c>
      <c r="K3668" s="23" t="n">
        <v>44722</v>
      </c>
      <c r="L3668" t="inlineStr">
        <is>
          <t>SF Santé</t>
        </is>
      </c>
      <c r="R3668" s="22"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2" t="n">
        <v>327422.81</v>
      </c>
      <c r="K3669" s="23" t="n">
        <v>44722</v>
      </c>
      <c r="L3669" t="inlineStr">
        <is>
          <t>SF Santé</t>
        </is>
      </c>
      <c r="R3669" s="22"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2" t="n">
        <v>275029.74</v>
      </c>
      <c r="K3670" s="23" t="n">
        <v>44722</v>
      </c>
      <c r="L3670" t="inlineStr">
        <is>
          <t>SF Santé</t>
        </is>
      </c>
      <c r="R3670" s="22"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2" t="n">
        <v>327422.81</v>
      </c>
      <c r="K3671" s="23" t="n">
        <v>44722</v>
      </c>
      <c r="L3671" t="inlineStr">
        <is>
          <t>SF Santé</t>
        </is>
      </c>
      <c r="R3671" s="22"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2" t="n">
        <v>130964.19</v>
      </c>
      <c r="K3672" s="23" t="n">
        <v>44722</v>
      </c>
      <c r="L3672" t="inlineStr">
        <is>
          <t>SF Santé</t>
        </is>
      </c>
      <c r="R3672" s="22"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2" t="n">
        <v>261940.72</v>
      </c>
      <c r="K3673" s="23" t="n">
        <v>44722</v>
      </c>
      <c r="L3673" t="inlineStr">
        <is>
          <t>SF Santé</t>
        </is>
      </c>
      <c r="R3673" s="22"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2" t="n">
        <v>78577.28</v>
      </c>
      <c r="K3674" s="23" t="n">
        <v>44722</v>
      </c>
      <c r="L3674" t="inlineStr">
        <is>
          <t>SF Santé</t>
        </is>
      </c>
      <c r="R3674" s="22"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2" t="n">
        <v>235744.18</v>
      </c>
      <c r="K3675" s="23" t="n">
        <v>44722</v>
      </c>
      <c r="L3675" t="inlineStr">
        <is>
          <t>SF Santé</t>
        </is>
      </c>
      <c r="R3675" s="22"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2" t="n">
        <v>471488.36</v>
      </c>
      <c r="K3676" s="23" t="n">
        <v>44722</v>
      </c>
      <c r="L3676" t="inlineStr">
        <is>
          <t>SF Santé</t>
        </is>
      </c>
      <c r="R3676" s="22"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2" t="n">
        <v>130964.19</v>
      </c>
      <c r="K3677" s="23" t="n">
        <v>44722</v>
      </c>
      <c r="L3677" t="inlineStr">
        <is>
          <t>SF Santé</t>
        </is>
      </c>
      <c r="R3677" s="22"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2" t="n">
        <v>261940.72</v>
      </c>
      <c r="K3678" s="23" t="n">
        <v>44722</v>
      </c>
      <c r="L3678" t="inlineStr">
        <is>
          <t>SF Santé</t>
        </is>
      </c>
      <c r="R3678" s="22"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2" t="n">
        <v>327422.81</v>
      </c>
      <c r="K3679" s="23" t="n">
        <v>44722</v>
      </c>
      <c r="L3679" t="inlineStr">
        <is>
          <t>SF Santé</t>
        </is>
      </c>
      <c r="R3679" s="22"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2" t="n">
        <v>104779.99</v>
      </c>
      <c r="K3680" s="23" t="n">
        <v>44722</v>
      </c>
      <c r="L3680" t="inlineStr">
        <is>
          <t>SF Santé</t>
        </is>
      </c>
      <c r="R3680" s="22"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2" t="n">
        <v>39291.72</v>
      </c>
      <c r="K3681" s="23" t="n">
        <v>44722</v>
      </c>
      <c r="L3681" t="inlineStr">
        <is>
          <t>SF Santé</t>
        </is>
      </c>
      <c r="R3681" s="22"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2" t="n">
        <v>26190.37</v>
      </c>
      <c r="K3682" s="23" t="n">
        <v>44722</v>
      </c>
      <c r="L3682" t="inlineStr">
        <is>
          <t>SF Santé</t>
        </is>
      </c>
      <c r="R3682" s="22"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2" t="n">
        <v>39291.72</v>
      </c>
      <c r="K3683" s="23" t="n">
        <v>44722</v>
      </c>
      <c r="L3683" t="inlineStr">
        <is>
          <t>SF Santé</t>
        </is>
      </c>
      <c r="R3683" s="22"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2" t="n">
        <v>52386.91</v>
      </c>
      <c r="K3684" s="23" t="n">
        <v>44722</v>
      </c>
      <c r="L3684" t="inlineStr">
        <is>
          <t>SF Santé</t>
        </is>
      </c>
      <c r="R3684" s="22"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2" t="n">
        <v>209547.64</v>
      </c>
      <c r="K3685" s="23" t="n">
        <v>44722</v>
      </c>
      <c r="L3685" t="inlineStr">
        <is>
          <t>SF Santé</t>
        </is>
      </c>
      <c r="R3685" s="22"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2" t="n">
        <v>31433.38</v>
      </c>
      <c r="K3686" s="23" t="n">
        <v>44722</v>
      </c>
      <c r="L3686" t="inlineStr">
        <is>
          <t>SF Santé</t>
        </is>
      </c>
      <c r="R3686" s="22"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2" t="n">
        <v>15716.69</v>
      </c>
      <c r="K3687" s="23" t="n">
        <v>44722</v>
      </c>
      <c r="L3687" t="inlineStr">
        <is>
          <t>SF Santé</t>
        </is>
      </c>
      <c r="R3687" s="22"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2" t="n">
        <v>2621.5</v>
      </c>
      <c r="K3688" s="23" t="n">
        <v>44722</v>
      </c>
      <c r="L3688" t="inlineStr">
        <is>
          <t>SF Santé</t>
        </is>
      </c>
      <c r="R3688" s="22"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2" t="n">
        <v>510780.08</v>
      </c>
      <c r="K3689" s="23" t="n">
        <v>44722</v>
      </c>
      <c r="L3689" t="inlineStr">
        <is>
          <t>SF Santé</t>
        </is>
      </c>
      <c r="R3689" s="22"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2" t="n">
        <v>163711.41</v>
      </c>
      <c r="K3690" s="23" t="n">
        <v>44722</v>
      </c>
      <c r="L3690" t="inlineStr">
        <is>
          <t>SF Santé</t>
        </is>
      </c>
      <c r="R3690" s="22"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2" t="n">
        <v>163711.41</v>
      </c>
      <c r="K3691" s="23" t="n">
        <v>44722</v>
      </c>
      <c r="L3691" t="inlineStr">
        <is>
          <t>SF Santé</t>
        </is>
      </c>
      <c r="R3691" s="22"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2" t="n">
        <v>117875.17</v>
      </c>
      <c r="K3692" s="23" t="n">
        <v>44722</v>
      </c>
      <c r="L3692" t="inlineStr">
        <is>
          <t>SF Santé</t>
        </is>
      </c>
      <c r="R3692" s="22"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2" t="n">
        <v>130964.19</v>
      </c>
      <c r="K3693" s="23" t="n">
        <v>44722</v>
      </c>
      <c r="L3693" t="inlineStr">
        <is>
          <t>SF Santé</t>
        </is>
      </c>
      <c r="R3693" s="22"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2" t="n">
        <v>4583.01</v>
      </c>
      <c r="K3694" s="23" t="n">
        <v>44722</v>
      </c>
      <c r="L3694" t="inlineStr">
        <is>
          <t>SF Santé</t>
        </is>
      </c>
      <c r="R3694" s="22"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2" t="n">
        <v>163717.58</v>
      </c>
      <c r="K3695" s="23" t="n">
        <v>44722</v>
      </c>
      <c r="L3695" t="inlineStr">
        <is>
          <t>SF Santé</t>
        </is>
      </c>
      <c r="R3695" s="22"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2" t="n">
        <v>39291.72</v>
      </c>
      <c r="K3696" s="23" t="n">
        <v>44722</v>
      </c>
      <c r="L3696" t="inlineStr">
        <is>
          <t>SF Santé</t>
        </is>
      </c>
      <c r="R3696" s="22"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2" t="n">
        <v>19639.69</v>
      </c>
      <c r="K3697" s="23" t="n">
        <v>44722</v>
      </c>
      <c r="L3697" t="inlineStr">
        <is>
          <t>SF Santé</t>
        </is>
      </c>
      <c r="R3697" s="22"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2" t="n">
        <v>39291.72</v>
      </c>
      <c r="K3698" s="23" t="n">
        <v>44722</v>
      </c>
      <c r="L3698" t="inlineStr">
        <is>
          <t>SF Santé</t>
        </is>
      </c>
      <c r="R3698" s="22"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2" t="n">
        <v>52386.91</v>
      </c>
      <c r="K3699" s="23" t="n">
        <v>44722</v>
      </c>
      <c r="L3699" t="inlineStr">
        <is>
          <t>SF Santé</t>
        </is>
      </c>
      <c r="R3699" s="22"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2" t="n">
        <v>163717.58</v>
      </c>
      <c r="K3700" s="23" t="n">
        <v>44722</v>
      </c>
      <c r="L3700" t="inlineStr">
        <is>
          <t>SF Santé</t>
        </is>
      </c>
      <c r="R3700" s="22"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2" t="n">
        <v>137521.04</v>
      </c>
      <c r="K3701" s="23" t="n">
        <v>44722</v>
      </c>
      <c r="L3701" t="inlineStr">
        <is>
          <t>SF Santé</t>
        </is>
      </c>
      <c r="R3701" s="22"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2" t="n">
        <v>78577.28</v>
      </c>
      <c r="K3702" s="23" t="n">
        <v>44722</v>
      </c>
      <c r="L3702" t="inlineStr">
        <is>
          <t>SF Santé</t>
        </is>
      </c>
      <c r="R3702" s="22"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2" t="n">
        <v>163717.58</v>
      </c>
      <c r="K3703" s="23" t="n">
        <v>44722</v>
      </c>
      <c r="L3703" t="inlineStr">
        <is>
          <t>SF Santé</t>
        </is>
      </c>
      <c r="R3703" s="22"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2" t="n">
        <v>19639.69</v>
      </c>
      <c r="K3704" s="23" t="n">
        <v>44722</v>
      </c>
      <c r="L3704" t="inlineStr">
        <is>
          <t>SF Santé</t>
        </is>
      </c>
      <c r="R3704" s="22"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2" t="n">
        <v>2621.5</v>
      </c>
      <c r="K3705" s="23" t="n">
        <v>44722</v>
      </c>
      <c r="L3705" t="inlineStr">
        <is>
          <t>SF Santé</t>
        </is>
      </c>
      <c r="R3705" s="22"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2" t="n">
        <v>157160.73</v>
      </c>
      <c r="K3706" s="23" t="n">
        <v>44722</v>
      </c>
      <c r="L3706" t="inlineStr">
        <is>
          <t>SF Santé</t>
        </is>
      </c>
      <c r="R3706" s="22"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2" t="n">
        <v>104779.99</v>
      </c>
      <c r="K3707" s="23" t="n">
        <v>44722</v>
      </c>
      <c r="L3707" t="inlineStr">
        <is>
          <t>SF Santé</t>
        </is>
      </c>
      <c r="R3707" s="22"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2" t="n">
        <v>39291.72</v>
      </c>
      <c r="K3708" s="23" t="n">
        <v>44722</v>
      </c>
      <c r="L3708" t="inlineStr">
        <is>
          <t>SF Santé</t>
        </is>
      </c>
      <c r="R3708" s="22"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2" t="n">
        <v>130970.36</v>
      </c>
      <c r="K3709" s="23" t="n">
        <v>44722</v>
      </c>
      <c r="L3709" t="inlineStr">
        <is>
          <t>SF Santé</t>
        </is>
      </c>
      <c r="R3709" s="22"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2" t="n">
        <v>5236.84</v>
      </c>
      <c r="K3710" s="23" t="n">
        <v>44722</v>
      </c>
      <c r="L3710" t="inlineStr">
        <is>
          <t>SF Santé</t>
        </is>
      </c>
      <c r="R3710" s="22"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2" t="n">
        <v>1178745.57</v>
      </c>
      <c r="K3711" s="23" t="n">
        <v>44722</v>
      </c>
      <c r="L3711" t="inlineStr">
        <is>
          <t>SF Santé</t>
        </is>
      </c>
      <c r="R3711" s="22"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2" t="n">
        <v>91672.47</v>
      </c>
      <c r="K3712" s="23" t="n">
        <v>44722</v>
      </c>
      <c r="L3712" t="inlineStr">
        <is>
          <t>SF Santé</t>
        </is>
      </c>
      <c r="R3712" s="22"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2" t="n">
        <v>17024.36</v>
      </c>
      <c r="K3713" s="23" t="n">
        <v>44722</v>
      </c>
      <c r="L3713" t="inlineStr">
        <is>
          <t>SF Santé</t>
        </is>
      </c>
      <c r="R3713" s="22"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2" t="n">
        <v>261940.72</v>
      </c>
      <c r="K3714" s="23" t="n">
        <v>44722</v>
      </c>
      <c r="L3714" t="inlineStr">
        <is>
          <t>SF Santé</t>
        </is>
      </c>
      <c r="R3714" s="22"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2" t="n">
        <v>209553.81</v>
      </c>
      <c r="K3715" s="23" t="n">
        <v>44722</v>
      </c>
      <c r="L3715" t="inlineStr">
        <is>
          <t>SF Santé</t>
        </is>
      </c>
      <c r="R3715" s="22"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2" t="n">
        <v>19639.69</v>
      </c>
      <c r="K3716" s="23" t="n">
        <v>44722</v>
      </c>
      <c r="L3716" t="inlineStr">
        <is>
          <t>SF Santé</t>
        </is>
      </c>
      <c r="R3716" s="22"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2" t="n">
        <v>39291.72</v>
      </c>
      <c r="K3717" s="23" t="n">
        <v>44722</v>
      </c>
      <c r="L3717" t="inlineStr">
        <is>
          <t>SF Santé</t>
        </is>
      </c>
      <c r="R3717" s="22"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2" t="n">
        <v>458405.51</v>
      </c>
      <c r="K3718" s="23" t="n">
        <v>44722</v>
      </c>
      <c r="L3718" t="inlineStr">
        <is>
          <t>SF Santé</t>
        </is>
      </c>
      <c r="R3718" s="22"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2" t="n">
        <v>85127.96000000001</v>
      </c>
      <c r="K3719" s="23" t="n">
        <v>44722</v>
      </c>
      <c r="L3719" t="inlineStr">
        <is>
          <t>SF Santé</t>
        </is>
      </c>
      <c r="R3719" s="22"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2" t="n">
        <v>9172.18</v>
      </c>
      <c r="K3720" s="23" t="n">
        <v>44722</v>
      </c>
      <c r="L3720" t="inlineStr">
        <is>
          <t>SF Santé</t>
        </is>
      </c>
      <c r="R3720" s="22"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2" t="n">
        <v>104779.99</v>
      </c>
      <c r="K3721" s="23" t="n">
        <v>44722</v>
      </c>
      <c r="L3721" t="inlineStr">
        <is>
          <t>SF Santé</t>
        </is>
      </c>
      <c r="R3721" s="22"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2" t="n">
        <v>78577.28</v>
      </c>
      <c r="K3722" s="23" t="n">
        <v>44722</v>
      </c>
      <c r="L3722" t="inlineStr">
        <is>
          <t>SF Santé</t>
        </is>
      </c>
      <c r="R3722" s="22"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2" t="n">
        <v>4253193.5</v>
      </c>
      <c r="K3723" s="23" t="n">
        <v>44723</v>
      </c>
      <c r="L3723" t="inlineStr">
        <is>
          <t>SF Santé</t>
        </is>
      </c>
      <c r="R3723" s="22"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2" t="n">
        <v>60000</v>
      </c>
      <c r="K3724" s="23" t="n">
        <v>44728</v>
      </c>
      <c r="L3724" t="inlineStr">
        <is>
          <t>SF Santé</t>
        </is>
      </c>
      <c r="R3724" s="22"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2" t="n">
        <v>100000</v>
      </c>
      <c r="K3725" s="23" t="n">
        <v>44569</v>
      </c>
      <c r="L3725" t="inlineStr">
        <is>
          <t>SF Education</t>
        </is>
      </c>
      <c r="R3725" s="22"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2" t="n">
        <v>100000</v>
      </c>
      <c r="K3726" s="23" t="n">
        <v>44569</v>
      </c>
      <c r="L3726" t="inlineStr">
        <is>
          <t>SF Education</t>
        </is>
      </c>
      <c r="R3726" s="22"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2" t="n">
        <v>100000</v>
      </c>
      <c r="K3727" s="23" t="n">
        <v>44569</v>
      </c>
      <c r="L3727" t="inlineStr">
        <is>
          <t>SF Education</t>
        </is>
      </c>
      <c r="R3727" s="22"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2" t="n">
        <v>100000</v>
      </c>
      <c r="K3728" s="23" t="n">
        <v>44569</v>
      </c>
      <c r="L3728" t="inlineStr">
        <is>
          <t>SF Education</t>
        </is>
      </c>
      <c r="R3728" s="22"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2" t="n">
        <v>100000</v>
      </c>
      <c r="K3729" s="23" t="n">
        <v>44569</v>
      </c>
      <c r="L3729" t="inlineStr">
        <is>
          <t>SF Education</t>
        </is>
      </c>
      <c r="R3729" s="22"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2" t="n">
        <v>100000</v>
      </c>
      <c r="K3730" s="23" t="n">
        <v>44569</v>
      </c>
      <c r="L3730" t="inlineStr">
        <is>
          <t>SF Education</t>
        </is>
      </c>
      <c r="R3730" s="22"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2" t="n">
        <v>100000</v>
      </c>
      <c r="K3731" s="23" t="n">
        <v>44569</v>
      </c>
      <c r="L3731" t="inlineStr">
        <is>
          <t>SF Education</t>
        </is>
      </c>
      <c r="R3731" s="22"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2" t="n">
        <v>100000</v>
      </c>
      <c r="K3732" s="23" t="n">
        <v>44569</v>
      </c>
      <c r="L3732" t="inlineStr">
        <is>
          <t>SF Education</t>
        </is>
      </c>
      <c r="R3732" s="22"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2" t="n">
        <v>100000</v>
      </c>
      <c r="K3733" s="23" t="n">
        <v>44569</v>
      </c>
      <c r="L3733" t="inlineStr">
        <is>
          <t>SF Education</t>
        </is>
      </c>
      <c r="R3733" s="22"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2" t="n">
        <v>100000</v>
      </c>
      <c r="K3734" s="23" t="n">
        <v>44569</v>
      </c>
      <c r="L3734" t="inlineStr">
        <is>
          <t>SF Education</t>
        </is>
      </c>
      <c r="R3734" s="22"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2" t="n">
        <v>100000</v>
      </c>
      <c r="K3735" s="23" t="n">
        <v>44569</v>
      </c>
      <c r="L3735" t="inlineStr">
        <is>
          <t>SF Education</t>
        </is>
      </c>
      <c r="R3735" s="22"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2" t="n">
        <v>100000</v>
      </c>
      <c r="K3736" s="23" t="n">
        <v>44569</v>
      </c>
      <c r="L3736" t="inlineStr">
        <is>
          <t>SF Education</t>
        </is>
      </c>
      <c r="R3736" s="22"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2" t="n">
        <v>100000</v>
      </c>
      <c r="K3737" s="23" t="n">
        <v>44569</v>
      </c>
      <c r="L3737" t="inlineStr">
        <is>
          <t>SF Education</t>
        </is>
      </c>
      <c r="R3737" s="22"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2" t="n">
        <v>100000</v>
      </c>
      <c r="K3738" s="23" t="n">
        <v>44569</v>
      </c>
      <c r="L3738" t="inlineStr">
        <is>
          <t>SF Education</t>
        </is>
      </c>
      <c r="R3738" s="22"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2" t="n">
        <v>100000</v>
      </c>
      <c r="K3739" s="23" t="n">
        <v>44569</v>
      </c>
      <c r="L3739" t="inlineStr">
        <is>
          <t>SF Education</t>
        </is>
      </c>
      <c r="R3739" s="22"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2" t="n">
        <v>100000</v>
      </c>
      <c r="K3740" s="23" t="n">
        <v>44569</v>
      </c>
      <c r="L3740" t="inlineStr">
        <is>
          <t>SF Education</t>
        </is>
      </c>
      <c r="R3740" s="22"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2" t="n">
        <v>100000</v>
      </c>
      <c r="K3741" s="23" t="n">
        <v>44569</v>
      </c>
      <c r="L3741" t="inlineStr">
        <is>
          <t>SF Education</t>
        </is>
      </c>
      <c r="R3741" s="22"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2" t="n">
        <v>100000</v>
      </c>
      <c r="K3742" s="23" t="n">
        <v>44569</v>
      </c>
      <c r="L3742" t="inlineStr">
        <is>
          <t>SF Education</t>
        </is>
      </c>
      <c r="R3742" s="22"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2" t="n">
        <v>100000</v>
      </c>
      <c r="K3743" s="23" t="n">
        <v>44569</v>
      </c>
      <c r="L3743" t="inlineStr">
        <is>
          <t>SF Education</t>
        </is>
      </c>
      <c r="R3743" s="22"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2" t="n">
        <v>100000</v>
      </c>
      <c r="K3744" s="23" t="n">
        <v>44569</v>
      </c>
      <c r="L3744" t="inlineStr">
        <is>
          <t>SF Education</t>
        </is>
      </c>
      <c r="R3744" s="22"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2" t="n">
        <v>100000</v>
      </c>
      <c r="K3745" s="23" t="n">
        <v>44569</v>
      </c>
      <c r="L3745" t="inlineStr">
        <is>
          <t>SF Education</t>
        </is>
      </c>
      <c r="R3745" s="22"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2" t="n">
        <v>100000</v>
      </c>
      <c r="K3746" s="23" t="n">
        <v>44569</v>
      </c>
      <c r="L3746" t="inlineStr">
        <is>
          <t>SF Education</t>
        </is>
      </c>
      <c r="R3746" s="22"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2" t="n">
        <v>100000</v>
      </c>
      <c r="K3747" s="23" t="n">
        <v>44569</v>
      </c>
      <c r="L3747" t="inlineStr">
        <is>
          <t>SF Education</t>
        </is>
      </c>
      <c r="R3747" s="22"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2" t="n">
        <v>100000</v>
      </c>
      <c r="K3748" s="23" t="n">
        <v>44569</v>
      </c>
      <c r="L3748" t="inlineStr">
        <is>
          <t>SF Education</t>
        </is>
      </c>
      <c r="R3748" s="22"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2" t="n">
        <v>100000</v>
      </c>
      <c r="K3749" s="23" t="n">
        <v>44569</v>
      </c>
      <c r="L3749" t="inlineStr">
        <is>
          <t>SF Education</t>
        </is>
      </c>
      <c r="R3749" s="22"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2" t="n">
        <v>100000</v>
      </c>
      <c r="K3750" s="23" t="n">
        <v>44569</v>
      </c>
      <c r="L3750" t="inlineStr">
        <is>
          <t>SF Education</t>
        </is>
      </c>
      <c r="R3750" s="22"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2" t="n">
        <v>100000</v>
      </c>
      <c r="K3751" s="23" t="n">
        <v>44569</v>
      </c>
      <c r="L3751" t="inlineStr">
        <is>
          <t>SF Education</t>
        </is>
      </c>
      <c r="R3751" s="22"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2" t="n">
        <v>100000</v>
      </c>
      <c r="K3752" s="23" t="n">
        <v>44569</v>
      </c>
      <c r="L3752" t="inlineStr">
        <is>
          <t>SF Education</t>
        </is>
      </c>
      <c r="R3752" s="22"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2" t="n">
        <v>100000</v>
      </c>
      <c r="K3753" s="23" t="n">
        <v>44569</v>
      </c>
      <c r="L3753" t="inlineStr">
        <is>
          <t>SF Education</t>
        </is>
      </c>
      <c r="R3753" s="22"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2" t="n">
        <v>100000</v>
      </c>
      <c r="K3754" s="23" t="n">
        <v>44569</v>
      </c>
      <c r="L3754" t="inlineStr">
        <is>
          <t>SF Education</t>
        </is>
      </c>
      <c r="R3754" s="22"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2" t="n">
        <v>100000</v>
      </c>
      <c r="K3755" s="23" t="n">
        <v>44569</v>
      </c>
      <c r="L3755" t="inlineStr">
        <is>
          <t>SF Education</t>
        </is>
      </c>
      <c r="R3755" s="22"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2" t="n">
        <v>100000</v>
      </c>
      <c r="K3756" s="23" t="n">
        <v>44569</v>
      </c>
      <c r="L3756" t="inlineStr">
        <is>
          <t>SF Education</t>
        </is>
      </c>
      <c r="R3756" s="22"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2" t="n">
        <v>100000</v>
      </c>
      <c r="K3757" s="23" t="n">
        <v>44569</v>
      </c>
      <c r="L3757" t="inlineStr">
        <is>
          <t>SF Education</t>
        </is>
      </c>
      <c r="R3757" s="22"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2" t="n">
        <v>100000</v>
      </c>
      <c r="K3758" s="23" t="n">
        <v>44569</v>
      </c>
      <c r="L3758" t="inlineStr">
        <is>
          <t>SF Education</t>
        </is>
      </c>
      <c r="R3758" s="22"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2" t="n">
        <v>100000</v>
      </c>
      <c r="K3759" s="23" t="n">
        <v>44569</v>
      </c>
      <c r="L3759" t="inlineStr">
        <is>
          <t>SF Education</t>
        </is>
      </c>
      <c r="R3759" s="22"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2" t="n">
        <v>100000</v>
      </c>
      <c r="K3760" s="23" t="n">
        <v>44569</v>
      </c>
      <c r="L3760" t="inlineStr">
        <is>
          <t>SF Education</t>
        </is>
      </c>
      <c r="R3760" s="22"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2" t="n">
        <v>100000</v>
      </c>
      <c r="K3761" s="23" t="n">
        <v>44569</v>
      </c>
      <c r="L3761" t="inlineStr">
        <is>
          <t>SF Education</t>
        </is>
      </c>
      <c r="R3761" s="22"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2" t="n">
        <v>100000</v>
      </c>
      <c r="K3762" s="23" t="n">
        <v>44569</v>
      </c>
      <c r="L3762" t="inlineStr">
        <is>
          <t>SF Education</t>
        </is>
      </c>
      <c r="R3762" s="22"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2" t="n">
        <v>100000</v>
      </c>
      <c r="K3763" s="23" t="n">
        <v>44569</v>
      </c>
      <c r="L3763" t="inlineStr">
        <is>
          <t>SF Education</t>
        </is>
      </c>
      <c r="R3763" s="22"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2" t="n">
        <v>100000</v>
      </c>
      <c r="K3764" s="23" t="n">
        <v>44569</v>
      </c>
      <c r="L3764" t="inlineStr">
        <is>
          <t>SF Education</t>
        </is>
      </c>
      <c r="R3764" s="22"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2" t="n">
        <v>100000</v>
      </c>
      <c r="K3765" s="23" t="n">
        <v>44569</v>
      </c>
      <c r="L3765" t="inlineStr">
        <is>
          <t>SF Education</t>
        </is>
      </c>
      <c r="R3765" s="22"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2" t="n">
        <v>100000</v>
      </c>
      <c r="K3766" s="23" t="n">
        <v>44569</v>
      </c>
      <c r="L3766" t="inlineStr">
        <is>
          <t>SF Education</t>
        </is>
      </c>
      <c r="R3766" s="22"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2" t="n">
        <v>100000</v>
      </c>
      <c r="K3767" s="23" t="n">
        <v>44569</v>
      </c>
      <c r="L3767" t="inlineStr">
        <is>
          <t>SF Education</t>
        </is>
      </c>
      <c r="R3767" s="22"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2" t="n">
        <v>100000</v>
      </c>
      <c r="K3768" s="23" t="n">
        <v>44569</v>
      </c>
      <c r="L3768" t="inlineStr">
        <is>
          <t>SF Education</t>
        </is>
      </c>
      <c r="R3768" s="22"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2" t="n">
        <v>100000</v>
      </c>
      <c r="K3769" s="23" t="n">
        <v>44569</v>
      </c>
      <c r="L3769" t="inlineStr">
        <is>
          <t>SF Education</t>
        </is>
      </c>
      <c r="R3769" s="22"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2" t="n">
        <v>100000</v>
      </c>
      <c r="K3770" s="23" t="n">
        <v>44569</v>
      </c>
      <c r="L3770" t="inlineStr">
        <is>
          <t>SF Education</t>
        </is>
      </c>
      <c r="R3770" s="22"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2" t="n">
        <v>100000</v>
      </c>
      <c r="K3771" s="23" t="n">
        <v>44569</v>
      </c>
      <c r="L3771" t="inlineStr">
        <is>
          <t>SF Education</t>
        </is>
      </c>
      <c r="R3771" s="22"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2" t="n">
        <v>100000</v>
      </c>
      <c r="K3772" s="23" t="n">
        <v>44569</v>
      </c>
      <c r="L3772" t="inlineStr">
        <is>
          <t>SF Education</t>
        </is>
      </c>
      <c r="R3772" s="22"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2" t="n">
        <v>100000</v>
      </c>
      <c r="K3773" s="23" t="n">
        <v>44569</v>
      </c>
      <c r="L3773" t="inlineStr">
        <is>
          <t>SF Education</t>
        </is>
      </c>
      <c r="R3773" s="22"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2" t="n">
        <v>100000</v>
      </c>
      <c r="K3774" s="23" t="n">
        <v>44569</v>
      </c>
      <c r="L3774" t="inlineStr">
        <is>
          <t>SF Education</t>
        </is>
      </c>
      <c r="R3774" s="22"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2" t="n">
        <v>100000</v>
      </c>
      <c r="K3775" s="23" t="n">
        <v>44569</v>
      </c>
      <c r="L3775" t="inlineStr">
        <is>
          <t>SF Education</t>
        </is>
      </c>
      <c r="R3775" s="22"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2" t="n">
        <v>100000</v>
      </c>
      <c r="K3776" s="23" t="n">
        <v>44569</v>
      </c>
      <c r="L3776" t="inlineStr">
        <is>
          <t>SF Education</t>
        </is>
      </c>
      <c r="R3776" s="22"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2" t="n">
        <v>100000</v>
      </c>
      <c r="K3777" s="23" t="n">
        <v>44569</v>
      </c>
      <c r="L3777" t="inlineStr">
        <is>
          <t>SF Education</t>
        </is>
      </c>
      <c r="R3777" s="22"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2" t="n">
        <v>100000</v>
      </c>
      <c r="K3778" s="23" t="n">
        <v>44569</v>
      </c>
      <c r="L3778" t="inlineStr">
        <is>
          <t>SF Education</t>
        </is>
      </c>
      <c r="R3778" s="22"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2" t="n">
        <v>100000</v>
      </c>
      <c r="K3779" s="23" t="n">
        <v>44569</v>
      </c>
      <c r="L3779" t="inlineStr">
        <is>
          <t>SF Education</t>
        </is>
      </c>
      <c r="R3779" s="22"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2" t="n">
        <v>100000</v>
      </c>
      <c r="K3780" s="23" t="n">
        <v>44569</v>
      </c>
      <c r="L3780" t="inlineStr">
        <is>
          <t>SF Education</t>
        </is>
      </c>
      <c r="R3780" s="22"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2" t="n">
        <v>100000</v>
      </c>
      <c r="K3781" s="23" t="n">
        <v>44569</v>
      </c>
      <c r="L3781" t="inlineStr">
        <is>
          <t>SF Education</t>
        </is>
      </c>
      <c r="R3781" s="22"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2" t="n">
        <v>100000</v>
      </c>
      <c r="K3782" s="23" t="n">
        <v>44569</v>
      </c>
      <c r="L3782" t="inlineStr">
        <is>
          <t>SF Education</t>
        </is>
      </c>
      <c r="R3782" s="22"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2" t="n">
        <v>100000</v>
      </c>
      <c r="K3783" s="23" t="n">
        <v>44569</v>
      </c>
      <c r="L3783" t="inlineStr">
        <is>
          <t>SF Education</t>
        </is>
      </c>
      <c r="R3783" s="22"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2" t="n">
        <v>100000</v>
      </c>
      <c r="K3784" s="23" t="n">
        <v>44569</v>
      </c>
      <c r="L3784" t="inlineStr">
        <is>
          <t>SF Education</t>
        </is>
      </c>
      <c r="R3784" s="22"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2" t="n">
        <v>100000</v>
      </c>
      <c r="K3785" s="23" t="n">
        <v>44569</v>
      </c>
      <c r="L3785" t="inlineStr">
        <is>
          <t>SF Education</t>
        </is>
      </c>
      <c r="R3785" s="22"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2" t="n">
        <v>100000</v>
      </c>
      <c r="K3786" s="23" t="n">
        <v>44569</v>
      </c>
      <c r="L3786" t="inlineStr">
        <is>
          <t>SF Education</t>
        </is>
      </c>
      <c r="R3786" s="22"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2" t="n">
        <v>100000</v>
      </c>
      <c r="K3787" s="23" t="n">
        <v>44569</v>
      </c>
      <c r="L3787" t="inlineStr">
        <is>
          <t>SF Education</t>
        </is>
      </c>
      <c r="R3787" s="22"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2" t="n">
        <v>100000</v>
      </c>
      <c r="K3788" s="23" t="n">
        <v>44569</v>
      </c>
      <c r="L3788" t="inlineStr">
        <is>
          <t>SF Education</t>
        </is>
      </c>
      <c r="R3788" s="22"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2" t="n">
        <v>100000</v>
      </c>
      <c r="K3789" s="23" t="n">
        <v>44569</v>
      </c>
      <c r="L3789" t="inlineStr">
        <is>
          <t>SF Education</t>
        </is>
      </c>
      <c r="R3789" s="22"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2" t="n">
        <v>100000</v>
      </c>
      <c r="K3790" s="23" t="n">
        <v>44569</v>
      </c>
      <c r="L3790" t="inlineStr">
        <is>
          <t>SF Education</t>
        </is>
      </c>
      <c r="R3790" s="22"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2" t="n">
        <v>3250000</v>
      </c>
      <c r="K3791" s="23" t="n">
        <v>44570</v>
      </c>
      <c r="L3791" t="inlineStr">
        <is>
          <t>SF Education</t>
        </is>
      </c>
      <c r="R3791" s="22"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2" t="n">
        <v>3250000</v>
      </c>
      <c r="K3792" s="23" t="n">
        <v>44580</v>
      </c>
      <c r="L3792" t="inlineStr">
        <is>
          <t>SF Education</t>
        </is>
      </c>
      <c r="R3792" s="22"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2" t="n">
        <v>4437300</v>
      </c>
      <c r="K3793" s="23" t="n">
        <v>44599</v>
      </c>
      <c r="L3793" t="inlineStr">
        <is>
          <t>SF Education</t>
        </is>
      </c>
      <c r="R3793" s="22"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2" t="n">
        <v>12500000</v>
      </c>
      <c r="K3794" s="23" t="n">
        <v>44603</v>
      </c>
      <c r="L3794" t="inlineStr">
        <is>
          <t>SF Education</t>
        </is>
      </c>
      <c r="R3794" s="22"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2" t="n">
        <v>2880000</v>
      </c>
      <c r="K3795" s="23" t="n">
        <v>44603</v>
      </c>
      <c r="L3795" t="inlineStr">
        <is>
          <t>SF Education</t>
        </is>
      </c>
      <c r="R3795" s="22"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2" t="n">
        <v>3750606</v>
      </c>
      <c r="K3796" s="23" t="n">
        <v>44606</v>
      </c>
      <c r="L3796" t="inlineStr">
        <is>
          <t>SF Education</t>
        </is>
      </c>
      <c r="R3796" s="22"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2" t="n">
        <v>300000</v>
      </c>
      <c r="K3797" s="23" t="n">
        <v>44608</v>
      </c>
      <c r="L3797" t="inlineStr">
        <is>
          <t>SF Education</t>
        </is>
      </c>
      <c r="R3797" s="22"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2" t="n">
        <v>500000</v>
      </c>
      <c r="K3798" s="23" t="n">
        <v>44621</v>
      </c>
      <c r="L3798" t="inlineStr">
        <is>
          <t>SF Education</t>
        </is>
      </c>
      <c r="R3798" s="22"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2" t="n">
        <v>6097616</v>
      </c>
      <c r="K3799" s="23" t="n">
        <v>44625</v>
      </c>
      <c r="L3799" t="inlineStr">
        <is>
          <t>SF Education</t>
        </is>
      </c>
      <c r="R3799" s="22"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2" t="n">
        <v>5226528</v>
      </c>
      <c r="K3800" s="23" t="n">
        <v>44639</v>
      </c>
      <c r="L3800" t="inlineStr">
        <is>
          <t>SF Education</t>
        </is>
      </c>
      <c r="R3800" s="22"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2" t="n">
        <v>2029317</v>
      </c>
      <c r="K3801" s="23" t="n">
        <v>44659</v>
      </c>
      <c r="L3801" t="inlineStr">
        <is>
          <t>SF Education</t>
        </is>
      </c>
      <c r="R3801" s="22"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2" t="n">
        <v>4375707</v>
      </c>
      <c r="K3802" s="23" t="n">
        <v>44662</v>
      </c>
      <c r="L3802" t="inlineStr">
        <is>
          <t>SF Education</t>
        </is>
      </c>
      <c r="R3802" s="22"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2" t="n">
        <v>252000</v>
      </c>
      <c r="K3803" s="23" t="n">
        <v>44664</v>
      </c>
      <c r="L3803" t="inlineStr">
        <is>
          <t>SF Education</t>
        </is>
      </c>
      <c r="R3803" s="22"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2" t="n">
        <v>252000</v>
      </c>
      <c r="K3804" s="23" t="n">
        <v>44664</v>
      </c>
      <c r="L3804" t="inlineStr">
        <is>
          <t>SF Education</t>
        </is>
      </c>
      <c r="R3804" s="22"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2" t="n">
        <v>2670849</v>
      </c>
      <c r="K3805" s="23" t="n">
        <v>44672</v>
      </c>
      <c r="L3805" t="inlineStr">
        <is>
          <t>SF Education</t>
        </is>
      </c>
      <c r="R3805" s="22"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2" t="n">
        <v>12500000</v>
      </c>
      <c r="K3806" s="23" t="n">
        <v>44677</v>
      </c>
      <c r="L3806" t="inlineStr">
        <is>
          <t>SF Education</t>
        </is>
      </c>
      <c r="R3806" s="22"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2" t="n">
        <v>2880000</v>
      </c>
      <c r="K3807" s="23" t="n">
        <v>44677</v>
      </c>
      <c r="L3807" t="inlineStr">
        <is>
          <t>SF Education</t>
        </is>
      </c>
      <c r="R3807" s="22"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2" t="n">
        <v>15826.46</v>
      </c>
      <c r="K3808" s="23" t="n">
        <v>44679</v>
      </c>
      <c r="L3808" t="inlineStr">
        <is>
          <t>SF Education</t>
        </is>
      </c>
      <c r="R3808" s="22"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2" t="n">
        <v>75000</v>
      </c>
      <c r="K3809" s="23" t="n">
        <v>44690</v>
      </c>
      <c r="L3809" t="inlineStr">
        <is>
          <t>SF Education</t>
        </is>
      </c>
      <c r="R3809" s="22"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2" t="n">
        <v>75000</v>
      </c>
      <c r="K3810" s="23" t="n">
        <v>44690</v>
      </c>
      <c r="L3810" t="inlineStr">
        <is>
          <t>SF Education</t>
        </is>
      </c>
      <c r="R3810" s="22"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2" t="n">
        <v>75000</v>
      </c>
      <c r="K3811" s="23" t="n">
        <v>44690</v>
      </c>
      <c r="L3811" t="inlineStr">
        <is>
          <t>SF Education</t>
        </is>
      </c>
      <c r="R3811" s="22"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2" t="n">
        <v>75000</v>
      </c>
      <c r="K3812" s="23" t="n">
        <v>44690</v>
      </c>
      <c r="L3812" t="inlineStr">
        <is>
          <t>SF Education</t>
        </is>
      </c>
      <c r="R3812" s="22"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2" t="n">
        <v>75000</v>
      </c>
      <c r="K3813" s="23" t="n">
        <v>44690</v>
      </c>
      <c r="L3813" t="inlineStr">
        <is>
          <t>SF Education</t>
        </is>
      </c>
      <c r="R3813" s="22"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2" t="n">
        <v>75000</v>
      </c>
      <c r="K3814" s="23" t="n">
        <v>44690</v>
      </c>
      <c r="L3814" t="inlineStr">
        <is>
          <t>SF Education</t>
        </is>
      </c>
      <c r="R3814" s="22"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2" t="n">
        <v>75000</v>
      </c>
      <c r="K3815" s="23" t="n">
        <v>44690</v>
      </c>
      <c r="L3815" t="inlineStr">
        <is>
          <t>SF Education</t>
        </is>
      </c>
      <c r="R3815" s="22"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2" t="n">
        <v>75000</v>
      </c>
      <c r="K3816" s="23" t="n">
        <v>44690</v>
      </c>
      <c r="L3816" t="inlineStr">
        <is>
          <t>SF Education</t>
        </is>
      </c>
      <c r="R3816" s="22"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2" t="n">
        <v>75000</v>
      </c>
      <c r="K3817" s="23" t="n">
        <v>44690</v>
      </c>
      <c r="L3817" t="inlineStr">
        <is>
          <t>SF Education</t>
        </is>
      </c>
      <c r="R3817" s="22"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2" t="n">
        <v>75000</v>
      </c>
      <c r="K3818" s="23" t="n">
        <v>44690</v>
      </c>
      <c r="L3818" t="inlineStr">
        <is>
          <t>SF Education</t>
        </is>
      </c>
      <c r="R3818" s="22"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2" t="n">
        <v>75000</v>
      </c>
      <c r="K3819" s="23" t="n">
        <v>44690</v>
      </c>
      <c r="L3819" t="inlineStr">
        <is>
          <t>SF Education</t>
        </is>
      </c>
      <c r="R3819" s="22"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2" t="n">
        <v>75000</v>
      </c>
      <c r="K3820" s="23" t="n">
        <v>44690</v>
      </c>
      <c r="L3820" t="inlineStr">
        <is>
          <t>SF Education</t>
        </is>
      </c>
      <c r="R3820" s="22"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2" t="n">
        <v>75000</v>
      </c>
      <c r="K3821" s="23" t="n">
        <v>44690</v>
      </c>
      <c r="L3821" t="inlineStr">
        <is>
          <t>SF Education</t>
        </is>
      </c>
      <c r="R3821" s="22"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2" t="n">
        <v>75000</v>
      </c>
      <c r="K3822" s="23" t="n">
        <v>44690</v>
      </c>
      <c r="L3822" t="inlineStr">
        <is>
          <t>SF Education</t>
        </is>
      </c>
      <c r="R3822" s="22"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2" t="n">
        <v>75000</v>
      </c>
      <c r="K3823" s="23" t="n">
        <v>44690</v>
      </c>
      <c r="L3823" t="inlineStr">
        <is>
          <t>SF Education</t>
        </is>
      </c>
      <c r="R3823" s="22"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2" t="n">
        <v>75000</v>
      </c>
      <c r="K3824" s="23" t="n">
        <v>44690</v>
      </c>
      <c r="L3824" t="inlineStr">
        <is>
          <t>SF Education</t>
        </is>
      </c>
      <c r="R3824" s="22"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2" t="n">
        <v>75000</v>
      </c>
      <c r="K3825" s="23" t="n">
        <v>44690</v>
      </c>
      <c r="L3825" t="inlineStr">
        <is>
          <t>SF Education</t>
        </is>
      </c>
      <c r="R3825" s="22"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2" t="n">
        <v>75000</v>
      </c>
      <c r="K3826" s="23" t="n">
        <v>44690</v>
      </c>
      <c r="L3826" t="inlineStr">
        <is>
          <t>SF Education</t>
        </is>
      </c>
      <c r="R3826" s="22"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2" t="n">
        <v>75000</v>
      </c>
      <c r="K3827" s="23" t="n">
        <v>44690</v>
      </c>
      <c r="L3827" t="inlineStr">
        <is>
          <t>SF Education</t>
        </is>
      </c>
      <c r="R3827" s="22"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2" t="n">
        <v>75000</v>
      </c>
      <c r="K3828" s="23" t="n">
        <v>44690</v>
      </c>
      <c r="L3828" t="inlineStr">
        <is>
          <t>SF Education</t>
        </is>
      </c>
      <c r="R3828" s="22"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2" t="n">
        <v>75000</v>
      </c>
      <c r="K3829" s="23" t="n">
        <v>44690</v>
      </c>
      <c r="L3829" t="inlineStr">
        <is>
          <t>SF Education</t>
        </is>
      </c>
      <c r="R3829" s="22"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2" t="n">
        <v>75000</v>
      </c>
      <c r="K3830" s="23" t="n">
        <v>44690</v>
      </c>
      <c r="L3830" t="inlineStr">
        <is>
          <t>SF Education</t>
        </is>
      </c>
      <c r="R3830" s="22"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2" t="n">
        <v>75000</v>
      </c>
      <c r="K3831" s="23" t="n">
        <v>44690</v>
      </c>
      <c r="L3831" t="inlineStr">
        <is>
          <t>SF Education</t>
        </is>
      </c>
      <c r="R3831" s="22"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2" t="n">
        <v>75000</v>
      </c>
      <c r="K3832" s="23" t="n">
        <v>44690</v>
      </c>
      <c r="L3832" t="inlineStr">
        <is>
          <t>SF Education</t>
        </is>
      </c>
      <c r="R3832" s="22"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2" t="n">
        <v>75000</v>
      </c>
      <c r="K3833" s="23" t="n">
        <v>44690</v>
      </c>
      <c r="L3833" t="inlineStr">
        <is>
          <t>SF Education</t>
        </is>
      </c>
      <c r="R3833" s="22"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2" t="n">
        <v>75000</v>
      </c>
      <c r="K3834" s="23" t="n">
        <v>44690</v>
      </c>
      <c r="L3834" t="inlineStr">
        <is>
          <t>SF Education</t>
        </is>
      </c>
      <c r="R3834" s="22"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2" t="n">
        <v>75000</v>
      </c>
      <c r="K3835" s="23" t="n">
        <v>44690</v>
      </c>
      <c r="L3835" t="inlineStr">
        <is>
          <t>SF Education</t>
        </is>
      </c>
      <c r="R3835" s="22"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2" t="n">
        <v>75000</v>
      </c>
      <c r="K3836" s="23" t="n">
        <v>44690</v>
      </c>
      <c r="L3836" t="inlineStr">
        <is>
          <t>SF Education</t>
        </is>
      </c>
      <c r="R3836" s="22"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2" t="n">
        <v>75000</v>
      </c>
      <c r="K3837" s="23" t="n">
        <v>44690</v>
      </c>
      <c r="L3837" t="inlineStr">
        <is>
          <t>SF Education</t>
        </is>
      </c>
      <c r="R3837" s="22"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2" t="n">
        <v>75000</v>
      </c>
      <c r="K3838" s="23" t="n">
        <v>44690</v>
      </c>
      <c r="L3838" t="inlineStr">
        <is>
          <t>SF Education</t>
        </is>
      </c>
      <c r="R3838" s="22"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2" t="n">
        <v>75000</v>
      </c>
      <c r="K3839" s="23" t="n">
        <v>44690</v>
      </c>
      <c r="L3839" t="inlineStr">
        <is>
          <t>SF Education</t>
        </is>
      </c>
      <c r="R3839" s="22"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2" t="n">
        <v>75000</v>
      </c>
      <c r="K3840" s="23" t="n">
        <v>44690</v>
      </c>
      <c r="L3840" t="inlineStr">
        <is>
          <t>SF Education</t>
        </is>
      </c>
      <c r="R3840" s="22"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2" t="n">
        <v>75000</v>
      </c>
      <c r="K3841" s="23" t="n">
        <v>44690</v>
      </c>
      <c r="L3841" t="inlineStr">
        <is>
          <t>SF Education</t>
        </is>
      </c>
      <c r="R3841" s="22"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2" t="n">
        <v>75000</v>
      </c>
      <c r="K3842" s="23" t="n">
        <v>44690</v>
      </c>
      <c r="L3842" t="inlineStr">
        <is>
          <t>SF Education</t>
        </is>
      </c>
      <c r="R3842" s="22"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2" t="n">
        <v>75000</v>
      </c>
      <c r="K3843" s="23" t="n">
        <v>44690</v>
      </c>
      <c r="L3843" t="inlineStr">
        <is>
          <t>SF Education</t>
        </is>
      </c>
      <c r="R3843" s="22"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2" t="n">
        <v>75000</v>
      </c>
      <c r="K3844" s="23" t="n">
        <v>44690</v>
      </c>
      <c r="L3844" t="inlineStr">
        <is>
          <t>SF Education</t>
        </is>
      </c>
      <c r="R3844" s="22"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2" t="n">
        <v>75000</v>
      </c>
      <c r="K3845" s="23" t="n">
        <v>44690</v>
      </c>
      <c r="L3845" t="inlineStr">
        <is>
          <t>SF Education</t>
        </is>
      </c>
      <c r="R3845" s="22"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2" t="n">
        <v>75000</v>
      </c>
      <c r="K3846" s="23" t="n">
        <v>44690</v>
      </c>
      <c r="L3846" t="inlineStr">
        <is>
          <t>SF Education</t>
        </is>
      </c>
      <c r="R3846" s="22"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2" t="n">
        <v>75000</v>
      </c>
      <c r="K3847" s="23" t="n">
        <v>44690</v>
      </c>
      <c r="L3847" t="inlineStr">
        <is>
          <t>SF Education</t>
        </is>
      </c>
      <c r="R3847" s="22"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2" t="n">
        <v>75000</v>
      </c>
      <c r="K3848" s="23" t="n">
        <v>44690</v>
      </c>
      <c r="L3848" t="inlineStr">
        <is>
          <t>SF Education</t>
        </is>
      </c>
      <c r="R3848" s="22"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2" t="n">
        <v>75000</v>
      </c>
      <c r="K3849" s="23" t="n">
        <v>44690</v>
      </c>
      <c r="L3849" t="inlineStr">
        <is>
          <t>SF Education</t>
        </is>
      </c>
      <c r="R3849" s="22"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2" t="n">
        <v>75000</v>
      </c>
      <c r="K3850" s="23" t="n">
        <v>44690</v>
      </c>
      <c r="L3850" t="inlineStr">
        <is>
          <t>SF Education</t>
        </is>
      </c>
      <c r="R3850" s="22"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2" t="n">
        <v>75000</v>
      </c>
      <c r="K3851" s="23" t="n">
        <v>44690</v>
      </c>
      <c r="L3851" t="inlineStr">
        <is>
          <t>SF Education</t>
        </is>
      </c>
      <c r="R3851" s="22"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2" t="n">
        <v>75000</v>
      </c>
      <c r="K3852" s="23" t="n">
        <v>44690</v>
      </c>
      <c r="L3852" t="inlineStr">
        <is>
          <t>SF Education</t>
        </is>
      </c>
      <c r="R3852" s="22"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2" t="n">
        <v>75000</v>
      </c>
      <c r="K3853" s="23" t="n">
        <v>44690</v>
      </c>
      <c r="L3853" t="inlineStr">
        <is>
          <t>SF Education</t>
        </is>
      </c>
      <c r="R3853" s="22"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2" t="n">
        <v>75000</v>
      </c>
      <c r="K3854" s="23" t="n">
        <v>44690</v>
      </c>
      <c r="L3854" t="inlineStr">
        <is>
          <t>SF Education</t>
        </is>
      </c>
      <c r="R3854" s="22"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2" t="n">
        <v>75000</v>
      </c>
      <c r="K3855" s="23" t="n">
        <v>44690</v>
      </c>
      <c r="L3855" t="inlineStr">
        <is>
          <t>SF Education</t>
        </is>
      </c>
      <c r="R3855" s="22"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2" t="n">
        <v>75000</v>
      </c>
      <c r="K3856" s="23" t="n">
        <v>44690</v>
      </c>
      <c r="L3856" t="inlineStr">
        <is>
          <t>SF Education</t>
        </is>
      </c>
      <c r="R3856" s="22"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2" t="n">
        <v>75000</v>
      </c>
      <c r="K3857" s="23" t="n">
        <v>44690</v>
      </c>
      <c r="L3857" t="inlineStr">
        <is>
          <t>SF Education</t>
        </is>
      </c>
      <c r="R3857" s="22"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2" t="n">
        <v>75000</v>
      </c>
      <c r="K3858" s="23" t="n">
        <v>44690</v>
      </c>
      <c r="L3858" t="inlineStr">
        <is>
          <t>SF Education</t>
        </is>
      </c>
      <c r="R3858" s="22"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2" t="n">
        <v>75000</v>
      </c>
      <c r="K3859" s="23" t="n">
        <v>44690</v>
      </c>
      <c r="L3859" t="inlineStr">
        <is>
          <t>SF Education</t>
        </is>
      </c>
      <c r="R3859" s="22"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2" t="n">
        <v>75000</v>
      </c>
      <c r="K3860" s="23" t="n">
        <v>44690</v>
      </c>
      <c r="L3860" t="inlineStr">
        <is>
          <t>SF Education</t>
        </is>
      </c>
      <c r="R3860" s="22"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2" t="n">
        <v>75000</v>
      </c>
      <c r="K3861" s="23" t="n">
        <v>44690</v>
      </c>
      <c r="L3861" t="inlineStr">
        <is>
          <t>SF Education</t>
        </is>
      </c>
      <c r="R3861" s="22"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2" t="n">
        <v>75000</v>
      </c>
      <c r="K3862" s="23" t="n">
        <v>44690</v>
      </c>
      <c r="L3862" t="inlineStr">
        <is>
          <t>SF Education</t>
        </is>
      </c>
      <c r="R3862" s="22"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2" t="n">
        <v>75000</v>
      </c>
      <c r="K3863" s="23" t="n">
        <v>44690</v>
      </c>
      <c r="L3863" t="inlineStr">
        <is>
          <t>SF Education</t>
        </is>
      </c>
      <c r="R3863" s="22"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2" t="n">
        <v>75000</v>
      </c>
      <c r="K3864" s="23" t="n">
        <v>44690</v>
      </c>
      <c r="L3864" t="inlineStr">
        <is>
          <t>SF Education</t>
        </is>
      </c>
      <c r="R3864" s="22"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2" t="n">
        <v>75000</v>
      </c>
      <c r="K3865" s="23" t="n">
        <v>44690</v>
      </c>
      <c r="L3865" t="inlineStr">
        <is>
          <t>SF Education</t>
        </is>
      </c>
      <c r="R3865" s="22"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2" t="n">
        <v>75000</v>
      </c>
      <c r="K3866" s="23" t="n">
        <v>44690</v>
      </c>
      <c r="L3866" t="inlineStr">
        <is>
          <t>SF Education</t>
        </is>
      </c>
      <c r="R3866" s="22"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2" t="n">
        <v>75000</v>
      </c>
      <c r="K3867" s="23" t="n">
        <v>44690</v>
      </c>
      <c r="L3867" t="inlineStr">
        <is>
          <t>SF Education</t>
        </is>
      </c>
      <c r="R3867" s="22"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2" t="n">
        <v>75000</v>
      </c>
      <c r="K3868" s="23" t="n">
        <v>44690</v>
      </c>
      <c r="L3868" t="inlineStr">
        <is>
          <t>SF Education</t>
        </is>
      </c>
      <c r="R3868" s="22"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2" t="n">
        <v>75000</v>
      </c>
      <c r="K3869" s="23" t="n">
        <v>44690</v>
      </c>
      <c r="L3869" t="inlineStr">
        <is>
          <t>SF Education</t>
        </is>
      </c>
      <c r="R3869" s="22"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2" t="n">
        <v>75000</v>
      </c>
      <c r="K3870" s="23" t="n">
        <v>44690</v>
      </c>
      <c r="L3870" t="inlineStr">
        <is>
          <t>SF Education</t>
        </is>
      </c>
      <c r="R3870" s="22"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2" t="n">
        <v>75000</v>
      </c>
      <c r="K3871" s="23" t="n">
        <v>44690</v>
      </c>
      <c r="L3871" t="inlineStr">
        <is>
          <t>SF Education</t>
        </is>
      </c>
      <c r="R3871" s="22"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2" t="n">
        <v>75000</v>
      </c>
      <c r="K3872" s="23" t="n">
        <v>44690</v>
      </c>
      <c r="L3872" t="inlineStr">
        <is>
          <t>SF Education</t>
        </is>
      </c>
      <c r="R3872" s="22"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2" t="n">
        <v>75000</v>
      </c>
      <c r="K3873" s="23" t="n">
        <v>44690</v>
      </c>
      <c r="L3873" t="inlineStr">
        <is>
          <t>SF Education</t>
        </is>
      </c>
      <c r="R3873" s="22"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2" t="n">
        <v>1277500.5</v>
      </c>
      <c r="K3874" s="23" t="n">
        <v>44701</v>
      </c>
      <c r="L3874" t="inlineStr">
        <is>
          <t>SF Education</t>
        </is>
      </c>
      <c r="R3874" s="22"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2" t="n">
        <v>4437300</v>
      </c>
      <c r="K3875" s="23" t="n">
        <v>44701</v>
      </c>
      <c r="L3875" t="inlineStr">
        <is>
          <t>SF Education</t>
        </is>
      </c>
      <c r="R3875" s="22"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2" t="n">
        <v>100000</v>
      </c>
      <c r="K3876" s="23" t="n">
        <v>44705</v>
      </c>
      <c r="L3876" t="inlineStr">
        <is>
          <t>SF Education</t>
        </is>
      </c>
      <c r="R3876" s="22"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2" t="n">
        <v>1000000</v>
      </c>
      <c r="K3877" s="23" t="n">
        <v>44711</v>
      </c>
      <c r="L3877" t="inlineStr">
        <is>
          <t>SF Education</t>
        </is>
      </c>
      <c r="R3877" s="22"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2" t="n">
        <v>3433948</v>
      </c>
      <c r="K3878" s="23" t="n">
        <v>44711</v>
      </c>
      <c r="L3878" t="inlineStr">
        <is>
          <t>SF Education</t>
        </is>
      </c>
      <c r="R3878" s="22"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2" t="n">
        <v>300000</v>
      </c>
      <c r="K3879" s="23" t="n">
        <v>44712</v>
      </c>
      <c r="L3879" t="inlineStr">
        <is>
          <t>SF Education</t>
        </is>
      </c>
      <c r="R3879" s="22"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2" t="n">
        <v>200000</v>
      </c>
      <c r="K3880" s="23" t="n">
        <v>44712</v>
      </c>
      <c r="L3880" t="inlineStr">
        <is>
          <t>SF Education</t>
        </is>
      </c>
      <c r="R3880" s="22"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2" t="n">
        <v>2425549</v>
      </c>
      <c r="K3881" s="23" t="n">
        <v>44568</v>
      </c>
      <c r="L3881" t="inlineStr">
        <is>
          <t>SF Moyens de subsistance (création de revenus)</t>
        </is>
      </c>
      <c r="R3881" s="22"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2" t="n">
        <v>1777500</v>
      </c>
      <c r="K3882" s="23" t="n">
        <v>44599</v>
      </c>
      <c r="L3882" t="inlineStr">
        <is>
          <t>SF Moyens de subsistance (création de revenus)</t>
        </is>
      </c>
      <c r="R3882" s="22"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2" t="n">
        <v>160000</v>
      </c>
      <c r="K3883" s="23" t="n">
        <v>44609</v>
      </c>
      <c r="L3883" t="inlineStr">
        <is>
          <t>SF Moyens de subsistance (création de revenus)</t>
        </is>
      </c>
      <c r="R3883" s="22"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2" t="n">
        <v>2079042</v>
      </c>
      <c r="K3884" s="23" t="n">
        <v>44643</v>
      </c>
      <c r="L3884" t="inlineStr">
        <is>
          <t>SF Moyens de subsistance (création de revenus)</t>
        </is>
      </c>
      <c r="R3884" s="22"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2" t="n">
        <v>2325650</v>
      </c>
      <c r="K3885" s="23" t="n">
        <v>44650</v>
      </c>
      <c r="L3885" t="inlineStr">
        <is>
          <t>SF Moyens de subsistance (création de revenus)</t>
        </is>
      </c>
      <c r="R3885" s="22"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2" t="n">
        <v>200000</v>
      </c>
      <c r="K3886" s="23" t="n">
        <v>44651</v>
      </c>
      <c r="L3886" t="inlineStr">
        <is>
          <t>SF Moyens de subsistance (création de revenus)</t>
        </is>
      </c>
      <c r="R3886" s="22"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2" t="n">
        <v>1088808</v>
      </c>
      <c r="K3887" s="23" t="n">
        <v>44701</v>
      </c>
      <c r="L3887" t="inlineStr">
        <is>
          <t>SF Moyens de subsistance (création de revenus)</t>
        </is>
      </c>
      <c r="R3887" s="22"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2" t="n">
        <v>672513</v>
      </c>
      <c r="K3888" s="23" t="n">
        <v>44701</v>
      </c>
      <c r="L3888" t="inlineStr">
        <is>
          <t>SF Moyens de subsistance (création de revenus)</t>
        </is>
      </c>
      <c r="R3888" s="22"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2" t="n">
        <v>48102.84</v>
      </c>
      <c r="K3889" s="23" t="n">
        <v>44717</v>
      </c>
      <c r="L3889" t="inlineStr">
        <is>
          <t>SF Moyens de subsistance (création de revenus)</t>
        </is>
      </c>
      <c r="R3889" s="22"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2" t="n">
        <v>2164597.34</v>
      </c>
      <c r="K3890" s="23" t="n">
        <v>44717</v>
      </c>
      <c r="L3890" t="inlineStr">
        <is>
          <t>SF Moyens de subsistance (création de revenus)</t>
        </is>
      </c>
      <c r="R3890" s="22"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2" t="n">
        <v>9327096.73</v>
      </c>
      <c r="K3891" s="23" t="n">
        <v>44722</v>
      </c>
      <c r="L3891" t="inlineStr">
        <is>
          <t>SF Moyens de subsistance (création de revenus)</t>
        </is>
      </c>
      <c r="R3891" s="22"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2" t="n">
        <v>-527098.040993201</v>
      </c>
      <c r="K3892" s="23" t="n">
        <v>44722</v>
      </c>
      <c r="L3892" t="inlineStr">
        <is>
          <t>SF Moyens de subsistance (création de revenus)</t>
        </is>
      </c>
      <c r="R3892" s="22"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2" t="n">
        <v>197500</v>
      </c>
      <c r="K3893" s="23" t="n">
        <v>44739</v>
      </c>
      <c r="L3893" t="inlineStr">
        <is>
          <t>SF Moyens de subsistance (création de revenus)</t>
        </is>
      </c>
      <c r="R3893" s="22"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2" t="n">
        <v>1013559.52</v>
      </c>
      <c r="K3894" s="23" t="n">
        <v>44581</v>
      </c>
      <c r="L3894" t="inlineStr">
        <is>
          <t>SF Sport&amp;Culture</t>
        </is>
      </c>
      <c r="R3894" s="22"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2" t="n">
        <v>162168.37</v>
      </c>
      <c r="K3895" s="23" t="n">
        <v>44581</v>
      </c>
      <c r="L3895" t="inlineStr">
        <is>
          <t>SF Sport&amp;Culture</t>
        </is>
      </c>
      <c r="R3895" s="22"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2" t="n">
        <v>1013559.52</v>
      </c>
      <c r="K3896" s="23" t="n">
        <v>44581</v>
      </c>
      <c r="L3896" t="inlineStr">
        <is>
          <t>SF Sport&amp;Culture</t>
        </is>
      </c>
      <c r="R3896" s="22"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2" t="n">
        <v>1114918.36</v>
      </c>
      <c r="K3897" s="23" t="n">
        <v>44581</v>
      </c>
      <c r="L3897" t="inlineStr">
        <is>
          <t>SF Sport&amp;Culture</t>
        </is>
      </c>
      <c r="R3897" s="22"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2" t="n">
        <v>608135.71</v>
      </c>
      <c r="K3898" s="23" t="n">
        <v>44581</v>
      </c>
      <c r="L3898" t="inlineStr">
        <is>
          <t>SF Sport&amp;Culture</t>
        </is>
      </c>
      <c r="R3898" s="22"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2" t="n">
        <v>608135.71</v>
      </c>
      <c r="K3899" s="23" t="n">
        <v>44581</v>
      </c>
      <c r="L3899" t="inlineStr">
        <is>
          <t>SF Sport&amp;Culture</t>
        </is>
      </c>
      <c r="R3899" s="22"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2" t="n">
        <v>101358.84</v>
      </c>
      <c r="K3900" s="23" t="n">
        <v>44581</v>
      </c>
      <c r="L3900" t="inlineStr">
        <is>
          <t>SF Sport&amp;Culture</t>
        </is>
      </c>
      <c r="R3900" s="22"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2" t="n">
        <v>121624.83</v>
      </c>
      <c r="K3901" s="23" t="n">
        <v>44581</v>
      </c>
      <c r="L3901" t="inlineStr">
        <is>
          <t>SF Sport&amp;Culture</t>
        </is>
      </c>
      <c r="R3901" s="22"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2" t="n">
        <v>202706.13</v>
      </c>
      <c r="K3902" s="23" t="n">
        <v>44581</v>
      </c>
      <c r="L3902" t="inlineStr">
        <is>
          <t>SF Sport&amp;Culture</t>
        </is>
      </c>
      <c r="R3902" s="22"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2" t="n">
        <v>962880.1</v>
      </c>
      <c r="K3903" s="23" t="n">
        <v>44581</v>
      </c>
      <c r="L3903" t="inlineStr">
        <is>
          <t>SF Sport&amp;Culture</t>
        </is>
      </c>
      <c r="R3903" s="22"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2" t="n">
        <v>354750.17</v>
      </c>
      <c r="K3904" s="23" t="n">
        <v>44581</v>
      </c>
      <c r="L3904" t="inlineStr">
        <is>
          <t>SF Sport&amp;Culture</t>
        </is>
      </c>
      <c r="R3904" s="22"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2" t="n">
        <v>121624.83</v>
      </c>
      <c r="K3905" s="23" t="n">
        <v>44581</v>
      </c>
      <c r="L3905" t="inlineStr">
        <is>
          <t>SF Sport&amp;Culture</t>
        </is>
      </c>
      <c r="R3905" s="22"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2" t="n">
        <v>354750.17</v>
      </c>
      <c r="K3906" s="23" t="n">
        <v>44581</v>
      </c>
      <c r="L3906" t="inlineStr">
        <is>
          <t>SF Sport&amp;Culture</t>
        </is>
      </c>
      <c r="R3906" s="22"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2" t="n">
        <v>100000</v>
      </c>
      <c r="K3907" s="23" t="n">
        <v>44621</v>
      </c>
      <c r="L3907" t="inlineStr">
        <is>
          <t>SF Sport&amp;Culture</t>
        </is>
      </c>
      <c r="R3907" s="22"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2" t="n">
        <v>500000</v>
      </c>
      <c r="K3908" s="23" t="n">
        <v>44651</v>
      </c>
      <c r="L3908" t="inlineStr">
        <is>
          <t>SF Sport&amp;Culture</t>
        </is>
      </c>
      <c r="R3908" s="22"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2" t="n">
        <v>999997.89</v>
      </c>
      <c r="K3909" s="23" t="n">
        <v>44669</v>
      </c>
      <c r="L3909" t="inlineStr">
        <is>
          <t>SF Sport&amp;Culture</t>
        </is>
      </c>
      <c r="R3909" s="22"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2" t="n">
        <v>12002.11</v>
      </c>
      <c r="K3910" s="23" t="n">
        <v>44669</v>
      </c>
      <c r="L3910" t="inlineStr">
        <is>
          <t>SF Sport&amp;Culture</t>
        </is>
      </c>
      <c r="R3910" s="22"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2" t="n">
        <v>64588.9</v>
      </c>
      <c r="K3911" s="23" t="n">
        <v>44692</v>
      </c>
      <c r="L3911" t="inlineStr">
        <is>
          <t>SF Sport&amp;Culture</t>
        </is>
      </c>
      <c r="R3911" s="22"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2" t="n">
        <v>500000</v>
      </c>
      <c r="K3912" s="23" t="n">
        <v>44703</v>
      </c>
      <c r="L3912" t="inlineStr">
        <is>
          <t>SF Sport&amp;Culture</t>
        </is>
      </c>
      <c r="R3912" s="22"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2" t="n">
        <v>500000</v>
      </c>
      <c r="K3913" s="23" t="n">
        <v>44712</v>
      </c>
      <c r="L3913" t="inlineStr">
        <is>
          <t>SF Sport&amp;Culture</t>
        </is>
      </c>
      <c r="R3913" s="22"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2" t="n">
        <v>500000</v>
      </c>
      <c r="K3914" s="23" t="n">
        <v>44712</v>
      </c>
      <c r="L3914" t="inlineStr">
        <is>
          <t>SF Sport&amp;Culture</t>
        </is>
      </c>
      <c r="R3914" s="22"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2" t="n">
        <v>169000</v>
      </c>
      <c r="K3915" t="inlineStr">
        <is>
          <t>09/10/2023</t>
        </is>
      </c>
      <c r="L3915" t="inlineStr">
        <is>
          <t>Appuis divers</t>
        </is>
      </c>
      <c r="R3915" s="22"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2"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2" t="n">
        <v>165741.1</v>
      </c>
      <c r="K3917" s="23" t="n">
        <v>45498</v>
      </c>
      <c r="M3917" t="inlineStr">
        <is>
          <t>130393AC</t>
        </is>
      </c>
      <c r="N3917" t="inlineStr">
        <is>
          <t>N/A</t>
        </is>
      </c>
      <c r="O3917" t="inlineStr">
        <is>
          <t>N/A</t>
        </is>
      </c>
      <c r="P3917" t="inlineStr">
        <is>
          <t>Convention minère et Code minier (Fond Social et Fond d'appui au developpement local)</t>
        </is>
      </c>
      <c r="Q3917" t="inlineStr">
        <is>
          <t>NA</t>
        </is>
      </c>
      <c r="R3917" s="22"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2" t="n">
        <v>165000</v>
      </c>
      <c r="L3918" t="inlineStr">
        <is>
          <t>APPUIS DIVERS</t>
        </is>
      </c>
      <c r="R3918" s="22"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2" t="n">
        <v>165000</v>
      </c>
      <c r="K3919" s="23" t="n">
        <v>45370</v>
      </c>
      <c r="L3919" t="inlineStr">
        <is>
          <t>DONS</t>
        </is>
      </c>
      <c r="R3919" s="22"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2" t="n">
        <v>160000</v>
      </c>
      <c r="K3920" t="inlineStr">
        <is>
          <t>2024-03-05</t>
        </is>
      </c>
      <c r="L3920" t="inlineStr">
        <is>
          <t>Appuis divers</t>
        </is>
      </c>
      <c r="R3920" s="22"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2" t="n">
        <v>44165</v>
      </c>
      <c r="K3921" t="inlineStr">
        <is>
          <t>NC</t>
        </is>
      </c>
      <c r="L3921" t="inlineStr">
        <is>
          <t>NC</t>
        </is>
      </c>
      <c r="M3921" t="inlineStr">
        <is>
          <t xml:space="preserve">Néant </t>
        </is>
      </c>
      <c r="N3921" t="inlineStr">
        <is>
          <t xml:space="preserve">Néant </t>
        </is>
      </c>
      <c r="O3921" t="inlineStr">
        <is>
          <t>NC</t>
        </is>
      </c>
      <c r="R3921" s="22"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2" t="n">
        <v>44165</v>
      </c>
      <c r="K3922" t="inlineStr">
        <is>
          <t>NC</t>
        </is>
      </c>
      <c r="L3922" t="inlineStr">
        <is>
          <t>NC</t>
        </is>
      </c>
      <c r="M3922" t="inlineStr">
        <is>
          <t xml:space="preserve">Néant </t>
        </is>
      </c>
      <c r="N3922" t="inlineStr">
        <is>
          <t xml:space="preserve">Néant </t>
        </is>
      </c>
      <c r="O3922" t="inlineStr">
        <is>
          <t>NC</t>
        </is>
      </c>
      <c r="R3922" s="22"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2" t="n">
        <v>44165</v>
      </c>
      <c r="K3923" t="inlineStr">
        <is>
          <t>NC</t>
        </is>
      </c>
      <c r="L3923" t="inlineStr">
        <is>
          <t>NC</t>
        </is>
      </c>
      <c r="M3923" t="inlineStr">
        <is>
          <t xml:space="preserve">Néant </t>
        </is>
      </c>
      <c r="N3923" t="inlineStr">
        <is>
          <t xml:space="preserve">Néant </t>
        </is>
      </c>
      <c r="O3923" t="inlineStr">
        <is>
          <t>NC</t>
        </is>
      </c>
      <c r="R3923" s="22"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2" t="n">
        <v>3802669.08</v>
      </c>
      <c r="K3924" s="23" t="n">
        <v>44760</v>
      </c>
      <c r="L3924" t="inlineStr">
        <is>
          <t>SF Santé</t>
        </is>
      </c>
      <c r="R3924" s="22"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2" t="n">
        <v>917537.74</v>
      </c>
      <c r="K3925" s="23" t="n">
        <v>44760</v>
      </c>
      <c r="L3925" t="inlineStr">
        <is>
          <t>SF Santé</t>
        </is>
      </c>
      <c r="R3925" s="22"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2" t="n">
        <v>833400</v>
      </c>
      <c r="K3926" s="23" t="n">
        <v>44773</v>
      </c>
      <c r="L3926" t="inlineStr">
        <is>
          <t>SF Santé</t>
        </is>
      </c>
      <c r="R3926" s="22"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2" t="n">
        <v>6411643</v>
      </c>
      <c r="K3927" s="23" t="n">
        <v>44773</v>
      </c>
      <c r="L3927" t="inlineStr">
        <is>
          <t>SF Santé</t>
        </is>
      </c>
      <c r="R3927" s="22"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2" t="n">
        <v>2500000</v>
      </c>
      <c r="K3928" s="23" t="n">
        <v>44756</v>
      </c>
      <c r="L3928" t="inlineStr">
        <is>
          <t>SF Education</t>
        </is>
      </c>
      <c r="R3928" s="22"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2" t="n">
        <v>1666666</v>
      </c>
      <c r="K3929" s="23" t="n">
        <v>44756</v>
      </c>
      <c r="L3929" t="inlineStr">
        <is>
          <t>SF Education</t>
        </is>
      </c>
      <c r="R3929" s="22"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2" t="n">
        <v>960000</v>
      </c>
      <c r="K3930" s="23" t="n">
        <v>44756</v>
      </c>
      <c r="L3930" t="inlineStr">
        <is>
          <t>SF Education</t>
        </is>
      </c>
      <c r="R3930" s="22"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2" t="n">
        <v>7255000</v>
      </c>
      <c r="K3931" s="23" t="n">
        <v>44757</v>
      </c>
      <c r="L3931" t="inlineStr">
        <is>
          <t>SF Sport&amp;Culture</t>
        </is>
      </c>
      <c r="R3931" s="22"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2" t="n">
        <v>500000</v>
      </c>
      <c r="K3932" s="23" t="n">
        <v>44765</v>
      </c>
      <c r="L3932" t="inlineStr">
        <is>
          <t>SF Sport&amp;Culture</t>
        </is>
      </c>
      <c r="R3932" s="22"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2" t="n">
        <v>500000</v>
      </c>
      <c r="K3933" s="23" t="n">
        <v>44772</v>
      </c>
      <c r="L3933" t="inlineStr">
        <is>
          <t>SF Sport&amp;Culture</t>
        </is>
      </c>
      <c r="R3933" s="22"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2" t="n">
        <v>500000</v>
      </c>
      <c r="K3934" s="23" t="n">
        <v>44773</v>
      </c>
      <c r="L3934" t="inlineStr">
        <is>
          <t>SF Sport&amp;Culture</t>
        </is>
      </c>
      <c r="R3934" s="22"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2" t="n">
        <v>1000000</v>
      </c>
      <c r="K3935" s="23" t="n">
        <v>44773</v>
      </c>
      <c r="L3935" t="inlineStr">
        <is>
          <t>SF Sport&amp;Culture</t>
        </is>
      </c>
      <c r="R3935" s="22"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2" t="n">
        <v>-500000</v>
      </c>
      <c r="K3936" s="23" t="n">
        <v>44773</v>
      </c>
      <c r="L3936" t="inlineStr">
        <is>
          <t>SF Sport&amp;Culture</t>
        </is>
      </c>
      <c r="R3936" s="22"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2" t="n">
        <v>44165</v>
      </c>
      <c r="K3937" t="inlineStr">
        <is>
          <t>NC</t>
        </is>
      </c>
      <c r="L3937" t="inlineStr">
        <is>
          <t>NC</t>
        </is>
      </c>
      <c r="M3937" t="inlineStr">
        <is>
          <t xml:space="preserve">Néant </t>
        </is>
      </c>
      <c r="N3937" t="inlineStr">
        <is>
          <t xml:space="preserve">Néant </t>
        </is>
      </c>
      <c r="O3937" t="inlineStr">
        <is>
          <t>NC</t>
        </is>
      </c>
      <c r="R3937" s="22"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2" t="n">
        <v>44165</v>
      </c>
      <c r="K3938" t="inlineStr">
        <is>
          <t>NC</t>
        </is>
      </c>
      <c r="L3938" t="inlineStr">
        <is>
          <t>NC</t>
        </is>
      </c>
      <c r="M3938" t="inlineStr">
        <is>
          <t xml:space="preserve">Néant </t>
        </is>
      </c>
      <c r="N3938" t="inlineStr">
        <is>
          <t xml:space="preserve">Néant </t>
        </is>
      </c>
      <c r="O3938" t="inlineStr">
        <is>
          <t>NC</t>
        </is>
      </c>
      <c r="R3938" s="22"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2" t="n">
        <v>156163.83370588</v>
      </c>
      <c r="K3939" s="23"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2"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2"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2" t="n">
        <v>960000.63</v>
      </c>
      <c r="K3941" s="23" t="n">
        <v>44793</v>
      </c>
      <c r="L3941" t="inlineStr">
        <is>
          <t>SF Hydrolique (Eau)</t>
        </is>
      </c>
      <c r="R3941" s="22"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2" t="n">
        <v>12239999.9</v>
      </c>
      <c r="K3942" s="23" t="n">
        <v>44793</v>
      </c>
      <c r="L3942" t="inlineStr">
        <is>
          <t>SF Hydrolique (Eau)</t>
        </is>
      </c>
      <c r="R3942" s="22"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2" t="n">
        <v>1439997.68</v>
      </c>
      <c r="K3943" s="23" t="n">
        <v>44793</v>
      </c>
      <c r="L3943" t="inlineStr">
        <is>
          <t>SF Hydrolique (Eau)</t>
        </is>
      </c>
      <c r="R3943" s="22"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2" t="n">
        <v>240001.79</v>
      </c>
      <c r="K3944" s="23" t="n">
        <v>44793</v>
      </c>
      <c r="L3944" t="inlineStr">
        <is>
          <t>SF Hydrolique (Eau)</t>
        </is>
      </c>
      <c r="R3944" s="22"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2" t="n">
        <v>2678400</v>
      </c>
      <c r="K3945" s="23" t="n">
        <v>44798</v>
      </c>
      <c r="L3945" t="inlineStr">
        <is>
          <t>SF Hydrolique (Eau)</t>
        </is>
      </c>
      <c r="R3945" s="22"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2" t="n">
        <v>5915350</v>
      </c>
      <c r="K3946" s="23" t="n">
        <v>44783</v>
      </c>
      <c r="L3946" t="inlineStr">
        <is>
          <t>SF Santé</t>
        </is>
      </c>
      <c r="R3946" s="22"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2" t="n">
        <v>2535150</v>
      </c>
      <c r="K3947" s="23" t="n">
        <v>44783</v>
      </c>
      <c r="L3947" t="inlineStr">
        <is>
          <t>SF Santé</t>
        </is>
      </c>
      <c r="R3947" s="22"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2" t="n">
        <v>1885106.08</v>
      </c>
      <c r="K3948" s="23" t="n">
        <v>44796</v>
      </c>
      <c r="L3948" t="inlineStr">
        <is>
          <t>SF Santé</t>
        </is>
      </c>
      <c r="R3948" s="22"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2" t="n">
        <v>6741632</v>
      </c>
      <c r="K3949" s="23" t="n">
        <v>44796</v>
      </c>
      <c r="L3949" t="inlineStr">
        <is>
          <t>SF Education</t>
        </is>
      </c>
      <c r="R3949" s="22"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2" t="n">
        <v>6923156</v>
      </c>
      <c r="K3950" s="23" t="n">
        <v>44796</v>
      </c>
      <c r="L3950" t="inlineStr">
        <is>
          <t>SF Education</t>
        </is>
      </c>
      <c r="R3950" s="22"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2" t="n">
        <v>5000000</v>
      </c>
      <c r="K3951" s="23" t="n">
        <v>44783</v>
      </c>
      <c r="L3951" t="inlineStr">
        <is>
          <t>SF Sport&amp;Culture</t>
        </is>
      </c>
      <c r="R3951" s="22"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2" t="n">
        <v>100000</v>
      </c>
      <c r="K3952" s="23" t="n">
        <v>44802</v>
      </c>
      <c r="L3952" t="inlineStr">
        <is>
          <t>SF Sport&amp;Culture</t>
        </is>
      </c>
      <c r="R3952" s="22"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2" t="n">
        <v>2749998.9</v>
      </c>
      <c r="K3953" s="23" t="n">
        <v>44823</v>
      </c>
      <c r="L3953" t="inlineStr">
        <is>
          <t>SF Hydrolique (Eau)</t>
        </is>
      </c>
      <c r="R3953" s="22"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2" t="n">
        <v>2749998.9</v>
      </c>
      <c r="K3954" s="23" t="n">
        <v>44823</v>
      </c>
      <c r="L3954" t="inlineStr">
        <is>
          <t>SF Hydrolique (Eau)</t>
        </is>
      </c>
      <c r="R3954" s="22"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2" t="n">
        <v>2749998.9</v>
      </c>
      <c r="K3955" s="23" t="n">
        <v>44823</v>
      </c>
      <c r="L3955" t="inlineStr">
        <is>
          <t>SF Hydrolique (Eau)</t>
        </is>
      </c>
      <c r="R3955" s="22"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2" t="n">
        <v>600000.95</v>
      </c>
      <c r="K3956" s="23" t="n">
        <v>44823</v>
      </c>
      <c r="L3956" t="inlineStr">
        <is>
          <t>SF Hydrolique (Eau)</t>
        </is>
      </c>
      <c r="R3956" s="22"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2" t="n">
        <v>100002.35</v>
      </c>
      <c r="K3957" s="23" t="n">
        <v>44823</v>
      </c>
      <c r="L3957" t="inlineStr">
        <is>
          <t>SF Hydrolique (Eau)</t>
        </is>
      </c>
      <c r="R3957" s="22"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2" t="n">
        <v>1611000</v>
      </c>
      <c r="K3958" s="23" t="n">
        <v>44834</v>
      </c>
      <c r="L3958" t="inlineStr">
        <is>
          <t>SF Hydrolique (Eau)</t>
        </is>
      </c>
      <c r="R3958" s="22"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2" t="n">
        <v>915949</v>
      </c>
      <c r="K3959" s="23" t="n">
        <v>44813</v>
      </c>
      <c r="L3959" t="inlineStr">
        <is>
          <t>SF Santé</t>
        </is>
      </c>
      <c r="R3959" s="22"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2" t="n">
        <v>164870</v>
      </c>
      <c r="K3960" s="23" t="n">
        <v>44820</v>
      </c>
      <c r="L3960" t="inlineStr">
        <is>
          <t>SF Santé</t>
        </is>
      </c>
      <c r="R3960" s="22"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2" t="n">
        <v>300000</v>
      </c>
      <c r="K3961" s="23" t="n">
        <v>44820</v>
      </c>
      <c r="L3961" t="inlineStr">
        <is>
          <t>SF Santé</t>
        </is>
      </c>
      <c r="R3961" s="22"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2" t="n">
        <v>75000</v>
      </c>
      <c r="K3962" s="23" t="n">
        <v>44812</v>
      </c>
      <c r="L3962" t="inlineStr">
        <is>
          <t>SF Education</t>
        </is>
      </c>
      <c r="R3962" s="22"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2" t="n">
        <v>75000</v>
      </c>
      <c r="K3963" s="23" t="n">
        <v>44812</v>
      </c>
      <c r="L3963" t="inlineStr">
        <is>
          <t>SF Education</t>
        </is>
      </c>
      <c r="R3963" s="22"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2" t="n">
        <v>75000</v>
      </c>
      <c r="K3964" s="23" t="n">
        <v>44812</v>
      </c>
      <c r="L3964" t="inlineStr">
        <is>
          <t>SF Education</t>
        </is>
      </c>
      <c r="R3964" s="22"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2" t="n">
        <v>75000</v>
      </c>
      <c r="K3965" s="23" t="n">
        <v>44812</v>
      </c>
      <c r="L3965" t="inlineStr">
        <is>
          <t>SF Education</t>
        </is>
      </c>
      <c r="R3965" s="22"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2" t="n">
        <v>75000</v>
      </c>
      <c r="K3966" s="23" t="n">
        <v>44812</v>
      </c>
      <c r="L3966" t="inlineStr">
        <is>
          <t>SF Education</t>
        </is>
      </c>
      <c r="R3966" s="22"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2" t="n">
        <v>75000</v>
      </c>
      <c r="K3967" s="23" t="n">
        <v>44812</v>
      </c>
      <c r="L3967" t="inlineStr">
        <is>
          <t>SF Education</t>
        </is>
      </c>
      <c r="R3967" s="22"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2" t="n">
        <v>75000</v>
      </c>
      <c r="K3968" s="23" t="n">
        <v>44812</v>
      </c>
      <c r="L3968" t="inlineStr">
        <is>
          <t>SF Education</t>
        </is>
      </c>
      <c r="R3968" s="22"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2" t="n">
        <v>75000</v>
      </c>
      <c r="K3969" s="23" t="n">
        <v>44812</v>
      </c>
      <c r="L3969" t="inlineStr">
        <is>
          <t>SF Education</t>
        </is>
      </c>
      <c r="R3969" s="22"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2" t="n">
        <v>75000</v>
      </c>
      <c r="K3970" s="23" t="n">
        <v>44812</v>
      </c>
      <c r="L3970" t="inlineStr">
        <is>
          <t>SF Education</t>
        </is>
      </c>
      <c r="R3970" s="22"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2" t="n">
        <v>75000</v>
      </c>
      <c r="K3971" s="23" t="n">
        <v>44812</v>
      </c>
      <c r="L3971" t="inlineStr">
        <is>
          <t>SF Education</t>
        </is>
      </c>
      <c r="R3971" s="22"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2" t="n">
        <v>75000</v>
      </c>
      <c r="K3972" s="23" t="n">
        <v>44812</v>
      </c>
      <c r="L3972" t="inlineStr">
        <is>
          <t>SF Education</t>
        </is>
      </c>
      <c r="R3972" s="22"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2" t="n">
        <v>75000</v>
      </c>
      <c r="K3973" s="23" t="n">
        <v>44812</v>
      </c>
      <c r="L3973" t="inlineStr">
        <is>
          <t>SF Education</t>
        </is>
      </c>
      <c r="R3973" s="22"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2" t="n">
        <v>75000</v>
      </c>
      <c r="K3974" s="23" t="n">
        <v>44812</v>
      </c>
      <c r="L3974" t="inlineStr">
        <is>
          <t>SF Education</t>
        </is>
      </c>
      <c r="R3974" s="22"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2" t="n">
        <v>75000</v>
      </c>
      <c r="K3975" s="23" t="n">
        <v>44812</v>
      </c>
      <c r="L3975" t="inlineStr">
        <is>
          <t>SF Education</t>
        </is>
      </c>
      <c r="R3975" s="22"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2" t="n">
        <v>75000</v>
      </c>
      <c r="K3976" s="23" t="n">
        <v>44812</v>
      </c>
      <c r="L3976" t="inlineStr">
        <is>
          <t>SF Education</t>
        </is>
      </c>
      <c r="R3976" s="22"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2" t="n">
        <v>75000</v>
      </c>
      <c r="K3977" s="23" t="n">
        <v>44812</v>
      </c>
      <c r="L3977" t="inlineStr">
        <is>
          <t>SF Education</t>
        </is>
      </c>
      <c r="R3977" s="22"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2" t="n">
        <v>75000</v>
      </c>
      <c r="K3978" s="23" t="n">
        <v>44812</v>
      </c>
      <c r="L3978" t="inlineStr">
        <is>
          <t>SF Education</t>
        </is>
      </c>
      <c r="R3978" s="22"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2" t="n">
        <v>75000</v>
      </c>
      <c r="K3979" s="23" t="n">
        <v>44812</v>
      </c>
      <c r="L3979" t="inlineStr">
        <is>
          <t>SF Education</t>
        </is>
      </c>
      <c r="R3979" s="22"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2" t="n">
        <v>75000</v>
      </c>
      <c r="K3980" s="23" t="n">
        <v>44812</v>
      </c>
      <c r="L3980" t="inlineStr">
        <is>
          <t>SF Education</t>
        </is>
      </c>
      <c r="R3980" s="22"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2" t="n">
        <v>75000</v>
      </c>
      <c r="K3981" s="23" t="n">
        <v>44812</v>
      </c>
      <c r="L3981" t="inlineStr">
        <is>
          <t>SF Education</t>
        </is>
      </c>
      <c r="R3981" s="22"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2" t="n">
        <v>75000</v>
      </c>
      <c r="K3982" s="23" t="n">
        <v>44812</v>
      </c>
      <c r="L3982" t="inlineStr">
        <is>
          <t>SF Education</t>
        </is>
      </c>
      <c r="R3982" s="22"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2" t="n">
        <v>75000</v>
      </c>
      <c r="K3983" s="23" t="n">
        <v>44812</v>
      </c>
      <c r="L3983" t="inlineStr">
        <is>
          <t>SF Education</t>
        </is>
      </c>
      <c r="R3983" s="22"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2" t="n">
        <v>75000</v>
      </c>
      <c r="K3984" s="23" t="n">
        <v>44812</v>
      </c>
      <c r="L3984" t="inlineStr">
        <is>
          <t>SF Education</t>
        </is>
      </c>
      <c r="R3984" s="22"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2" t="n">
        <v>75000</v>
      </c>
      <c r="K3985" s="23" t="n">
        <v>44812</v>
      </c>
      <c r="L3985" t="inlineStr">
        <is>
          <t>SF Education</t>
        </is>
      </c>
      <c r="R3985" s="22"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2" t="n">
        <v>75000</v>
      </c>
      <c r="K3986" s="23" t="n">
        <v>44812</v>
      </c>
      <c r="L3986" t="inlineStr">
        <is>
          <t>SF Education</t>
        </is>
      </c>
      <c r="R3986" s="22"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2" t="n">
        <v>75000</v>
      </c>
      <c r="K3987" s="23" t="n">
        <v>44812</v>
      </c>
      <c r="L3987" t="inlineStr">
        <is>
          <t>SF Education</t>
        </is>
      </c>
      <c r="R3987" s="22"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2" t="n">
        <v>75000</v>
      </c>
      <c r="K3988" s="23" t="n">
        <v>44812</v>
      </c>
      <c r="L3988" t="inlineStr">
        <is>
          <t>SF Education</t>
        </is>
      </c>
      <c r="R3988" s="22"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2" t="n">
        <v>75000</v>
      </c>
      <c r="K3989" s="23" t="n">
        <v>44812</v>
      </c>
      <c r="L3989" t="inlineStr">
        <is>
          <t>SF Education</t>
        </is>
      </c>
      <c r="R3989" s="22"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2" t="n">
        <v>75000</v>
      </c>
      <c r="K3990" s="23" t="n">
        <v>44812</v>
      </c>
      <c r="L3990" t="inlineStr">
        <is>
          <t>SF Education</t>
        </is>
      </c>
      <c r="R3990" s="22"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2" t="n">
        <v>75000</v>
      </c>
      <c r="K3991" s="23" t="n">
        <v>44812</v>
      </c>
      <c r="L3991" t="inlineStr">
        <is>
          <t>SF Education</t>
        </is>
      </c>
      <c r="R3991" s="22"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2" t="n">
        <v>75000</v>
      </c>
      <c r="K3992" s="23" t="n">
        <v>44812</v>
      </c>
      <c r="L3992" t="inlineStr">
        <is>
          <t>SF Education</t>
        </is>
      </c>
      <c r="R3992" s="22"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2" t="n">
        <v>75000</v>
      </c>
      <c r="K3993" s="23" t="n">
        <v>44812</v>
      </c>
      <c r="L3993" t="inlineStr">
        <is>
          <t>SF Education</t>
        </is>
      </c>
      <c r="R3993" s="22"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2" t="n">
        <v>75000</v>
      </c>
      <c r="K3994" s="23" t="n">
        <v>44812</v>
      </c>
      <c r="L3994" t="inlineStr">
        <is>
          <t>SF Education</t>
        </is>
      </c>
      <c r="R3994" s="22"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2" t="n">
        <v>75000</v>
      </c>
      <c r="K3995" s="23" t="n">
        <v>44812</v>
      </c>
      <c r="L3995" t="inlineStr">
        <is>
          <t>SF Education</t>
        </is>
      </c>
      <c r="R3995" s="22"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2" t="n">
        <v>75000</v>
      </c>
      <c r="K3996" s="23" t="n">
        <v>44812</v>
      </c>
      <c r="L3996" t="inlineStr">
        <is>
          <t>SF Education</t>
        </is>
      </c>
      <c r="R3996" s="22"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2" t="n">
        <v>75000</v>
      </c>
      <c r="K3997" s="23" t="n">
        <v>44812</v>
      </c>
      <c r="L3997" t="inlineStr">
        <is>
          <t>SF Education</t>
        </is>
      </c>
      <c r="R3997" s="22"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2" t="n">
        <v>75000</v>
      </c>
      <c r="K3998" s="23" t="n">
        <v>44812</v>
      </c>
      <c r="L3998" t="inlineStr">
        <is>
          <t>SF Education</t>
        </is>
      </c>
      <c r="R3998" s="22"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2" t="n">
        <v>75000</v>
      </c>
      <c r="K3999" s="23" t="n">
        <v>44812</v>
      </c>
      <c r="L3999" t="inlineStr">
        <is>
          <t>SF Education</t>
        </is>
      </c>
      <c r="R3999" s="22"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2" t="n">
        <v>75000</v>
      </c>
      <c r="K4000" s="23" t="n">
        <v>44812</v>
      </c>
      <c r="L4000" t="inlineStr">
        <is>
          <t>SF Education</t>
        </is>
      </c>
      <c r="R4000" s="22"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2" t="n">
        <v>75000</v>
      </c>
      <c r="K4001" s="23" t="n">
        <v>44812</v>
      </c>
      <c r="L4001" t="inlineStr">
        <is>
          <t>SF Education</t>
        </is>
      </c>
      <c r="R4001" s="22"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2" t="n">
        <v>75000</v>
      </c>
      <c r="K4002" s="23" t="n">
        <v>44812</v>
      </c>
      <c r="L4002" t="inlineStr">
        <is>
          <t>SF Education</t>
        </is>
      </c>
      <c r="R4002" s="22"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2" t="n">
        <v>75000</v>
      </c>
      <c r="K4003" s="23" t="n">
        <v>44812</v>
      </c>
      <c r="L4003" t="inlineStr">
        <is>
          <t>SF Education</t>
        </is>
      </c>
      <c r="R4003" s="22"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2" t="n">
        <v>75000</v>
      </c>
      <c r="K4004" s="23" t="n">
        <v>44812</v>
      </c>
      <c r="L4004" t="inlineStr">
        <is>
          <t>SF Education</t>
        </is>
      </c>
      <c r="R4004" s="22"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2" t="n">
        <v>75000</v>
      </c>
      <c r="K4005" s="23" t="n">
        <v>44812</v>
      </c>
      <c r="L4005" t="inlineStr">
        <is>
          <t>SF Education</t>
        </is>
      </c>
      <c r="R4005" s="22"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2" t="n">
        <v>75000</v>
      </c>
      <c r="K4006" s="23" t="n">
        <v>44812</v>
      </c>
      <c r="L4006" t="inlineStr">
        <is>
          <t>SF Education</t>
        </is>
      </c>
      <c r="R4006" s="22"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2" t="n">
        <v>75000</v>
      </c>
      <c r="K4007" s="23" t="n">
        <v>44812</v>
      </c>
      <c r="L4007" t="inlineStr">
        <is>
          <t>SF Education</t>
        </is>
      </c>
      <c r="R4007" s="22"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2" t="n">
        <v>75000</v>
      </c>
      <c r="K4008" s="23" t="n">
        <v>44812</v>
      </c>
      <c r="L4008" t="inlineStr">
        <is>
          <t>SF Education</t>
        </is>
      </c>
      <c r="R4008" s="22"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2" t="n">
        <v>75000</v>
      </c>
      <c r="K4009" s="23" t="n">
        <v>44812</v>
      </c>
      <c r="L4009" t="inlineStr">
        <is>
          <t>SF Education</t>
        </is>
      </c>
      <c r="R4009" s="22"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2" t="n">
        <v>75000</v>
      </c>
      <c r="K4010" s="23" t="n">
        <v>44812</v>
      </c>
      <c r="L4010" t="inlineStr">
        <is>
          <t>SF Education</t>
        </is>
      </c>
      <c r="R4010" s="22"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2" t="n">
        <v>75000</v>
      </c>
      <c r="K4011" s="23" t="n">
        <v>44812</v>
      </c>
      <c r="L4011" t="inlineStr">
        <is>
          <t>SF Education</t>
        </is>
      </c>
      <c r="R4011" s="22"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2" t="n">
        <v>75000</v>
      </c>
      <c r="K4012" s="23" t="n">
        <v>44812</v>
      </c>
      <c r="L4012" t="inlineStr">
        <is>
          <t>SF Education</t>
        </is>
      </c>
      <c r="R4012" s="22"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2" t="n">
        <v>75000</v>
      </c>
      <c r="K4013" s="23" t="n">
        <v>44812</v>
      </c>
      <c r="L4013" t="inlineStr">
        <is>
          <t>SF Education</t>
        </is>
      </c>
      <c r="R4013" s="22"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2" t="n">
        <v>75000</v>
      </c>
      <c r="K4014" s="23" t="n">
        <v>44812</v>
      </c>
      <c r="L4014" t="inlineStr">
        <is>
          <t>SF Education</t>
        </is>
      </c>
      <c r="R4014" s="22"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2" t="n">
        <v>75000</v>
      </c>
      <c r="K4015" s="23" t="n">
        <v>44812</v>
      </c>
      <c r="L4015" t="inlineStr">
        <is>
          <t>SF Education</t>
        </is>
      </c>
      <c r="R4015" s="22"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2" t="n">
        <v>75000</v>
      </c>
      <c r="K4016" s="23" t="n">
        <v>44812</v>
      </c>
      <c r="L4016" t="inlineStr">
        <is>
          <t>SF Education</t>
        </is>
      </c>
      <c r="R4016" s="22"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2" t="n">
        <v>75000</v>
      </c>
      <c r="K4017" s="23" t="n">
        <v>44812</v>
      </c>
      <c r="L4017" t="inlineStr">
        <is>
          <t>SF Education</t>
        </is>
      </c>
      <c r="R4017" s="22"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2" t="n">
        <v>75000</v>
      </c>
      <c r="K4018" s="23" t="n">
        <v>44812</v>
      </c>
      <c r="L4018" t="inlineStr">
        <is>
          <t>SF Education</t>
        </is>
      </c>
      <c r="R4018" s="22"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2" t="n">
        <v>75000</v>
      </c>
      <c r="K4019" s="23" t="n">
        <v>44812</v>
      </c>
      <c r="L4019" t="inlineStr">
        <is>
          <t>SF Education</t>
        </is>
      </c>
      <c r="R4019" s="22"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2" t="n">
        <v>75000</v>
      </c>
      <c r="K4020" s="23" t="n">
        <v>44812</v>
      </c>
      <c r="L4020" t="inlineStr">
        <is>
          <t>SF Education</t>
        </is>
      </c>
      <c r="R4020" s="22"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2" t="n">
        <v>75000</v>
      </c>
      <c r="K4021" s="23" t="n">
        <v>44812</v>
      </c>
      <c r="L4021" t="inlineStr">
        <is>
          <t>SF Education</t>
        </is>
      </c>
      <c r="R4021" s="22"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2" t="n">
        <v>75000</v>
      </c>
      <c r="K4022" s="23" t="n">
        <v>44812</v>
      </c>
      <c r="L4022" t="inlineStr">
        <is>
          <t>SF Education</t>
        </is>
      </c>
      <c r="R4022" s="22"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2" t="n">
        <v>75000</v>
      </c>
      <c r="K4023" s="23" t="n">
        <v>44812</v>
      </c>
      <c r="L4023" t="inlineStr">
        <is>
          <t>SF Education</t>
        </is>
      </c>
      <c r="R4023" s="22"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2" t="n">
        <v>75000</v>
      </c>
      <c r="K4024" s="23" t="n">
        <v>44812</v>
      </c>
      <c r="L4024" t="inlineStr">
        <is>
          <t>SF Education</t>
        </is>
      </c>
      <c r="R4024" s="22"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2" t="n">
        <v>75000</v>
      </c>
      <c r="K4025" s="23" t="n">
        <v>44812</v>
      </c>
      <c r="L4025" t="inlineStr">
        <is>
          <t>SF Education</t>
        </is>
      </c>
      <c r="R4025" s="22"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2" t="n">
        <v>75000</v>
      </c>
      <c r="K4026" s="23" t="n">
        <v>44812</v>
      </c>
      <c r="L4026" t="inlineStr">
        <is>
          <t>SF Education</t>
        </is>
      </c>
      <c r="R4026" s="22"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2" t="n">
        <v>625101</v>
      </c>
      <c r="K4027" s="23" t="n">
        <v>44813</v>
      </c>
      <c r="L4027" t="inlineStr">
        <is>
          <t>SF Education</t>
        </is>
      </c>
      <c r="R4027" s="22"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2" t="n">
        <v>338222</v>
      </c>
      <c r="K4028" s="23" t="n">
        <v>44813</v>
      </c>
      <c r="L4028" t="inlineStr">
        <is>
          <t>SF Education</t>
        </is>
      </c>
      <c r="R4028" s="22"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2" t="n">
        <v>1444230.43</v>
      </c>
      <c r="K4029" s="23" t="n">
        <v>44820</v>
      </c>
      <c r="L4029" t="inlineStr">
        <is>
          <t>SF Education</t>
        </is>
      </c>
      <c r="R4029" s="22"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2" t="n">
        <v>10901675.2</v>
      </c>
      <c r="K4030" s="23" t="n">
        <v>44830</v>
      </c>
      <c r="L4030" t="inlineStr">
        <is>
          <t>SF Education</t>
        </is>
      </c>
      <c r="R4030" s="22"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2" t="n">
        <v>360000</v>
      </c>
      <c r="K4031" s="23" t="n">
        <v>44831</v>
      </c>
      <c r="L4031" t="inlineStr">
        <is>
          <t>SF Education</t>
        </is>
      </c>
      <c r="R4031" s="22"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2" t="n">
        <v>5108490</v>
      </c>
      <c r="K4032" s="23" t="n">
        <v>44811</v>
      </c>
      <c r="L4032" t="inlineStr">
        <is>
          <t>SF Moyens de subsistance (création de revenus)</t>
        </is>
      </c>
      <c r="R4032" s="22"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2" t="n">
        <v>5046853</v>
      </c>
      <c r="K4033" s="23" t="n">
        <v>44811</v>
      </c>
      <c r="L4033" t="inlineStr">
        <is>
          <t>SF Moyens de subsistance (création de revenus)</t>
        </is>
      </c>
      <c r="R4033" s="22"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2" t="n">
        <v>12832.03</v>
      </c>
      <c r="K4034" s="23" t="n">
        <v>44811</v>
      </c>
      <c r="L4034" t="inlineStr">
        <is>
          <t>SF Moyens de subsistance (création de revenus)</t>
        </is>
      </c>
      <c r="R4034" s="22"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2" t="n">
        <v>5590.39</v>
      </c>
      <c r="K4035" s="23" t="n">
        <v>44811</v>
      </c>
      <c r="L4035" t="inlineStr">
        <is>
          <t>SF Moyens de subsistance (création de revenus)</t>
        </is>
      </c>
      <c r="R4035" s="22"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2" t="n">
        <v>6704.49</v>
      </c>
      <c r="K4036" s="23" t="n">
        <v>44811</v>
      </c>
      <c r="L4036" t="inlineStr">
        <is>
          <t>SF Moyens de subsistance (création de revenus)</t>
        </is>
      </c>
      <c r="R4036" s="22"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2" t="n">
        <v>815825.39</v>
      </c>
      <c r="K4037" s="23" t="n">
        <v>44811</v>
      </c>
      <c r="L4037" t="inlineStr">
        <is>
          <t>SF Moyens de subsistance (création de revenus)</t>
        </is>
      </c>
      <c r="R4037" s="22"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2" t="n">
        <v>71627.27</v>
      </c>
      <c r="K4038" s="23" t="n">
        <v>44811</v>
      </c>
      <c r="L4038" t="inlineStr">
        <is>
          <t>SF Moyens de subsistance (création de revenus)</t>
        </is>
      </c>
      <c r="R4038" s="22"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2" t="n">
        <v>372533.43</v>
      </c>
      <c r="K4039" s="23" t="n">
        <v>44811</v>
      </c>
      <c r="L4039" t="inlineStr">
        <is>
          <t>SF Moyens de subsistance (création de revenus)</t>
        </is>
      </c>
      <c r="R4039" s="22"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2" t="n">
        <v>40704.4</v>
      </c>
      <c r="K4040" s="23" t="n">
        <v>44811</v>
      </c>
      <c r="L4040" t="inlineStr">
        <is>
          <t>SF Moyens de subsistance (création de revenus)</t>
        </is>
      </c>
      <c r="R4040" s="22"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2" t="n">
        <v>17626.63</v>
      </c>
      <c r="K4041" s="23" t="n">
        <v>44811</v>
      </c>
      <c r="L4041" t="inlineStr">
        <is>
          <t>SF Moyens de subsistance (création de revenus)</t>
        </is>
      </c>
      <c r="R4041" s="22"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2" t="n">
        <v>8130.27</v>
      </c>
      <c r="K4042" s="23" t="n">
        <v>44811</v>
      </c>
      <c r="L4042" t="inlineStr">
        <is>
          <t>SF Moyens de subsistance (création de revenus)</t>
        </is>
      </c>
      <c r="R4042" s="22"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2" t="n">
        <v>2433.78</v>
      </c>
      <c r="K4043" s="23" t="n">
        <v>44811</v>
      </c>
      <c r="L4043" t="inlineStr">
        <is>
          <t>SF Moyens de subsistance (création de revenus)</t>
        </is>
      </c>
      <c r="R4043" s="22"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2" t="n">
        <v>125893.17</v>
      </c>
      <c r="K4044" s="23" t="n">
        <v>44811</v>
      </c>
      <c r="L4044" t="inlineStr">
        <is>
          <t>SF Moyens de subsistance (création de revenus)</t>
        </is>
      </c>
      <c r="R4044" s="22"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2" t="n">
        <v>42349.02</v>
      </c>
      <c r="K4045" s="23" t="n">
        <v>44811</v>
      </c>
      <c r="L4045" t="inlineStr">
        <is>
          <t>SF Moyens de subsistance (création de revenus)</t>
        </is>
      </c>
      <c r="R4045" s="22"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2" t="n">
        <v>5709.76</v>
      </c>
      <c r="K4046" s="23" t="n">
        <v>44811</v>
      </c>
      <c r="L4046" t="inlineStr">
        <is>
          <t>SF Moyens de subsistance (création de revenus)</t>
        </is>
      </c>
      <c r="R4046" s="22"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2" t="n">
        <v>369748.18</v>
      </c>
      <c r="K4047" s="23" t="n">
        <v>44811</v>
      </c>
      <c r="L4047" t="inlineStr">
        <is>
          <t>SF Moyens de subsistance (création de revenus)</t>
        </is>
      </c>
      <c r="R4047" s="22"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2" t="n">
        <v>29046.15</v>
      </c>
      <c r="K4048" s="23" t="n">
        <v>44811</v>
      </c>
      <c r="L4048" t="inlineStr">
        <is>
          <t>SF Moyens de subsistance (création de revenus)</t>
        </is>
      </c>
      <c r="R4048" s="22"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2" t="n">
        <v>311894.62</v>
      </c>
      <c r="K4049" s="23" t="n">
        <v>44811</v>
      </c>
      <c r="L4049" t="inlineStr">
        <is>
          <t>SF Moyens de subsistance (création de revenus)</t>
        </is>
      </c>
      <c r="R4049" s="22"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2" t="n">
        <v>356027.52</v>
      </c>
      <c r="K4050" s="23" t="n">
        <v>44811</v>
      </c>
      <c r="L4050" t="inlineStr">
        <is>
          <t>SF Moyens de subsistance (création de revenus)</t>
        </is>
      </c>
      <c r="R4050" s="22"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2" t="n">
        <v>218867.36</v>
      </c>
      <c r="K4051" s="23" t="n">
        <v>44811</v>
      </c>
      <c r="L4051" t="inlineStr">
        <is>
          <t>SF Moyens de subsistance (création de revenus)</t>
        </is>
      </c>
      <c r="R4051" s="22"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2" t="n">
        <v>6220.39</v>
      </c>
      <c r="K4052" s="23" t="n">
        <v>44811</v>
      </c>
      <c r="L4052" t="inlineStr">
        <is>
          <t>SF Moyens de subsistance (création de revenus)</t>
        </is>
      </c>
      <c r="R4052" s="22"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2" t="n">
        <v>195610.55</v>
      </c>
      <c r="K4053" s="23" t="n">
        <v>44811</v>
      </c>
      <c r="L4053" t="inlineStr">
        <is>
          <t>SF Moyens de subsistance (création de revenus)</t>
        </is>
      </c>
      <c r="R4053" s="22"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2" t="n">
        <v>12003.09</v>
      </c>
      <c r="K4054" s="23" t="n">
        <v>44811</v>
      </c>
      <c r="L4054" t="inlineStr">
        <is>
          <t>SF Moyens de subsistance (création de revenus)</t>
        </is>
      </c>
      <c r="R4054" s="22"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2" t="n">
        <v>55592.2</v>
      </c>
      <c r="K4055" s="23" t="n">
        <v>44811</v>
      </c>
      <c r="L4055" t="inlineStr">
        <is>
          <t>SF Moyens de subsistance (création de revenus)</t>
        </is>
      </c>
      <c r="R4055" s="22"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2" t="n">
        <v>27852.47</v>
      </c>
      <c r="K4056" s="23" t="n">
        <v>44811</v>
      </c>
      <c r="L4056" t="inlineStr">
        <is>
          <t>SF Moyens de subsistance (création de revenus)</t>
        </is>
      </c>
      <c r="R4056" s="22"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2" t="n">
        <v>27792.79</v>
      </c>
      <c r="K4057" s="23" t="n">
        <v>44811</v>
      </c>
      <c r="L4057" t="inlineStr">
        <is>
          <t>SF Moyens de subsistance (création de revenus)</t>
        </is>
      </c>
      <c r="R4057" s="22"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2" t="n">
        <v>13926.24</v>
      </c>
      <c r="K4058" s="23" t="n">
        <v>44811</v>
      </c>
      <c r="L4058" t="inlineStr">
        <is>
          <t>SF Moyens de subsistance (création de revenus)</t>
        </is>
      </c>
      <c r="R4058" s="22"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2" t="n">
        <v>404331.66</v>
      </c>
      <c r="K4059" s="23" t="n">
        <v>44811</v>
      </c>
      <c r="L4059" t="inlineStr">
        <is>
          <t>SF Moyens de subsistance (création de revenus)</t>
        </is>
      </c>
      <c r="R4059" s="22"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2" t="n">
        <v>166982.19</v>
      </c>
      <c r="K4060" s="23" t="n">
        <v>44811</v>
      </c>
      <c r="L4060" t="inlineStr">
        <is>
          <t>SF Moyens de subsistance (création de revenus)</t>
        </is>
      </c>
      <c r="R4060" s="22"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2" t="n">
        <v>208475.74</v>
      </c>
      <c r="K4061" s="23" t="n">
        <v>44811</v>
      </c>
      <c r="L4061" t="inlineStr">
        <is>
          <t>SF Moyens de subsistance (création de revenus)</t>
        </is>
      </c>
      <c r="R4061" s="22"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2" t="n">
        <v>14993.91</v>
      </c>
      <c r="K4062" s="23" t="n">
        <v>44811</v>
      </c>
      <c r="L4062" t="inlineStr">
        <is>
          <t>SF Moyens de subsistance (création de revenus)</t>
        </is>
      </c>
      <c r="R4062" s="22"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2" t="n">
        <v>38131.36</v>
      </c>
      <c r="K4063" s="23" t="n">
        <v>44811</v>
      </c>
      <c r="L4063" t="inlineStr">
        <is>
          <t>SF Moyens de subsistance (création de revenus)</t>
        </is>
      </c>
      <c r="R4063" s="22"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2" t="n">
        <v>206035.33</v>
      </c>
      <c r="K4064" s="23" t="n">
        <v>44811</v>
      </c>
      <c r="L4064" t="inlineStr">
        <is>
          <t>SF Moyens de subsistance (création de revenus)</t>
        </is>
      </c>
      <c r="R4064" s="22"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2" t="n">
        <v>61839.12</v>
      </c>
      <c r="K4065" s="23" t="n">
        <v>44811</v>
      </c>
      <c r="L4065" t="inlineStr">
        <is>
          <t>SF Moyens de subsistance (création de revenus)</t>
        </is>
      </c>
      <c r="R4065" s="22"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2" t="n">
        <v>3309.14</v>
      </c>
      <c r="K4066" s="23" t="n">
        <v>44811</v>
      </c>
      <c r="L4066" t="inlineStr">
        <is>
          <t>SF Moyens de subsistance (création de revenus)</t>
        </is>
      </c>
      <c r="R4066" s="22"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2" t="n">
        <v>72197.58</v>
      </c>
      <c r="K4067" s="23" t="n">
        <v>44811</v>
      </c>
      <c r="L4067" t="inlineStr">
        <is>
          <t>SF Moyens de subsistance (création de revenus)</t>
        </is>
      </c>
      <c r="R4067" s="22"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2" t="n">
        <v>279280.7</v>
      </c>
      <c r="K4068" s="23" t="n">
        <v>44811</v>
      </c>
      <c r="L4068" t="inlineStr">
        <is>
          <t>SF Moyens de subsistance (création de revenus)</t>
        </is>
      </c>
      <c r="R4068" s="22"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2" t="n">
        <v>6890.17</v>
      </c>
      <c r="K4069" s="23" t="n">
        <v>44811</v>
      </c>
      <c r="L4069" t="inlineStr">
        <is>
          <t>SF Moyens de subsistance (création de revenus)</t>
        </is>
      </c>
      <c r="R4069" s="22"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2" t="n">
        <v>251580.75</v>
      </c>
      <c r="K4070" s="23" t="n">
        <v>44811</v>
      </c>
      <c r="L4070" t="inlineStr">
        <is>
          <t>SF Moyens de subsistance (création de revenus)</t>
        </is>
      </c>
      <c r="R4070" s="22"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2" t="n">
        <v>67131.09</v>
      </c>
      <c r="K4071" s="23" t="n">
        <v>44811</v>
      </c>
      <c r="L4071" t="inlineStr">
        <is>
          <t>SF Moyens de subsistance (création de revenus)</t>
        </is>
      </c>
      <c r="R4071" s="22"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2" t="n">
        <v>67131.08</v>
      </c>
      <c r="K4072" s="23" t="n">
        <v>44811</v>
      </c>
      <c r="L4072" t="inlineStr">
        <is>
          <t>SF Moyens de subsistance (création de revenus)</t>
        </is>
      </c>
      <c r="R4072" s="22"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2" t="n">
        <v>64140.26</v>
      </c>
      <c r="K4073" s="23" t="n">
        <v>44811</v>
      </c>
      <c r="L4073" t="inlineStr">
        <is>
          <t>SF Moyens de subsistance (création de revenus)</t>
        </is>
      </c>
      <c r="R4073" s="22"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2" t="n">
        <v>29404.25</v>
      </c>
      <c r="K4074" s="23" t="n">
        <v>44811</v>
      </c>
      <c r="L4074" t="inlineStr">
        <is>
          <t>SF Moyens de subsistance (création de revenus)</t>
        </is>
      </c>
      <c r="R4074" s="22"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2" t="n">
        <v>26904.16</v>
      </c>
      <c r="K4075" s="23" t="n">
        <v>44811</v>
      </c>
      <c r="L4075" t="inlineStr">
        <is>
          <t>SF Moyens de subsistance (création de revenus)</t>
        </is>
      </c>
      <c r="R4075" s="22"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2" t="n">
        <v>41307.87</v>
      </c>
      <c r="K4076" s="23" t="n">
        <v>44811</v>
      </c>
      <c r="L4076" t="inlineStr">
        <is>
          <t>SF Moyens de subsistance (création de revenus)</t>
        </is>
      </c>
      <c r="R4076" s="22"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2" t="n">
        <v>7705.85</v>
      </c>
      <c r="K4077" s="23" t="n">
        <v>44811</v>
      </c>
      <c r="L4077" t="inlineStr">
        <is>
          <t>SF Moyens de subsistance (création de revenus)</t>
        </is>
      </c>
      <c r="R4077" s="22"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2" t="n">
        <v>233562.86</v>
      </c>
      <c r="K4078" s="23" t="n">
        <v>44811</v>
      </c>
      <c r="L4078" t="inlineStr">
        <is>
          <t>SF Moyens de subsistance (création de revenus)</t>
        </is>
      </c>
      <c r="R4078" s="22"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2" t="n">
        <v>919510</v>
      </c>
      <c r="K4079" s="23" t="n">
        <v>44812</v>
      </c>
      <c r="L4079" t="inlineStr">
        <is>
          <t>SF Moyens de subsistance (création de revenus)</t>
        </is>
      </c>
      <c r="R4079" s="22"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2" t="n">
        <v>972697.34</v>
      </c>
      <c r="K4080" s="23" t="n">
        <v>44812</v>
      </c>
      <c r="L4080" t="inlineStr">
        <is>
          <t>SF Moyens de subsistance (création de revenus)</t>
        </is>
      </c>
      <c r="R4080" s="22"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2" t="n">
        <v>908147</v>
      </c>
      <c r="K4081" s="23" t="n">
        <v>44812</v>
      </c>
      <c r="L4081" t="inlineStr">
        <is>
          <t>SF Moyens de subsistance (création de revenus)</t>
        </is>
      </c>
      <c r="R4081" s="22"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2" t="n">
        <v>250000</v>
      </c>
      <c r="K4082" s="23" t="n">
        <v>44820</v>
      </c>
      <c r="L4082" t="inlineStr">
        <is>
          <t>SF Sport&amp;Culture</t>
        </is>
      </c>
      <c r="R4082" s="22"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2" t="n">
        <v>150000</v>
      </c>
      <c r="K4083" s="23" t="n">
        <v>44838</v>
      </c>
      <c r="L4083" t="inlineStr">
        <is>
          <t>SF Education</t>
        </is>
      </c>
      <c r="R4083" s="22"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2" t="n">
        <v>1028077</v>
      </c>
      <c r="K4084" s="23" t="n">
        <v>44848</v>
      </c>
      <c r="L4084" t="inlineStr">
        <is>
          <t>SF Hydrolique (Eau)</t>
        </is>
      </c>
      <c r="R4084" s="22"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2" t="n">
        <v>4636020</v>
      </c>
      <c r="K4085" s="23" t="n">
        <v>44848</v>
      </c>
      <c r="L4085" t="inlineStr">
        <is>
          <t>SF Education</t>
        </is>
      </c>
      <c r="R4085" s="22"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2" t="n">
        <v>6057761.5</v>
      </c>
      <c r="K4086" s="23" t="n">
        <v>44848</v>
      </c>
      <c r="L4086" t="inlineStr">
        <is>
          <t>SF Education</t>
        </is>
      </c>
      <c r="R4086" s="22"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2" t="n">
        <v>1797117.99</v>
      </c>
      <c r="K4087" s="23" t="n">
        <v>44849</v>
      </c>
      <c r="L4087" t="inlineStr">
        <is>
          <t>SF Education</t>
        </is>
      </c>
      <c r="R4087" s="22"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2" t="n">
        <v>1294519.99</v>
      </c>
      <c r="K4088" s="23" t="n">
        <v>44849</v>
      </c>
      <c r="L4088" t="inlineStr">
        <is>
          <t>SF Education</t>
        </is>
      </c>
      <c r="R4088" s="22"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2" t="n">
        <v>826135.74</v>
      </c>
      <c r="K4089" s="23" t="n">
        <v>44849</v>
      </c>
      <c r="L4089" t="inlineStr">
        <is>
          <t>SF Education</t>
        </is>
      </c>
      <c r="R4089" s="22"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2" t="n">
        <v>396883.6</v>
      </c>
      <c r="K4090" s="23" t="n">
        <v>44849</v>
      </c>
      <c r="L4090" t="inlineStr">
        <is>
          <t>SF Education</t>
        </is>
      </c>
      <c r="R4090" s="22"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2" t="n">
        <v>155390.2</v>
      </c>
      <c r="O4091" t="inlineStr">
        <is>
          <t>SF General</t>
        </is>
      </c>
      <c r="P4091" t="inlineStr">
        <is>
          <t>Obligation de développement social: art.15 de l'avenant 1 à la convention minière de Sabodala du 23 mars 2005</t>
        </is>
      </c>
      <c r="R4091" s="22"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2" t="n">
        <v>1000000</v>
      </c>
      <c r="K4092" s="23" t="n">
        <v>44851</v>
      </c>
      <c r="L4092" t="inlineStr">
        <is>
          <t>SF Santé</t>
        </is>
      </c>
      <c r="R4092" s="22"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2" t="n">
        <v>192595.51</v>
      </c>
      <c r="K4093" s="23" t="n">
        <v>44853</v>
      </c>
      <c r="L4093" t="inlineStr">
        <is>
          <t>SF Education</t>
        </is>
      </c>
      <c r="R4093" s="22"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2" t="n">
        <v>932170</v>
      </c>
      <c r="K4094" s="23" t="n">
        <v>44853</v>
      </c>
      <c r="L4094" t="inlineStr">
        <is>
          <t>SF Education</t>
        </is>
      </c>
      <c r="R4094" s="22"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2" t="n">
        <v>319700.83</v>
      </c>
      <c r="K4095" s="23" t="n">
        <v>44853</v>
      </c>
      <c r="L4095" t="inlineStr">
        <is>
          <t>SF Education</t>
        </is>
      </c>
      <c r="R4095" s="22"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2" t="n">
        <v>43165.2</v>
      </c>
      <c r="K4096" s="23" t="n">
        <v>44853</v>
      </c>
      <c r="L4096" t="inlineStr">
        <is>
          <t>SF Education</t>
        </is>
      </c>
      <c r="R4096" s="22"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2" t="n">
        <v>61814.86</v>
      </c>
      <c r="K4097" s="23" t="n">
        <v>44853</v>
      </c>
      <c r="L4097" t="inlineStr">
        <is>
          <t>SF Education</t>
        </is>
      </c>
      <c r="R4097" s="22"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2" t="n">
        <v>1667296.8</v>
      </c>
      <c r="K4098" s="23" t="n">
        <v>44853</v>
      </c>
      <c r="L4098" t="inlineStr">
        <is>
          <t>SF Education</t>
        </is>
      </c>
      <c r="R4098" s="22"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2" t="n">
        <v>659316.37</v>
      </c>
      <c r="K4099" s="23" t="n">
        <v>44853</v>
      </c>
      <c r="L4099" t="inlineStr">
        <is>
          <t>SF Education</t>
        </is>
      </c>
      <c r="R4099" s="22"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2" t="n">
        <v>539621.65</v>
      </c>
      <c r="K4100" s="23" t="n">
        <v>44853</v>
      </c>
      <c r="L4100" t="inlineStr">
        <is>
          <t>SF Education</t>
        </is>
      </c>
      <c r="R4100" s="22"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2" t="n">
        <v>166002.6</v>
      </c>
      <c r="K4101" s="23" t="n">
        <v>44853</v>
      </c>
      <c r="L4101" t="inlineStr">
        <is>
          <t>SF Education</t>
        </is>
      </c>
      <c r="R4101" s="22"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2" t="n">
        <v>2880000</v>
      </c>
      <c r="K4102" s="23" t="n">
        <v>44854</v>
      </c>
      <c r="L4102" t="inlineStr">
        <is>
          <t>SF Education</t>
        </is>
      </c>
      <c r="R4102" s="22"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2" t="n">
        <v>12500000</v>
      </c>
      <c r="K4103" s="23" t="n">
        <v>44854</v>
      </c>
      <c r="L4103" t="inlineStr">
        <is>
          <t>SF Education</t>
        </is>
      </c>
      <c r="R4103" s="22"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2" t="n">
        <v>190921.26</v>
      </c>
      <c r="K4104" s="23" t="n">
        <v>44857</v>
      </c>
      <c r="L4104" t="inlineStr">
        <is>
          <t>SF Hydrolique (Eau)</t>
        </is>
      </c>
      <c r="R4104" s="22"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2" t="n">
        <v>155000</v>
      </c>
      <c r="K4105" t="inlineStr">
        <is>
          <t>31/10/2023</t>
        </is>
      </c>
      <c r="L4105" t="inlineStr">
        <is>
          <t>Appuis divers</t>
        </is>
      </c>
      <c r="R4105" s="22"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2" t="n">
        <v>665500</v>
      </c>
      <c r="K4106" s="23" t="n">
        <v>44865</v>
      </c>
      <c r="L4106" t="inlineStr">
        <is>
          <t>SF Education</t>
        </is>
      </c>
      <c r="R4106" s="22"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2" t="n">
        <v>1500000</v>
      </c>
      <c r="K4107" s="23" t="n">
        <v>44865</v>
      </c>
      <c r="L4107" t="inlineStr">
        <is>
          <t>SF Moyens de subsistance (création de revenus)</t>
        </is>
      </c>
      <c r="R4107" s="22"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2" t="n">
        <v>1000000</v>
      </c>
      <c r="K4108" s="23" t="n">
        <v>44865</v>
      </c>
      <c r="L4108" t="inlineStr">
        <is>
          <t>SF Moyens de subsistance (création de revenus)</t>
        </is>
      </c>
      <c r="R4108" s="22"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2" t="n">
        <v>500000</v>
      </c>
      <c r="K4109" s="23" t="n">
        <v>44865</v>
      </c>
      <c r="L4109" t="inlineStr">
        <is>
          <t>SF Moyens de subsistance (création de revenus)</t>
        </is>
      </c>
      <c r="R4109" s="22"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2" t="n">
        <v>970964</v>
      </c>
      <c r="K4110" s="23" t="n">
        <v>44869</v>
      </c>
      <c r="L4110" t="inlineStr">
        <is>
          <t>SF Santé</t>
        </is>
      </c>
      <c r="R4110" s="22"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2" t="n">
        <v>871088</v>
      </c>
      <c r="K4111" s="23" t="n">
        <v>44869</v>
      </c>
      <c r="L4111" t="inlineStr">
        <is>
          <t>SF Education</t>
        </is>
      </c>
      <c r="R4111" s="22"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2" t="n">
        <v>48951.78</v>
      </c>
      <c r="K4112" s="23" t="n">
        <v>44874</v>
      </c>
      <c r="L4112" t="inlineStr">
        <is>
          <t>SF Moyens de subsistance (création de revenus)</t>
        </is>
      </c>
      <c r="R4112" s="22"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2" t="n">
        <v>1548585.37</v>
      </c>
      <c r="K4113" s="23" t="n">
        <v>44874</v>
      </c>
      <c r="L4113" t="inlineStr">
        <is>
          <t>SF Moyens de subsistance (création de revenus)</t>
        </is>
      </c>
      <c r="R4113" s="22"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2" t="n">
        <v>23980.9</v>
      </c>
      <c r="K4114" s="23" t="n">
        <v>44874</v>
      </c>
      <c r="L4114" t="inlineStr">
        <is>
          <t>SF Moyens de subsistance (création de revenus)</t>
        </is>
      </c>
      <c r="R4114" s="22"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2" t="n">
        <v>50801.48</v>
      </c>
      <c r="K4115" s="23" t="n">
        <v>44874</v>
      </c>
      <c r="L4115" t="inlineStr">
        <is>
          <t>SF Moyens de subsistance (création de revenus)</t>
        </is>
      </c>
      <c r="R4115" s="22"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2" t="n">
        <v>105785.36</v>
      </c>
      <c r="K4116" s="23" t="n">
        <v>44883</v>
      </c>
      <c r="L4116" t="inlineStr">
        <is>
          <t>SF Education</t>
        </is>
      </c>
      <c r="R4116" s="22"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2" t="n">
        <v>47828.45</v>
      </c>
      <c r="K4117" s="23" t="n">
        <v>44883</v>
      </c>
      <c r="L4117" t="inlineStr">
        <is>
          <t>SF Moyens de subsistance (création de revenus)</t>
        </is>
      </c>
      <c r="R4117" s="22"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2" t="n">
        <v>1586131.95</v>
      </c>
      <c r="K4118" s="23" t="n">
        <v>44883</v>
      </c>
      <c r="L4118" t="inlineStr">
        <is>
          <t>SF Moyens de subsistance (création de revenus)</t>
        </is>
      </c>
      <c r="R4118" s="22"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2" t="n">
        <v>23430.31</v>
      </c>
      <c r="K4119" s="23" t="n">
        <v>44883</v>
      </c>
      <c r="L4119" t="inlineStr">
        <is>
          <t>SF Moyens de subsistance (création de revenus)</t>
        </is>
      </c>
      <c r="R4119" s="22"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2" t="n">
        <v>49631.26</v>
      </c>
      <c r="K4120" s="23" t="n">
        <v>44883</v>
      </c>
      <c r="L4120" t="inlineStr">
        <is>
          <t>SF Moyens de subsistance (création de revenus)</t>
        </is>
      </c>
      <c r="R4120" s="22"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2" t="n">
        <v>23430.31</v>
      </c>
      <c r="K4121" s="23" t="n">
        <v>44883</v>
      </c>
      <c r="L4121" t="inlineStr">
        <is>
          <t>SF Moyens de subsistance (création de revenus)</t>
        </is>
      </c>
      <c r="R4121" s="22"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2" t="n">
        <v>1395102.73</v>
      </c>
      <c r="K4122" s="23" t="n">
        <v>44884</v>
      </c>
      <c r="L4122" t="inlineStr">
        <is>
          <t>SF Education</t>
        </is>
      </c>
      <c r="R4122" s="22"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2" t="n">
        <v>1600690.27</v>
      </c>
      <c r="K4123" s="23" t="n">
        <v>44884</v>
      </c>
      <c r="L4123" t="inlineStr">
        <is>
          <t>SF Education</t>
        </is>
      </c>
      <c r="R4123" s="22"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2" t="n">
        <v>20702.37</v>
      </c>
      <c r="K4124" s="23" t="n">
        <v>44885</v>
      </c>
      <c r="L4124" t="inlineStr">
        <is>
          <t>SF Education</t>
        </is>
      </c>
      <c r="R4124" s="22"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2" t="n">
        <v>26999.5</v>
      </c>
      <c r="K4125" s="23" t="n">
        <v>44885</v>
      </c>
      <c r="L4125" t="inlineStr">
        <is>
          <t>SF Education</t>
        </is>
      </c>
      <c r="R4125" s="22"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2" t="n">
        <v>11698.3</v>
      </c>
      <c r="K4126" s="23" t="n">
        <v>44885</v>
      </c>
      <c r="L4126" t="inlineStr">
        <is>
          <t>SF Education</t>
        </is>
      </c>
      <c r="R4126" s="22"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2" t="n">
        <v>11698.3</v>
      </c>
      <c r="K4127" s="23" t="n">
        <v>44885</v>
      </c>
      <c r="L4127" t="inlineStr">
        <is>
          <t>SF Education</t>
        </is>
      </c>
      <c r="R4127" s="22"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2" t="n">
        <v>11698.3</v>
      </c>
      <c r="K4128" s="23" t="n">
        <v>44885</v>
      </c>
      <c r="L4128" t="inlineStr">
        <is>
          <t>SF Education</t>
        </is>
      </c>
      <c r="R4128" s="22"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2" t="n">
        <v>11698.3</v>
      </c>
      <c r="K4129" s="23" t="n">
        <v>44885</v>
      </c>
      <c r="L4129" t="inlineStr">
        <is>
          <t>SF Education</t>
        </is>
      </c>
      <c r="R4129" s="22"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2" t="n">
        <v>11698.3</v>
      </c>
      <c r="K4130" s="23" t="n">
        <v>44885</v>
      </c>
      <c r="L4130" t="inlineStr">
        <is>
          <t>SF Education</t>
        </is>
      </c>
      <c r="R4130" s="22"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2" t="n">
        <v>11698.3</v>
      </c>
      <c r="K4131" s="23" t="n">
        <v>44885</v>
      </c>
      <c r="L4131" t="inlineStr">
        <is>
          <t>SF Education</t>
        </is>
      </c>
      <c r="R4131" s="22"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2" t="n">
        <v>15301.2</v>
      </c>
      <c r="K4132" s="23" t="n">
        <v>44885</v>
      </c>
      <c r="L4132" t="inlineStr">
        <is>
          <t>SF Education</t>
        </is>
      </c>
      <c r="R4132" s="22"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2" t="n">
        <v>22500.64</v>
      </c>
      <c r="K4133" s="23" t="n">
        <v>44885</v>
      </c>
      <c r="L4133" t="inlineStr">
        <is>
          <t>SF Education</t>
        </is>
      </c>
      <c r="R4133" s="22"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2" t="n">
        <v>11698.3</v>
      </c>
      <c r="K4134" s="23" t="n">
        <v>44885</v>
      </c>
      <c r="L4134" t="inlineStr">
        <is>
          <t>SF Education</t>
        </is>
      </c>
      <c r="R4134" s="22"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2" t="n">
        <v>11698.3</v>
      </c>
      <c r="K4135" s="23" t="n">
        <v>44885</v>
      </c>
      <c r="L4135" t="inlineStr">
        <is>
          <t>SF Education</t>
        </is>
      </c>
      <c r="R4135" s="22"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2" t="n">
        <v>11698.3</v>
      </c>
      <c r="K4136" s="23" t="n">
        <v>44885</v>
      </c>
      <c r="L4136" t="inlineStr">
        <is>
          <t>SF Education</t>
        </is>
      </c>
      <c r="R4136" s="22"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2" t="n">
        <v>11698.3</v>
      </c>
      <c r="K4137" s="23" t="n">
        <v>44885</v>
      </c>
      <c r="L4137" t="inlineStr">
        <is>
          <t>SF Education</t>
        </is>
      </c>
      <c r="R4137" s="22"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2" t="n">
        <v>11698.3</v>
      </c>
      <c r="K4138" s="23" t="n">
        <v>44885</v>
      </c>
      <c r="L4138" t="inlineStr">
        <is>
          <t>SF Education</t>
        </is>
      </c>
      <c r="R4138" s="22"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2" t="n">
        <v>11698.3</v>
      </c>
      <c r="K4139" s="23" t="n">
        <v>44885</v>
      </c>
      <c r="L4139" t="inlineStr">
        <is>
          <t>SF Education</t>
        </is>
      </c>
      <c r="R4139" s="22"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2" t="n">
        <v>11698.3</v>
      </c>
      <c r="K4140" s="23" t="n">
        <v>44885</v>
      </c>
      <c r="L4140" t="inlineStr">
        <is>
          <t>SF Education</t>
        </is>
      </c>
      <c r="R4140" s="22"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2" t="n">
        <v>11698.3</v>
      </c>
      <c r="K4141" s="23" t="n">
        <v>44885</v>
      </c>
      <c r="L4141" t="inlineStr">
        <is>
          <t>SF Education</t>
        </is>
      </c>
      <c r="R4141" s="22"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2" t="n">
        <v>11698.3</v>
      </c>
      <c r="K4142" s="23" t="n">
        <v>44885</v>
      </c>
      <c r="L4142" t="inlineStr">
        <is>
          <t>SF Education</t>
        </is>
      </c>
      <c r="R4142" s="22"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2" t="n">
        <v>15301.2</v>
      </c>
      <c r="K4143" s="23" t="n">
        <v>44885</v>
      </c>
      <c r="L4143" t="inlineStr">
        <is>
          <t>SF Education</t>
        </is>
      </c>
      <c r="R4143" s="22"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2" t="n">
        <v>11860451</v>
      </c>
      <c r="K4144" s="23" t="n">
        <v>44886</v>
      </c>
      <c r="L4144" t="inlineStr">
        <is>
          <t>SF Santé</t>
        </is>
      </c>
      <c r="R4144" s="22"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2" t="n">
        <v>4172418</v>
      </c>
      <c r="K4145" s="23" t="n">
        <v>44886</v>
      </c>
      <c r="L4145" t="inlineStr">
        <is>
          <t>SF Education</t>
        </is>
      </c>
      <c r="R4145" s="22"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2" t="n">
        <v>3461578</v>
      </c>
      <c r="K4146" s="23" t="n">
        <v>44886</v>
      </c>
      <c r="L4146" t="inlineStr">
        <is>
          <t>SF Education</t>
        </is>
      </c>
      <c r="R4146" s="22"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2" t="n">
        <v>389654.96</v>
      </c>
      <c r="K4147" s="23" t="n">
        <v>44887</v>
      </c>
      <c r="L4147" t="inlineStr">
        <is>
          <t>SF Education</t>
        </is>
      </c>
      <c r="R4147" s="22"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2" t="n">
        <v>1500000</v>
      </c>
      <c r="K4148" s="23" t="n">
        <v>44888</v>
      </c>
      <c r="L4148" t="inlineStr">
        <is>
          <t>SF Moyens de subsistance (création de revenus)</t>
        </is>
      </c>
      <c r="R4148" s="22"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2" t="n">
        <v>1000002.13</v>
      </c>
      <c r="K4149" s="23" t="n">
        <v>44888</v>
      </c>
      <c r="L4149" t="inlineStr">
        <is>
          <t>SF Moyens de subsistance (création de revenus)</t>
        </is>
      </c>
      <c r="R4149" s="22"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2" t="n">
        <v>499997.87</v>
      </c>
      <c r="K4150" s="23" t="n">
        <v>44888</v>
      </c>
      <c r="L4150" t="inlineStr">
        <is>
          <t>SF Moyens de subsistance (création de revenus)</t>
        </is>
      </c>
      <c r="R4150" s="22"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2" t="n">
        <v>497327.26</v>
      </c>
      <c r="K4151" s="23" t="n">
        <v>44891</v>
      </c>
      <c r="L4151" t="inlineStr">
        <is>
          <t>SF Education</t>
        </is>
      </c>
      <c r="R4151" s="22"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2" t="n">
        <v>1349956.04</v>
      </c>
      <c r="K4152" s="23" t="n">
        <v>44891</v>
      </c>
      <c r="L4152" t="inlineStr">
        <is>
          <t>SF Education</t>
        </is>
      </c>
      <c r="R4152" s="22"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2" t="n">
        <v>925269.3</v>
      </c>
      <c r="K4153" s="23" t="n">
        <v>44892</v>
      </c>
      <c r="L4153" t="inlineStr">
        <is>
          <t>SF Hydrolique (Eau)</t>
        </is>
      </c>
      <c r="R4153" s="22"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2" t="n">
        <v>2200000.77</v>
      </c>
      <c r="K4154" s="23" t="n">
        <v>44892</v>
      </c>
      <c r="L4154" t="inlineStr">
        <is>
          <t>SF Hydrolique (Eau)</t>
        </is>
      </c>
      <c r="R4154" s="22"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2" t="n">
        <v>2200000.78</v>
      </c>
      <c r="K4155" s="23" t="n">
        <v>44892</v>
      </c>
      <c r="L4155" t="inlineStr">
        <is>
          <t>SF Hydrolique (Eau)</t>
        </is>
      </c>
      <c r="R4155" s="22"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2" t="n">
        <v>2200000.77</v>
      </c>
      <c r="K4156" s="23" t="n">
        <v>44892</v>
      </c>
      <c r="L4156" t="inlineStr">
        <is>
          <t>SF Hydrolique (Eau)</t>
        </is>
      </c>
      <c r="R4156" s="22"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2" t="n">
        <v>479998.91</v>
      </c>
      <c r="K4157" s="23" t="n">
        <v>44892</v>
      </c>
      <c r="L4157" t="inlineStr">
        <is>
          <t>SF Hydrolique (Eau)</t>
        </is>
      </c>
      <c r="R4157" s="22"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2" t="n">
        <v>79998.77</v>
      </c>
      <c r="K4158" s="23" t="n">
        <v>44892</v>
      </c>
      <c r="L4158" t="inlineStr">
        <is>
          <t>SF Hydrolique (Eau)</t>
        </is>
      </c>
      <c r="R4158" s="22"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2" t="n">
        <v>8176256.4</v>
      </c>
      <c r="K4159" s="23" t="n">
        <v>44892</v>
      </c>
      <c r="L4159" t="inlineStr">
        <is>
          <t>SF Education</t>
        </is>
      </c>
      <c r="R4159" s="22"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2" t="n">
        <v>1288800</v>
      </c>
      <c r="K4160" s="23" t="n">
        <v>44895</v>
      </c>
      <c r="L4160" t="inlineStr">
        <is>
          <t>SF Hydrolique (Eau)</t>
        </is>
      </c>
      <c r="R4160" s="22"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2" t="n">
        <v>166548</v>
      </c>
      <c r="K4161" s="23" t="n">
        <v>44895</v>
      </c>
      <c r="L4161" t="inlineStr">
        <is>
          <t>SF Hydrolique (Eau)</t>
        </is>
      </c>
      <c r="R4161" s="22"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2" t="n">
        <v>8176256.4</v>
      </c>
      <c r="K4162" s="23" t="n">
        <v>44907</v>
      </c>
      <c r="L4162" t="inlineStr">
        <is>
          <t>SF Education</t>
        </is>
      </c>
      <c r="R4162" s="22"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2" t="n">
        <v>1479100</v>
      </c>
      <c r="K4163" s="23" t="n">
        <v>44908</v>
      </c>
      <c r="L4163" t="inlineStr">
        <is>
          <t>SF Education</t>
        </is>
      </c>
      <c r="R4163" s="22"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2" t="n">
        <v>73955</v>
      </c>
      <c r="K4164" s="23" t="n">
        <v>44909</v>
      </c>
      <c r="L4164" t="inlineStr">
        <is>
          <t>SF Education</t>
        </is>
      </c>
      <c r="R4164" s="22"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2" t="n">
        <v>131000</v>
      </c>
      <c r="K4165" s="23" t="n">
        <v>44921</v>
      </c>
      <c r="L4165" t="inlineStr">
        <is>
          <t>SF Moyens de subsistance (création de revenus)</t>
        </is>
      </c>
      <c r="R4165" s="22"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2" t="n">
        <v>5898928</v>
      </c>
      <c r="K4166" s="23" t="n">
        <v>44922</v>
      </c>
      <c r="L4166" t="inlineStr">
        <is>
          <t>SF Education</t>
        </is>
      </c>
      <c r="R4166" s="22"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2" t="n">
        <v>5376016.16</v>
      </c>
      <c r="K4167" s="23" t="n">
        <v>44923</v>
      </c>
      <c r="L4167" t="inlineStr">
        <is>
          <t>SF Sport&amp;Culture</t>
        </is>
      </c>
      <c r="R4167" s="22"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2" t="n">
        <v>126770.48</v>
      </c>
      <c r="K4168" s="23" t="n">
        <v>44923</v>
      </c>
      <c r="L4168" t="inlineStr">
        <is>
          <t>SF Sport&amp;Culture</t>
        </is>
      </c>
      <c r="R4168" s="22"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2" t="n">
        <v>3277750.86</v>
      </c>
      <c r="K4169" s="23" t="n">
        <v>44923</v>
      </c>
      <c r="L4169" t="inlineStr">
        <is>
          <t>SF Sport&amp;Culture</t>
        </is>
      </c>
      <c r="R4169" s="22"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2" t="n">
        <v>320000</v>
      </c>
      <c r="K4170" s="23" t="n">
        <v>44924</v>
      </c>
      <c r="L4170" t="inlineStr">
        <is>
          <t>SF Moyens de subsistance (création de revenus)</t>
        </is>
      </c>
      <c r="R4170" s="22"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2" t="n">
        <v>7200000</v>
      </c>
      <c r="K4171" s="23" t="n">
        <v>44925</v>
      </c>
      <c r="L4171" t="inlineStr">
        <is>
          <t>SF Education</t>
        </is>
      </c>
      <c r="R4171" s="22"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2" t="n">
        <v>593022</v>
      </c>
      <c r="K4172" s="23" t="n">
        <v>44926</v>
      </c>
      <c r="L4172" t="inlineStr">
        <is>
          <t>SF Santé</t>
        </is>
      </c>
      <c r="R4172" s="22"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2" t="n">
        <v>120960</v>
      </c>
      <c r="K4173" s="23" t="n">
        <v>44601</v>
      </c>
      <c r="L4173" t="inlineStr">
        <is>
          <t>COTISATION</t>
        </is>
      </c>
      <c r="P4173" t="n">
        <v>44562</v>
      </c>
      <c r="R4173" s="22"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2" t="n">
        <v>105840</v>
      </c>
      <c r="K4174" s="23" t="n">
        <v>44622</v>
      </c>
      <c r="L4174" t="inlineStr">
        <is>
          <t>COTISATION</t>
        </is>
      </c>
      <c r="P4174" t="n">
        <v>44593</v>
      </c>
      <c r="R4174" s="22"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2" t="n">
        <v>143640</v>
      </c>
      <c r="K4175" s="23" t="n">
        <v>44656</v>
      </c>
      <c r="L4175" t="inlineStr">
        <is>
          <t>COTISATION</t>
        </is>
      </c>
      <c r="P4175" t="n">
        <v>44621</v>
      </c>
      <c r="R4175" s="22"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2" t="n">
        <v>362880</v>
      </c>
      <c r="K4176" s="23" t="n">
        <v>44602</v>
      </c>
      <c r="L4176" t="inlineStr">
        <is>
          <t>COTISATION</t>
        </is>
      </c>
      <c r="P4176" t="n">
        <v>44562</v>
      </c>
      <c r="R4176" s="22"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2" t="n">
        <v>370440</v>
      </c>
      <c r="K4177" s="23" t="n">
        <v>44624</v>
      </c>
      <c r="L4177" t="inlineStr">
        <is>
          <t>COTISATION</t>
        </is>
      </c>
      <c r="P4177" t="n">
        <v>44593</v>
      </c>
      <c r="R4177" s="22"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2" t="n">
        <v>370440</v>
      </c>
      <c r="K4178" s="23" t="n">
        <v>44659</v>
      </c>
      <c r="L4178" t="inlineStr">
        <is>
          <t>COTISATION</t>
        </is>
      </c>
      <c r="P4178" t="n">
        <v>44621</v>
      </c>
      <c r="R4178" s="22"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2" t="n">
        <v>491400</v>
      </c>
      <c r="K4179" s="23" t="n">
        <v>44748</v>
      </c>
      <c r="L4179" t="inlineStr">
        <is>
          <t>COTISATION</t>
        </is>
      </c>
      <c r="P4179" t="n">
        <v>44652</v>
      </c>
      <c r="R4179" s="22"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2" t="n">
        <v>483840</v>
      </c>
      <c r="K4180" s="23" t="n">
        <v>44720</v>
      </c>
      <c r="L4180" t="inlineStr">
        <is>
          <t>COTISATION</t>
        </is>
      </c>
      <c r="P4180" t="n">
        <v>44682</v>
      </c>
      <c r="R4180" s="22"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2" t="n">
        <v>483841</v>
      </c>
      <c r="K4181" s="23" t="n">
        <v>44746</v>
      </c>
      <c r="L4181" t="inlineStr">
        <is>
          <t>COTISATION</t>
        </is>
      </c>
      <c r="P4181" t="n">
        <v>44713</v>
      </c>
      <c r="R4181" s="22"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2" t="n">
        <v>483839</v>
      </c>
      <c r="K4182" s="23" t="n">
        <v>44778</v>
      </c>
      <c r="L4182" t="inlineStr">
        <is>
          <t>COTISATION</t>
        </is>
      </c>
      <c r="P4182" t="n">
        <v>44743</v>
      </c>
      <c r="R4182" s="22"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2" t="n">
        <v>483841</v>
      </c>
      <c r="K4183" s="23" t="n">
        <v>44812</v>
      </c>
      <c r="L4183" t="inlineStr">
        <is>
          <t>COTISATION</t>
        </is>
      </c>
      <c r="P4183" t="n">
        <v>44774</v>
      </c>
      <c r="R4183" s="22"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2" t="n">
        <v>468720</v>
      </c>
      <c r="K4184" s="23" t="n">
        <v>44846</v>
      </c>
      <c r="L4184" t="inlineStr">
        <is>
          <t>COTISATION</t>
        </is>
      </c>
      <c r="P4184" t="n">
        <v>44805</v>
      </c>
      <c r="R4184" s="22"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2" t="n">
        <v>476280</v>
      </c>
      <c r="K4185" s="23" t="n">
        <v>44880</v>
      </c>
      <c r="L4185" t="inlineStr">
        <is>
          <t>COTISATION</t>
        </is>
      </c>
      <c r="P4185" t="n">
        <v>44835</v>
      </c>
      <c r="R4185" s="22"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2" t="n">
        <v>2643937</v>
      </c>
      <c r="K4186" s="23" t="n">
        <v>44566</v>
      </c>
      <c r="L4186" t="inlineStr">
        <is>
          <t>COTISATION</t>
        </is>
      </c>
      <c r="P4186" t="n">
        <v>44531</v>
      </c>
      <c r="R4186" s="22"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2" t="n">
        <v>576000</v>
      </c>
      <c r="K4187" s="23" t="n">
        <v>44566</v>
      </c>
      <c r="L4187" t="inlineStr">
        <is>
          <t>COTISATION</t>
        </is>
      </c>
      <c r="P4187" t="n">
        <v>44531</v>
      </c>
      <c r="R4187" s="22"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2" t="n">
        <v>2381636</v>
      </c>
      <c r="K4188" s="23" t="n">
        <v>44602</v>
      </c>
      <c r="L4188" t="inlineStr">
        <is>
          <t>COTISATION</t>
        </is>
      </c>
      <c r="P4188" t="n">
        <v>44562</v>
      </c>
      <c r="R4188" s="22"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2" t="n">
        <v>576000</v>
      </c>
      <c r="K4189" s="23" t="n">
        <v>44602</v>
      </c>
      <c r="L4189" t="inlineStr">
        <is>
          <t>COTISATION</t>
        </is>
      </c>
      <c r="P4189" t="n">
        <v>44562</v>
      </c>
      <c r="R4189" s="22"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2" t="n">
        <v>2386173</v>
      </c>
      <c r="K4190" s="23" t="n">
        <v>44623</v>
      </c>
      <c r="L4190" t="inlineStr">
        <is>
          <t>COTISATION</t>
        </is>
      </c>
      <c r="P4190" t="n">
        <v>44593</v>
      </c>
      <c r="R4190" s="22"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2" t="n">
        <v>576000</v>
      </c>
      <c r="K4191" s="23" t="n">
        <v>44623</v>
      </c>
      <c r="L4191" t="inlineStr">
        <is>
          <t>COTISATION</t>
        </is>
      </c>
      <c r="P4191" t="n">
        <v>44593</v>
      </c>
      <c r="R4191" s="22"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2" t="n">
        <v>3104603</v>
      </c>
      <c r="K4192" s="23" t="n">
        <v>44658</v>
      </c>
      <c r="L4192" t="inlineStr">
        <is>
          <t>COTISATION</t>
        </is>
      </c>
      <c r="P4192" t="n">
        <v>44621</v>
      </c>
      <c r="R4192" s="22"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2" t="n">
        <v>576000</v>
      </c>
      <c r="K4193" s="23" t="n">
        <v>44658</v>
      </c>
      <c r="L4193" t="inlineStr">
        <is>
          <t>COTISATION</t>
        </is>
      </c>
      <c r="P4193" t="n">
        <v>44621</v>
      </c>
      <c r="R4193" s="22"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2" t="n">
        <v>3150086</v>
      </c>
      <c r="K4194" s="23" t="n">
        <v>44748</v>
      </c>
      <c r="L4194" t="inlineStr">
        <is>
          <t>COTISATION</t>
        </is>
      </c>
      <c r="P4194" t="n">
        <v>44652</v>
      </c>
      <c r="R4194" s="22"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2" t="n">
        <v>3069917</v>
      </c>
      <c r="K4195" s="23" t="n">
        <v>44720</v>
      </c>
      <c r="L4195" t="inlineStr">
        <is>
          <t>COTISATION</t>
        </is>
      </c>
      <c r="P4195" t="n">
        <v>44682</v>
      </c>
      <c r="R4195" s="22"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2" t="n">
        <v>3297010</v>
      </c>
      <c r="K4196" s="23" t="n">
        <v>44746</v>
      </c>
      <c r="L4196" t="inlineStr">
        <is>
          <t>COTISATION</t>
        </is>
      </c>
      <c r="P4196" t="n">
        <v>44713</v>
      </c>
      <c r="R4196" s="22"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2" t="n">
        <v>3073976</v>
      </c>
      <c r="K4197" s="23" t="n">
        <v>44778</v>
      </c>
      <c r="L4197" t="inlineStr">
        <is>
          <t>COTISATION</t>
        </is>
      </c>
      <c r="P4197" t="n">
        <v>44743</v>
      </c>
      <c r="R4197" s="22"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2" t="n">
        <v>3228610</v>
      </c>
      <c r="K4198" s="23" t="n">
        <v>44812</v>
      </c>
      <c r="L4198" t="inlineStr">
        <is>
          <t>COTISATION</t>
        </is>
      </c>
      <c r="P4198" t="n">
        <v>44774</v>
      </c>
      <c r="R4198" s="22"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2" t="n">
        <v>3038228</v>
      </c>
      <c r="K4199" s="23" t="n">
        <v>44846</v>
      </c>
      <c r="L4199" t="inlineStr">
        <is>
          <t>COTISATION</t>
        </is>
      </c>
      <c r="P4199" t="n">
        <v>44805</v>
      </c>
      <c r="R4199" s="22"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2" t="n">
        <v>3130786</v>
      </c>
      <c r="K4200" s="23" t="n">
        <v>44880</v>
      </c>
      <c r="L4200" t="inlineStr">
        <is>
          <t>COTISATION</t>
        </is>
      </c>
      <c r="P4200" t="n">
        <v>44835</v>
      </c>
      <c r="R4200" s="22"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2" t="n">
        <v>8201236</v>
      </c>
      <c r="L4201" t="inlineStr">
        <is>
          <t>hydraulique</t>
        </is>
      </c>
      <c r="M4201" t="inlineStr">
        <is>
          <t>fonçage forage poste santé Bantaco</t>
        </is>
      </c>
      <c r="R4201" s="22"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2" t="n">
        <v>23525247</v>
      </c>
      <c r="K4202" s="23" t="n">
        <v>44577</v>
      </c>
      <c r="L4202" t="inlineStr">
        <is>
          <t>Elevage</t>
        </is>
      </c>
      <c r="M4202" t="inlineStr">
        <is>
          <t>Réalisation aire d'abattage de Mako</t>
        </is>
      </c>
      <c r="R4202" s="22"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2" t="n">
        <v>5085538</v>
      </c>
      <c r="K4203" s="23" t="n">
        <v>44884</v>
      </c>
      <c r="L4203" t="inlineStr">
        <is>
          <t>Education</t>
        </is>
      </c>
      <c r="M4203" t="inlineStr">
        <is>
          <t xml:space="preserve"> Réhabilitation Bloc scientifique du Lycée Maciré BA (FISE CDK)</t>
        </is>
      </c>
      <c r="R4203" s="22"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2" t="n">
        <v>7000000</v>
      </c>
      <c r="L4204" t="inlineStr">
        <is>
          <t>SANTE</t>
        </is>
      </c>
      <c r="M4204" t="inlineStr">
        <is>
          <t>Dotation en médicament aux trois postes de santé de la Commune de Tomboronkoto</t>
        </is>
      </c>
      <c r="R4204" s="22"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2" t="n">
        <v>4997208</v>
      </c>
      <c r="K4205" s="23" t="n">
        <v>44588</v>
      </c>
      <c r="L4205" t="inlineStr">
        <is>
          <t>Santé</t>
        </is>
      </c>
      <c r="M4205" t="inlineStr">
        <is>
          <t>Construction + équipement et clôture grillage d'une case de santé à Marougounding</t>
        </is>
      </c>
      <c r="R4205" s="22"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2" t="n">
        <v>4772394</v>
      </c>
      <c r="L4206" t="inlineStr">
        <is>
          <t>Education</t>
        </is>
      </c>
      <c r="M4206" t="inlineStr">
        <is>
          <t>Construction d'un bloc de deux salles de classes à Thiocoye</t>
        </is>
      </c>
      <c r="R4206" s="22"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2" t="n">
        <v>3952568.73</v>
      </c>
      <c r="L4207" t="inlineStr">
        <is>
          <t>Education</t>
        </is>
      </c>
      <c r="M4207" t="inlineStr">
        <is>
          <t>Construction Case des tous petits de Tomboronkoto</t>
        </is>
      </c>
      <c r="R4207" s="22"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2" t="n">
        <v>1301250</v>
      </c>
      <c r="K4208" s="23" t="n">
        <v>44606</v>
      </c>
      <c r="L4208" t="inlineStr">
        <is>
          <t xml:space="preserve">communication </t>
        </is>
      </c>
      <c r="M4208" t="inlineStr">
        <is>
          <t>Suivi et communication des projets du FISE communal</t>
        </is>
      </c>
      <c r="R4208" s="22"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2" t="n">
        <v>8669482</v>
      </c>
      <c r="L4209" t="inlineStr">
        <is>
          <t>santé</t>
        </is>
      </c>
      <c r="M4209" t="inlineStr">
        <is>
          <t>Construction d'une maternité et d'un bloc d'hygiéne de deux boxes au niveau du poste de santé de Bantaco</t>
        </is>
      </c>
      <c r="R4209" s="22"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2" t="n">
        <v>13610285</v>
      </c>
      <c r="L4210" t="inlineStr">
        <is>
          <t>Education</t>
        </is>
      </c>
      <c r="M4210" t="inlineStr">
        <is>
          <t>Construction de salles de classe à Mako</t>
        </is>
      </c>
      <c r="R4210" s="22"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2" t="n">
        <v>3556149</v>
      </c>
      <c r="K4211" s="23" t="n">
        <v>44673</v>
      </c>
      <c r="L4211" t="inlineStr">
        <is>
          <t>Education</t>
        </is>
      </c>
      <c r="M4211" t="inlineStr">
        <is>
          <t>Construction salles de classe et d'un mur de cloture à Tamnoumouya</t>
        </is>
      </c>
      <c r="R4211" s="22"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2" t="n">
        <v>10243606</v>
      </c>
      <c r="L4212" t="inlineStr">
        <is>
          <t>sante</t>
        </is>
      </c>
      <c r="M4212" t="inlineStr">
        <is>
          <t>Construction + Equipement + Cloture grillagée et Electrification d'une case de santé à Badon</t>
        </is>
      </c>
      <c r="R4212" s="22"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2" t="n">
        <v>8469596</v>
      </c>
      <c r="L4213" t="inlineStr">
        <is>
          <t>santé</t>
        </is>
      </c>
      <c r="M4213" t="inlineStr">
        <is>
          <t xml:space="preserve"> Construction mur de cloture,logement gardien et d'une guérite dans le poste de santé de Bantaco</t>
        </is>
      </c>
      <c r="R4213" s="22"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2" t="n">
        <v>100000</v>
      </c>
      <c r="L4214" t="inlineStr">
        <is>
          <t>social</t>
        </is>
      </c>
      <c r="M4214" t="inlineStr">
        <is>
          <t>fonds social commune de Tomboronkoto</t>
        </is>
      </c>
      <c r="R4214" s="22"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2" t="n">
        <v>10584069</v>
      </c>
      <c r="K4215" s="23" t="n">
        <v>44574</v>
      </c>
      <c r="L4215" t="inlineStr">
        <is>
          <t>hydraulique</t>
        </is>
      </c>
      <c r="M4215" t="inlineStr">
        <is>
          <t xml:space="preserve"> Changement Forage manuel en Pompe Tambanoumouya</t>
        </is>
      </c>
      <c r="R4215" s="22"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2" t="n">
        <v>14112092</v>
      </c>
      <c r="K4216" s="23" t="n">
        <v>44680</v>
      </c>
      <c r="L4216" t="inlineStr">
        <is>
          <t>hydraulique</t>
        </is>
      </c>
      <c r="M4216" t="inlineStr">
        <is>
          <t xml:space="preserve"> Changement Forage manuel en Pompe Tambanoumouya</t>
        </is>
      </c>
      <c r="R4216" s="22"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2" t="n">
        <v>7600000</v>
      </c>
      <c r="K4217" s="23" t="n">
        <v>44682</v>
      </c>
      <c r="L4217" t="inlineStr">
        <is>
          <t>jeunesse et sport</t>
        </is>
      </c>
      <c r="M4217" t="inlineStr">
        <is>
          <t>Aménagement terrain de football Mako et Niemeniké</t>
        </is>
      </c>
      <c r="R4217" s="22"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2" t="n">
        <v>15749951</v>
      </c>
      <c r="K4218" s="23" t="n">
        <v>44602</v>
      </c>
      <c r="L4218" t="inlineStr">
        <is>
          <t>Education</t>
        </is>
      </c>
      <c r="M4218" t="inlineStr">
        <is>
          <t>Construction salles de classe et d'un mur de cloture à Tambanoumouya</t>
        </is>
      </c>
      <c r="R4218" s="22"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2" t="n">
        <v>12427854</v>
      </c>
      <c r="L4219" t="inlineStr">
        <is>
          <t>hydraulique</t>
        </is>
      </c>
      <c r="M4219" t="inlineStr">
        <is>
          <t>Réalisation du forage pastoral de Kanouméry et forage poste de santé de Bantaco</t>
        </is>
      </c>
      <c r="R4219" s="22"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2" t="n">
        <v>750000</v>
      </c>
      <c r="L4220" t="inlineStr">
        <is>
          <t>santé</t>
        </is>
      </c>
      <c r="M4220" t="inlineStr">
        <is>
          <t xml:space="preserve">Achat d'imprimante pour échographie </t>
        </is>
      </c>
      <c r="R4220" s="22"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2" t="n">
        <v>3000000</v>
      </c>
      <c r="L4221" t="inlineStr">
        <is>
          <t>formation</t>
        </is>
      </c>
      <c r="M4221" t="inlineStr">
        <is>
          <t xml:space="preserve">Formation des jeunes </t>
        </is>
      </c>
      <c r="R4221" s="22"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2" t="n">
        <v>1500000</v>
      </c>
      <c r="K4222" s="23" t="n">
        <v>44813</v>
      </c>
      <c r="L4222" t="inlineStr">
        <is>
          <t>social</t>
        </is>
      </c>
      <c r="M4222" t="inlineStr">
        <is>
          <t>Réfection d'un local pour abriter provisoirement le Poste de Santé de Tomboronkoto</t>
        </is>
      </c>
      <c r="R4222" s="22"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2" t="n">
        <v>6363193</v>
      </c>
      <c r="K4223" s="23" t="n">
        <v>44651</v>
      </c>
      <c r="L4223" t="inlineStr">
        <is>
          <t>Education</t>
        </is>
      </c>
      <c r="M4223" t="inlineStr">
        <is>
          <t>Construction d'un bloc de 2 salles de classe et équipement en table bancs à l'école de THIOKOYE</t>
        </is>
      </c>
      <c r="R4223" s="22"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2" t="n">
        <v>3600000</v>
      </c>
      <c r="K4224" s="23" t="n">
        <v>44651</v>
      </c>
      <c r="L4224" t="inlineStr">
        <is>
          <t>gouvernance</t>
        </is>
      </c>
      <c r="M4224" t="inlineStr">
        <is>
          <t>Réhabilitation de l'ancienne maison communautaire de DIMBOLI</t>
        </is>
      </c>
      <c r="R4224" s="22"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2" t="n">
        <v>1320000</v>
      </c>
      <c r="K4225" s="23" t="n">
        <v>44658</v>
      </c>
      <c r="L4225" t="inlineStr">
        <is>
          <t>social</t>
        </is>
      </c>
      <c r="M4225" t="inlineStr">
        <is>
          <t>Appui Couche vulnerable</t>
        </is>
      </c>
      <c r="R4225" s="22"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2" t="n">
        <v>1000000</v>
      </c>
      <c r="K4226" s="23" t="n">
        <v>44658</v>
      </c>
      <c r="L4226" t="inlineStr">
        <is>
          <t>social</t>
        </is>
      </c>
      <c r="M4226" t="inlineStr">
        <is>
          <t>Enlevement ordure à Bantaco</t>
        </is>
      </c>
      <c r="R4226" s="22"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2" t="n">
        <v>6900000</v>
      </c>
      <c r="K4227" s="23" t="n">
        <v>44651</v>
      </c>
      <c r="L4227" t="inlineStr">
        <is>
          <t>Education</t>
        </is>
      </c>
      <c r="M4227" t="inlineStr">
        <is>
          <t>Charges locatives immeubles des etudiants de Kedougou a Dakar _Février-Mars et Avril_2022</t>
        </is>
      </c>
      <c r="R4227" s="22"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2" t="n">
        <v>13144230</v>
      </c>
      <c r="K4228" s="23" t="n">
        <v>44651</v>
      </c>
      <c r="L4228" t="inlineStr">
        <is>
          <t>Santé</t>
        </is>
      </c>
      <c r="M4228" t="inlineStr">
        <is>
          <t>Construction des logements du chef de poste et de la sage-femme de l'hopital de Bantaco</t>
        </is>
      </c>
      <c r="R4228" s="22"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2" t="n">
        <v>19784682</v>
      </c>
      <c r="L4229" t="inlineStr">
        <is>
          <t>Education</t>
        </is>
      </c>
      <c r="M4229" t="inlineStr">
        <is>
          <t>Construction d'un bloc de deux salles de classes à Bantaco et Construction et Equipement de la salle de formation à Mako</t>
        </is>
      </c>
      <c r="R4229" s="22"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2" t="n">
        <v>5293498</v>
      </c>
      <c r="L4230" t="inlineStr">
        <is>
          <t>santé</t>
        </is>
      </c>
      <c r="M4230" t="inlineStr">
        <is>
          <t>Construction d'un mur de cloture-d'un logement pour gardien et d'une guérite au niveau du Poste de santé de Bantaco</t>
        </is>
      </c>
      <c r="R4230" s="22"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2" t="n">
        <v>10936830</v>
      </c>
      <c r="K4231" s="23" t="n">
        <v>44664</v>
      </c>
      <c r="L4231" t="inlineStr">
        <is>
          <t>INFRASTRUCTURE</t>
        </is>
      </c>
      <c r="M4231" t="inlineStr">
        <is>
          <t>Etude de faisabilite Aire de Stationnement des gros porteurs entre Mako et Niéméniké</t>
        </is>
      </c>
      <c r="R4231" s="22"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2" t="n">
        <v>10361810</v>
      </c>
      <c r="L4232" t="inlineStr">
        <is>
          <t>Education</t>
        </is>
      </c>
      <c r="M4232" t="inlineStr">
        <is>
          <t>Construcion d'un Bloc de deux salles de classe et d'un mur de cloture à Tambanoumouya</t>
        </is>
      </c>
      <c r="R4232" s="22"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2" t="n">
        <v>14122092</v>
      </c>
      <c r="L4233" t="inlineStr">
        <is>
          <t>hydraulique</t>
        </is>
      </c>
      <c r="M4233" t="inlineStr">
        <is>
          <t>Changement Forage manuel en pompe solaire à Tambanoumouya</t>
        </is>
      </c>
      <c r="R4233" s="22"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2" t="n">
        <v>6136922</v>
      </c>
      <c r="K4234" s="23" t="n">
        <v>44680</v>
      </c>
      <c r="L4234" t="inlineStr">
        <is>
          <t>santé</t>
        </is>
      </c>
      <c r="M4234" t="inlineStr">
        <is>
          <t>Construction + équipement et clôture grillage d'une case de santé à Marougounding</t>
        </is>
      </c>
      <c r="R4234" s="22"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2" t="n">
        <v>4620000</v>
      </c>
      <c r="K4235" s="23" t="n">
        <v>44673</v>
      </c>
      <c r="L4235" t="inlineStr">
        <is>
          <t>Education</t>
        </is>
      </c>
      <c r="M4235" t="inlineStr">
        <is>
          <t>charge locative (eaux, éléctricité, entretien) de l'immeuble des étudiants ressortissant</t>
        </is>
      </c>
      <c r="R4235" s="22"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2" t="n">
        <v>810000</v>
      </c>
      <c r="K4236" s="23" t="n">
        <v>44814</v>
      </c>
      <c r="L4236" t="inlineStr">
        <is>
          <t>gouvernance</t>
        </is>
      </c>
      <c r="M4236" t="inlineStr">
        <is>
          <t>Appui pour l'amélioration de la mobilité de l'équipe municipale (achat de 04 Pneus + 01 Phare)</t>
        </is>
      </c>
      <c r="R4236" s="22"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2" t="n">
        <v>2700000</v>
      </c>
      <c r="K4237" s="23" t="n">
        <v>44607</v>
      </c>
      <c r="L4237" t="inlineStr">
        <is>
          <t>SANTE</t>
        </is>
      </c>
      <c r="M4237" t="inlineStr">
        <is>
          <t>FONCTIONNEMENT DE L'AMBULANCE</t>
        </is>
      </c>
      <c r="R4237" s="22"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2" t="n">
        <v>5000000</v>
      </c>
      <c r="K4238" s="23" t="n">
        <v>44651</v>
      </c>
      <c r="L4238" t="inlineStr">
        <is>
          <t>social</t>
        </is>
      </c>
      <c r="M4238" t="inlineStr">
        <is>
          <t xml:space="preserve">Fonds d’appui au demandes sociales urgentes </t>
        </is>
      </c>
      <c r="R4238" s="22"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2" t="n">
        <v>1000000</v>
      </c>
      <c r="L4239" t="inlineStr">
        <is>
          <t>Education</t>
        </is>
      </c>
      <c r="M4239" t="inlineStr">
        <is>
          <t>Soutien au étudiant à 04 étudiant en master</t>
        </is>
      </c>
      <c r="R4239" s="22"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2" t="n">
        <v>1000000</v>
      </c>
      <c r="L4240" t="inlineStr">
        <is>
          <t>social</t>
        </is>
      </c>
      <c r="M4240" t="inlineStr">
        <is>
          <t xml:space="preserve">Aménagement du site du foyer de jeunes </t>
        </is>
      </c>
      <c r="R4240" s="22"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2" t="n">
        <v>3292200</v>
      </c>
      <c r="K4241" s="23" t="n">
        <v>44682</v>
      </c>
      <c r="L4241" t="inlineStr">
        <is>
          <t>santé</t>
        </is>
      </c>
      <c r="M4241" t="inlineStr">
        <is>
          <t xml:space="preserve">Amélioration électricité poste de santé </t>
        </is>
      </c>
      <c r="R4241" s="22"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2" t="n">
        <v>3743314</v>
      </c>
      <c r="K4242" s="23" t="n">
        <v>44701</v>
      </c>
      <c r="L4242" t="inlineStr">
        <is>
          <t>Education</t>
        </is>
      </c>
      <c r="M4242" t="inlineStr">
        <is>
          <t>Complément pour construction d'une 3ème salle de classe</t>
        </is>
      </c>
      <c r="R4242" s="22"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2" t="n">
        <v>1239000</v>
      </c>
      <c r="L4243" t="inlineStr">
        <is>
          <t>hydraulique</t>
        </is>
      </c>
      <c r="M4243" t="inlineStr">
        <is>
          <t>Achat Panneau solaire pour forage</t>
        </is>
      </c>
      <c r="R4243" s="22"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2" t="n">
        <v>6463804</v>
      </c>
      <c r="K4244" s="23" t="n">
        <v>44714</v>
      </c>
      <c r="L4244" t="inlineStr">
        <is>
          <t>hydraulique</t>
        </is>
      </c>
      <c r="M4244" t="inlineStr">
        <is>
          <t>Réalisation de château d'eau de Bantaco</t>
        </is>
      </c>
      <c r="R4244" s="22"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2" t="n">
        <v>6900000</v>
      </c>
      <c r="K4245" s="23" t="n">
        <v>44739</v>
      </c>
      <c r="L4245" t="inlineStr">
        <is>
          <t>Education</t>
        </is>
      </c>
      <c r="M4245" t="inlineStr">
        <is>
          <t>Charges locatives immeuble des etudiants de Kedougou a Dakar</t>
        </is>
      </c>
      <c r="R4245" s="22"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2" t="n">
        <v>6900000</v>
      </c>
      <c r="K4246" s="23" t="n">
        <v>44739</v>
      </c>
      <c r="L4246" t="inlineStr">
        <is>
          <t>Education</t>
        </is>
      </c>
      <c r="M4246" t="inlineStr">
        <is>
          <t>Charges locatives immeuble des etudiants de Kedougou a Dakar</t>
        </is>
      </c>
      <c r="R4246" s="22"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2" t="n">
        <v>1500000</v>
      </c>
      <c r="L4247" t="inlineStr">
        <is>
          <t>social</t>
        </is>
      </c>
      <c r="M4247" t="inlineStr">
        <is>
          <t>fondz communal d'appui aux cas sociaux</t>
        </is>
      </c>
      <c r="R4247" s="22"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2" t="n">
        <v>16799282</v>
      </c>
      <c r="K4248" s="23" t="n">
        <v>44741</v>
      </c>
      <c r="L4248" t="inlineStr">
        <is>
          <t>Education</t>
        </is>
      </c>
      <c r="M4248" t="inlineStr">
        <is>
          <t>Construction d'un nouveau collège à Kédougou</t>
        </is>
      </c>
      <c r="R4248" s="22"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2" t="n">
        <v>800000</v>
      </c>
      <c r="K4249" s="23" t="n">
        <v>44727</v>
      </c>
      <c r="L4249" t="inlineStr">
        <is>
          <t>social</t>
        </is>
      </c>
      <c r="M4249" t="inlineStr">
        <is>
          <t>FONDS D'APPUI AUX CAS SOCIAUX</t>
        </is>
      </c>
      <c r="R4249" s="22"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2" t="n">
        <v>300000</v>
      </c>
      <c r="K4250" s="23" t="n">
        <v>44696</v>
      </c>
      <c r="L4250" t="inlineStr">
        <is>
          <t xml:space="preserve">communication </t>
        </is>
      </c>
      <c r="M4250" t="inlineStr">
        <is>
          <t>frais de restauration rencontre d'échange sur le FISE</t>
        </is>
      </c>
      <c r="R4250" s="22"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2" t="n">
        <v>11931366</v>
      </c>
      <c r="K4251" s="23" t="n">
        <v>44741</v>
      </c>
      <c r="L4251" t="inlineStr">
        <is>
          <t>Education</t>
        </is>
      </c>
      <c r="M4251" t="inlineStr">
        <is>
          <t>Bloc Administratif nouveau collège</t>
        </is>
      </c>
      <c r="R4251" s="22"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2" t="n">
        <v>550000</v>
      </c>
      <c r="K4252" s="23" t="n">
        <v>44783</v>
      </c>
      <c r="L4252" t="inlineStr">
        <is>
          <t>santé</t>
        </is>
      </c>
      <c r="M4252" t="inlineStr">
        <is>
          <t>réparation et entretien ambulance</t>
        </is>
      </c>
      <c r="R4252" s="22"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2" t="n">
        <v>446056</v>
      </c>
      <c r="K4253" s="23" t="n">
        <v>44747</v>
      </c>
      <c r="L4253" t="inlineStr">
        <is>
          <t>gouvernance</t>
        </is>
      </c>
      <c r="M4253" t="inlineStr">
        <is>
          <t>prise en charge attaché territorial de la commune</t>
        </is>
      </c>
      <c r="R4253" s="22"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2" t="n">
        <v>446056</v>
      </c>
      <c r="K4254" s="23" t="n">
        <v>44778</v>
      </c>
      <c r="L4254" t="inlineStr">
        <is>
          <t>gouvernance</t>
        </is>
      </c>
      <c r="M4254" t="inlineStr">
        <is>
          <t>prise en charge attaché territorial de la commune</t>
        </is>
      </c>
      <c r="R4254" s="22"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2" t="n">
        <v>300000</v>
      </c>
      <c r="K4255" s="23" t="n">
        <v>44786</v>
      </c>
      <c r="L4255" t="inlineStr">
        <is>
          <t>social</t>
        </is>
      </c>
      <c r="M4255" t="inlineStr">
        <is>
          <t>Paiement gardien aire d'abattage fonds social</t>
        </is>
      </c>
      <c r="R4255" s="22"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2" t="n">
        <v>4620000</v>
      </c>
      <c r="K4256" s="23" t="n">
        <v>44734</v>
      </c>
      <c r="L4256" t="inlineStr">
        <is>
          <t>Education</t>
        </is>
      </c>
      <c r="M4256" t="inlineStr">
        <is>
          <t xml:space="preserve"> frais d'e'ntretien (eaux, éléctricité, entretien) de l'immeuble des étudiants ressortissant de Kedougou</t>
        </is>
      </c>
      <c r="R4256" s="22"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2" t="n">
        <v>3750000</v>
      </c>
      <c r="K4257" s="23" t="n">
        <v>44802</v>
      </c>
      <c r="L4257" t="inlineStr">
        <is>
          <t>social</t>
        </is>
      </c>
      <c r="M4257" t="inlineStr">
        <is>
          <t>Achat d'engrais (NPK et urée pour la coopérative Lanaya)</t>
        </is>
      </c>
      <c r="R4257" s="22"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2" t="n">
        <v>446056</v>
      </c>
      <c r="K4258" s="23" t="n">
        <v>44804</v>
      </c>
      <c r="L4258" t="inlineStr">
        <is>
          <t>gouvernance</t>
        </is>
      </c>
      <c r="M4258" t="inlineStr">
        <is>
          <t>prise en charge attaché territorial de la commune</t>
        </is>
      </c>
      <c r="R4258" s="22"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2" t="n">
        <v>7065958</v>
      </c>
      <c r="L4259" t="inlineStr">
        <is>
          <t>Education</t>
        </is>
      </c>
      <c r="M4259" t="inlineStr">
        <is>
          <t>Réalisation d'un bloc de deux (02) salles de classes, Construction et équipement de salle de formation pour la maison familiale</t>
        </is>
      </c>
      <c r="R4259" s="22"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2" t="n">
        <v>2250000</v>
      </c>
      <c r="K4260" s="23" t="n">
        <v>44831</v>
      </c>
      <c r="L4260" t="inlineStr">
        <is>
          <t>gouvernance</t>
        </is>
      </c>
      <c r="M4260" t="inlineStr">
        <is>
          <t>Réhabilitation de la mairie du village de Dimboli</t>
        </is>
      </c>
      <c r="R4260" s="22"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2" t="n">
        <v>4750000</v>
      </c>
      <c r="L4261" t="inlineStr">
        <is>
          <t>Santé</t>
        </is>
      </c>
      <c r="M4261" t="inlineStr">
        <is>
          <t xml:space="preserve">Cloture case de santé </t>
        </is>
      </c>
      <c r="R4261" s="22"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2" t="n">
        <v>9478000</v>
      </c>
      <c r="L4262" t="inlineStr">
        <is>
          <t xml:space="preserve">communication </t>
        </is>
      </c>
      <c r="M4262" t="inlineStr">
        <is>
          <t>Construction et équipement radio communautaire</t>
        </is>
      </c>
      <c r="R4262" s="22"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2" t="n">
        <v>446056</v>
      </c>
      <c r="K4263" s="23" t="n">
        <v>44838</v>
      </c>
      <c r="L4263" t="inlineStr">
        <is>
          <t>gouvernance</t>
        </is>
      </c>
      <c r="M4263" t="inlineStr">
        <is>
          <t>prise en charge attaché territorial de la commune</t>
        </is>
      </c>
      <c r="R4263" s="22"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2" t="n">
        <v>4000000</v>
      </c>
      <c r="K4264" s="23" t="n">
        <v>44846</v>
      </c>
      <c r="L4264" t="inlineStr">
        <is>
          <t>sante</t>
        </is>
      </c>
      <c r="M4264" t="inlineStr">
        <is>
          <t>Fonds d'appui au fonctionnement de l'ambulance</t>
        </is>
      </c>
      <c r="R4264" s="22"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2" t="n">
        <v>5500000</v>
      </c>
      <c r="L4265" t="inlineStr">
        <is>
          <t xml:space="preserve">communication </t>
        </is>
      </c>
      <c r="M4265" t="inlineStr">
        <is>
          <t>Communication et suivi des projets</t>
        </is>
      </c>
      <c r="R4265" s="22"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2" t="n">
        <v>12401357</v>
      </c>
      <c r="K4266" s="23" t="n">
        <v>44872</v>
      </c>
      <c r="L4266" t="inlineStr">
        <is>
          <t>Education</t>
        </is>
      </c>
      <c r="M4266" t="inlineStr">
        <is>
          <t>Réhabilitation du collège Annexe Bakary Dansokho à Kédougou</t>
        </is>
      </c>
      <c r="R4266" s="22"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2" t="n">
        <v>150000</v>
      </c>
      <c r="L4267" t="inlineStr">
        <is>
          <t>social</t>
        </is>
      </c>
      <c r="M4267" t="inlineStr">
        <is>
          <t>fonds social commune de Tomboronkoto</t>
        </is>
      </c>
      <c r="R4267" s="22"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2" t="n">
        <v>8215143</v>
      </c>
      <c r="K4268" s="23" t="n">
        <v>44846</v>
      </c>
      <c r="L4268" t="inlineStr">
        <is>
          <t>SANTE</t>
        </is>
      </c>
      <c r="M4268" t="inlineStr">
        <is>
          <t>Construction logement ICP et sage femme au PS de Bantaco</t>
        </is>
      </c>
      <c r="R4268" s="22"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2" t="n">
        <v>425000</v>
      </c>
      <c r="K4269" s="23" t="n">
        <v>44868</v>
      </c>
      <c r="L4269" t="inlineStr">
        <is>
          <t>gouvernance</t>
        </is>
      </c>
      <c r="M4269" t="inlineStr">
        <is>
          <t>prise en charge attaché territorial de la commune</t>
        </is>
      </c>
      <c r="R4269" s="22"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2" t="n">
        <v>4380000</v>
      </c>
      <c r="K4270" s="23" t="n">
        <v>44885</v>
      </c>
      <c r="L4270" t="inlineStr">
        <is>
          <t>Education</t>
        </is>
      </c>
      <c r="M4270" t="inlineStr">
        <is>
          <t xml:space="preserve"> frais d'e'ntretien (eaux, éléctricité, entretien) de l'immeuble des étudiants ressortissant de Kedougou</t>
        </is>
      </c>
      <c r="R4270" s="22"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2" t="n">
        <v>16951793</v>
      </c>
      <c r="L4271" t="inlineStr">
        <is>
          <t>Education</t>
        </is>
      </c>
      <c r="M4271" t="inlineStr">
        <is>
          <t>REHABILITATION BLOC SCIENTIFIQUE</t>
        </is>
      </c>
      <c r="R4271" s="22"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2" t="n">
        <v>2901306</v>
      </c>
      <c r="K4272" s="23"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2"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2" t="n">
        <v>425000</v>
      </c>
      <c r="K4273" s="23" t="n">
        <v>44899</v>
      </c>
      <c r="L4273" t="inlineStr">
        <is>
          <t>gouvernance</t>
        </is>
      </c>
      <c r="M4273" t="inlineStr">
        <is>
          <t>prise en charge attaché territorial de la commune</t>
        </is>
      </c>
      <c r="R4273" s="22"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2" t="n">
        <v>3950000</v>
      </c>
      <c r="K4274" s="23" t="n">
        <v>44887</v>
      </c>
      <c r="L4274" t="inlineStr">
        <is>
          <t>emploi</t>
        </is>
      </c>
      <c r="M4274" t="inlineStr">
        <is>
          <t>Appui aux projets et activités d'auto-emploi des femmes et des jeunes</t>
        </is>
      </c>
      <c r="R4274" s="22"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2" t="n">
        <v>699974</v>
      </c>
      <c r="L4275" t="inlineStr">
        <is>
          <t>Education</t>
        </is>
      </c>
      <c r="M4275" t="inlineStr">
        <is>
          <t>Constructions d'un bloc de deux salles de classes à Ségou</t>
        </is>
      </c>
      <c r="R4275" s="22"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2" t="n">
        <v>721305</v>
      </c>
      <c r="L4276" t="inlineStr">
        <is>
          <t>Education</t>
        </is>
      </c>
      <c r="M4276" t="inlineStr">
        <is>
          <t>Constructions d'un bloc de deux salles de classes à Thiabédji</t>
        </is>
      </c>
      <c r="R4276" s="22"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2" t="n">
        <v>5000000</v>
      </c>
      <c r="K4277" s="23" t="n">
        <v>44651</v>
      </c>
      <c r="L4277" t="inlineStr">
        <is>
          <t xml:space="preserve">communication </t>
        </is>
      </c>
      <c r="M4277" t="inlineStr">
        <is>
          <t>Communication et suivi des projets du Fonds d'Investssement Social et Environnemental</t>
        </is>
      </c>
      <c r="R4277" s="22"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2" t="n">
        <v>1500000</v>
      </c>
      <c r="K4278" s="23" t="n">
        <v>44845</v>
      </c>
      <c r="L4278" t="inlineStr">
        <is>
          <t>social</t>
        </is>
      </c>
      <c r="M4278" t="inlineStr">
        <is>
          <t xml:space="preserve">Fonds d’appui au demandes sociales urgentes </t>
        </is>
      </c>
      <c r="R4278" s="22"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2" t="n">
        <v>9858172</v>
      </c>
      <c r="L4279" t="inlineStr">
        <is>
          <t>santé</t>
        </is>
      </c>
      <c r="M4279" t="inlineStr">
        <is>
          <t xml:space="preserve">Construction des logements du chef de poste et de la sage-femme de l'hopital de Bantaco </t>
        </is>
      </c>
      <c r="R4279" s="22"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2" t="n">
        <v>1238172</v>
      </c>
      <c r="L4280" t="inlineStr">
        <is>
          <t>elevage</t>
        </is>
      </c>
      <c r="M4280" t="inlineStr">
        <is>
          <t>Construction aire d'abattage à Mako</t>
        </is>
      </c>
      <c r="R4280" s="22"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2" t="n">
        <v>5418426</v>
      </c>
      <c r="L4281" t="inlineStr">
        <is>
          <t>Sante</t>
        </is>
      </c>
      <c r="M4281" t="inlineStr">
        <is>
          <t>Construction maternité Bantaco</t>
        </is>
      </c>
      <c r="R4281" s="22"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2" t="n">
        <v>550000</v>
      </c>
      <c r="K4282" s="23" t="n">
        <v>44854</v>
      </c>
      <c r="L4282" t="inlineStr">
        <is>
          <t xml:space="preserve">communication </t>
        </is>
      </c>
      <c r="M4282" t="inlineStr">
        <is>
          <t>Fonds de Communication et de suivi des projets du FISE</t>
        </is>
      </c>
      <c r="R4282" s="22"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2" t="n">
        <v>21900000</v>
      </c>
      <c r="L4283" t="inlineStr">
        <is>
          <t>gouvernance</t>
        </is>
      </c>
      <c r="M4283" t="inlineStr">
        <is>
          <t>Achat d'un véhicule au CD pour le suivi des projets</t>
        </is>
      </c>
      <c r="R4283" s="22"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2" t="n">
        <v>48900000</v>
      </c>
      <c r="L4284" t="inlineStr">
        <is>
          <t>jeunesse et sport</t>
        </is>
      </c>
      <c r="M4284" t="inlineStr">
        <is>
          <t>Achat d'un Mini-bus à l'effigie de PMC et du Conseil Départemental pour la mobilité pendant les activités de jeunesse, de sports et de culture</t>
        </is>
      </c>
      <c r="R4284" s="22"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2" t="n">
        <v>490000</v>
      </c>
      <c r="L4285" t="inlineStr">
        <is>
          <t>formation</t>
        </is>
      </c>
      <c r="M4285" t="inlineStr">
        <is>
          <t>Appui pour la formation d'un assistant infirmier d'état</t>
        </is>
      </c>
      <c r="R4285" s="22"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2" t="n">
        <v>2000000</v>
      </c>
      <c r="K4286" s="23" t="n">
        <v>44921</v>
      </c>
      <c r="L4286" t="inlineStr">
        <is>
          <t>santé</t>
        </is>
      </c>
      <c r="M4286" t="inlineStr">
        <is>
          <t>Fonds d'appui au fonctionnement de l'ambulance</t>
        </is>
      </c>
      <c r="R4286" s="22"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2" t="n">
        <v>12919800</v>
      </c>
      <c r="L4287" t="inlineStr">
        <is>
          <t>AGRICULTURE</t>
        </is>
      </c>
      <c r="R4287" s="22"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2" t="n">
        <v>4544145</v>
      </c>
      <c r="L4288" t="inlineStr">
        <is>
          <t>AGRICULTURE</t>
        </is>
      </c>
      <c r="R4288" s="22"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2" t="n">
        <v>153000</v>
      </c>
      <c r="K4289" s="23" t="n">
        <v>45518</v>
      </c>
      <c r="M4289" t="inlineStr">
        <is>
          <t>142111</t>
        </is>
      </c>
      <c r="N4289" t="inlineStr">
        <is>
          <t>N/A</t>
        </is>
      </c>
      <c r="O4289" t="inlineStr">
        <is>
          <t>N/A</t>
        </is>
      </c>
      <c r="P4289" t="inlineStr">
        <is>
          <t>Convention minère et Code minier (Fond Social et Fond d'appui au developpement local)</t>
        </is>
      </c>
      <c r="Q4289" t="inlineStr">
        <is>
          <t>NA</t>
        </is>
      </c>
      <c r="R4289" s="22"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2" t="n">
        <v>151500</v>
      </c>
      <c r="K4290" s="23" t="n">
        <v>45572</v>
      </c>
      <c r="L4290" t="inlineStr">
        <is>
          <t>DONS</t>
        </is>
      </c>
      <c r="R4290" s="22"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2" t="n">
        <v>250000</v>
      </c>
      <c r="L4291" t="inlineStr">
        <is>
          <t>APPUIS DIVERS</t>
        </is>
      </c>
      <c r="R4291" s="22"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2" t="n">
        <v>151000</v>
      </c>
      <c r="K4292" s="23"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2"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2" t="n">
        <v>150421.54</v>
      </c>
      <c r="K4293" s="23" t="n">
        <v>45220</v>
      </c>
      <c r="L4293" t="inlineStr">
        <is>
          <t>Donation</t>
        </is>
      </c>
      <c r="M4293" t="inlineStr">
        <is>
          <t>NA</t>
        </is>
      </c>
      <c r="N4293" t="inlineStr">
        <is>
          <t>NA</t>
        </is>
      </c>
      <c r="O4293" t="inlineStr">
        <is>
          <t>NA</t>
        </is>
      </c>
      <c r="P4293" t="inlineStr">
        <is>
          <t>NA</t>
        </is>
      </c>
      <c r="Q4293" t="inlineStr">
        <is>
          <t>NA</t>
        </is>
      </c>
      <c r="R4293" s="22"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2" t="n">
        <v>150001.32</v>
      </c>
      <c r="K4294" s="23"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2"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2" t="n">
        <v>150001.31</v>
      </c>
      <c r="K4295" s="23"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2"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2" t="n">
        <v>150000</v>
      </c>
      <c r="K4296" s="23" t="n">
        <v>45351</v>
      </c>
      <c r="M4296" t="inlineStr">
        <is>
          <t>Appui de SGO pour le repas a l'occasion des journees d'assai</t>
        </is>
      </c>
      <c r="P4296" t="inlineStr">
        <is>
          <t>Convention minère et Code minier (Fond Social et Fond d'appui au developpement local)</t>
        </is>
      </c>
      <c r="R4296" s="22"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2" t="n">
        <v>150000</v>
      </c>
      <c r="K4297" s="23"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2"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2" t="n">
        <v>150000</v>
      </c>
      <c r="K4298" s="23" t="n">
        <v>45313</v>
      </c>
      <c r="R4298" s="22"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2" t="n">
        <v>150000</v>
      </c>
      <c r="K4299" s="23" t="n">
        <v>45352</v>
      </c>
      <c r="R4299" s="22"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2" t="n">
        <v>150000</v>
      </c>
      <c r="K4300" s="23" t="n">
        <v>45365</v>
      </c>
      <c r="R4300" s="22"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2" t="n">
        <v>150000</v>
      </c>
      <c r="K4301" s="23" t="n">
        <v>45419</v>
      </c>
      <c r="R4301" s="22"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2" t="n">
        <v>150000</v>
      </c>
      <c r="K4302" s="23" t="n">
        <v>45427</v>
      </c>
      <c r="R4302" s="22"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2" t="n">
        <v>150000</v>
      </c>
      <c r="K4303" s="23" t="n">
        <v>45435</v>
      </c>
      <c r="R4303" s="22"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2" t="n">
        <v>150000</v>
      </c>
      <c r="K4304" t="inlineStr">
        <is>
          <t>2024-05-31</t>
        </is>
      </c>
      <c r="L4304" t="inlineStr">
        <is>
          <t>Appuis divers</t>
        </is>
      </c>
      <c r="R4304" s="22"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2" t="n">
        <v>150000</v>
      </c>
      <c r="K4305" t="inlineStr">
        <is>
          <t>2024-05-31</t>
        </is>
      </c>
      <c r="L4305" t="inlineStr">
        <is>
          <t>Appuis divers</t>
        </is>
      </c>
      <c r="R4305" s="22"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2" t="n">
        <v>150000</v>
      </c>
      <c r="K4306" t="inlineStr">
        <is>
          <t>2024-05-31</t>
        </is>
      </c>
      <c r="L4306" t="inlineStr">
        <is>
          <t>Appuis divers</t>
        </is>
      </c>
      <c r="R4306" s="22"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2" t="n">
        <v>150000</v>
      </c>
      <c r="K4307" t="inlineStr">
        <is>
          <t>2024-01-17</t>
        </is>
      </c>
      <c r="L4307" t="inlineStr">
        <is>
          <t>Appuis divers</t>
        </is>
      </c>
      <c r="R4307" s="22"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2" t="n">
        <v>150000</v>
      </c>
      <c r="K4308" t="inlineStr">
        <is>
          <t>2024-11-04</t>
        </is>
      </c>
      <c r="L4308" t="inlineStr">
        <is>
          <t>Appuis divers</t>
        </is>
      </c>
      <c r="R4308" s="22"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2" t="n">
        <v>150000</v>
      </c>
      <c r="K4309" s="23" t="n">
        <v>45296</v>
      </c>
      <c r="R4309" s="22"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2" t="n">
        <v>150000</v>
      </c>
      <c r="K4310" s="23" t="n">
        <v>44944</v>
      </c>
      <c r="M4310" t="inlineStr">
        <is>
          <t>Appuis divers</t>
        </is>
      </c>
      <c r="R4310" s="22"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2" t="n">
        <v>150000</v>
      </c>
      <c r="K4311" t="inlineStr">
        <is>
          <t>16/Feb/23</t>
        </is>
      </c>
      <c r="M4311" t="inlineStr">
        <is>
          <t>Education</t>
        </is>
      </c>
      <c r="R4311" s="22"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2" t="n">
        <v>150000</v>
      </c>
      <c r="K4312" t="inlineStr">
        <is>
          <t>23/Feb/23</t>
        </is>
      </c>
      <c r="M4312" t="inlineStr">
        <is>
          <t>Culture</t>
        </is>
      </c>
      <c r="R4312" s="22"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2" t="n">
        <v>150000</v>
      </c>
      <c r="K4313" s="23" t="n">
        <v>44994</v>
      </c>
      <c r="M4313" t="inlineStr">
        <is>
          <t>Appuis divers</t>
        </is>
      </c>
      <c r="R4313" s="22"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2" t="n">
        <v>150000</v>
      </c>
      <c r="K4314" t="inlineStr">
        <is>
          <t>14/Jun/23</t>
        </is>
      </c>
      <c r="M4314" t="inlineStr">
        <is>
          <t>Education</t>
        </is>
      </c>
      <c r="R4314" s="22"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2" t="n">
        <v>150000</v>
      </c>
      <c r="K4315" t="inlineStr">
        <is>
          <t>17/Jul/23</t>
        </is>
      </c>
      <c r="M4315" t="inlineStr">
        <is>
          <t>Appuis divers</t>
        </is>
      </c>
      <c r="R4315" s="22"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2" t="n">
        <v>150000</v>
      </c>
      <c r="K4316" t="inlineStr">
        <is>
          <t>19/Jul/23</t>
        </is>
      </c>
      <c r="M4316" t="inlineStr">
        <is>
          <t>Education</t>
        </is>
      </c>
      <c r="R4316" s="22"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2" t="n">
        <v>150000</v>
      </c>
      <c r="K4317" s="23" t="n">
        <v>45182</v>
      </c>
      <c r="M4317" t="inlineStr">
        <is>
          <t>Appuis divers</t>
        </is>
      </c>
      <c r="R4317" s="22"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2" t="n">
        <v>150000</v>
      </c>
      <c r="K4318" s="23" t="n">
        <v>45205</v>
      </c>
      <c r="M4318" t="inlineStr">
        <is>
          <t>Appuis divers</t>
        </is>
      </c>
      <c r="R4318" s="22"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2" t="n">
        <v>150000</v>
      </c>
      <c r="K4319" t="inlineStr">
        <is>
          <t>01/Dec/23</t>
        </is>
      </c>
      <c r="M4319" t="inlineStr">
        <is>
          <t>Appuis divers</t>
        </is>
      </c>
      <c r="R4319" s="22"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2" t="n">
        <v>150000</v>
      </c>
      <c r="K4320" t="inlineStr">
        <is>
          <t>22/11/2023</t>
        </is>
      </c>
      <c r="L4320" t="inlineStr">
        <is>
          <t>Appuis divers</t>
        </is>
      </c>
      <c r="R4320" s="22"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2" t="n">
        <v>31579</v>
      </c>
      <c r="L4321" t="inlineStr">
        <is>
          <t>CAPACITE DES FEMMES</t>
        </is>
      </c>
      <c r="R4321" s="22"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2" t="n">
        <v>293750</v>
      </c>
      <c r="L4322" t="inlineStr">
        <is>
          <t>CAPACITE DES FEMMES</t>
        </is>
      </c>
      <c r="R4322" s="22"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2" t="n">
        <v>293750</v>
      </c>
      <c r="L4323" t="inlineStr">
        <is>
          <t>CAPACITE DES FEMMES</t>
        </is>
      </c>
      <c r="R4323" s="22"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2" t="n">
        <v>500000</v>
      </c>
      <c r="L4324" t="inlineStr">
        <is>
          <t>CAPACITE DES FEMMES</t>
        </is>
      </c>
      <c r="R4324" s="22"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2" t="n">
        <v>293750</v>
      </c>
      <c r="L4325" t="inlineStr">
        <is>
          <t>CAPACITE DES FEMMES</t>
        </is>
      </c>
      <c r="R4325" s="22"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2" t="n">
        <v>200000</v>
      </c>
      <c r="L4326" t="inlineStr">
        <is>
          <t>CAPACITE DES FEMMES</t>
        </is>
      </c>
      <c r="R4326" s="22"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2" t="n">
        <v>293750</v>
      </c>
      <c r="L4327" t="inlineStr">
        <is>
          <t>CAPACITE DES FEMMES</t>
        </is>
      </c>
      <c r="R4327" s="22"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2" t="n">
        <v>152000</v>
      </c>
      <c r="L4328" t="inlineStr">
        <is>
          <t>EDUCATION</t>
        </is>
      </c>
      <c r="R4328" s="22"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2" t="n">
        <v>1859000</v>
      </c>
      <c r="L4329" t="inlineStr">
        <is>
          <t>EDUCATION</t>
        </is>
      </c>
      <c r="R4329" s="22"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2" t="n">
        <v>638000</v>
      </c>
      <c r="L4330" t="inlineStr">
        <is>
          <t>EDUCATION</t>
        </is>
      </c>
      <c r="R4330" s="22"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2" t="n">
        <v>3200000</v>
      </c>
      <c r="L4331" t="inlineStr">
        <is>
          <t>EDUCATION</t>
        </is>
      </c>
      <c r="R4331" s="22"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2" t="n">
        <v>911400</v>
      </c>
      <c r="L4332" t="inlineStr">
        <is>
          <t>EDUCATION</t>
        </is>
      </c>
      <c r="R4332" s="22"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2" t="n">
        <v>152000</v>
      </c>
      <c r="L4333" t="inlineStr">
        <is>
          <t>EDUCATION</t>
        </is>
      </c>
      <c r="R4333" s="22"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2" t="n">
        <v>2156000</v>
      </c>
      <c r="L4334" t="inlineStr">
        <is>
          <t>EDUCATION</t>
        </is>
      </c>
      <c r="R4334" s="22"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2" t="n">
        <v>1615425</v>
      </c>
      <c r="L4335" t="inlineStr">
        <is>
          <t>EDUCATION</t>
        </is>
      </c>
      <c r="R4335" s="22"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2" t="n">
        <v>152000</v>
      </c>
      <c r="L4336" t="inlineStr">
        <is>
          <t>EDUCATION</t>
        </is>
      </c>
      <c r="R4336" s="22"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2" t="n">
        <v>4000000</v>
      </c>
      <c r="L4337" t="inlineStr">
        <is>
          <t>EDUCATION</t>
        </is>
      </c>
      <c r="R4337" s="22"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2" t="n">
        <v>152000</v>
      </c>
      <c r="L4338" t="inlineStr">
        <is>
          <t>EDUCATION</t>
        </is>
      </c>
      <c r="R4338" s="22"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2" t="n">
        <v>148750</v>
      </c>
      <c r="L4339" t="inlineStr">
        <is>
          <t>EDUCATION</t>
        </is>
      </c>
      <c r="R4339" s="22"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2" t="n">
        <v>10201901.5</v>
      </c>
      <c r="L4340" t="inlineStr">
        <is>
          <t>HYDRAULIQUE</t>
        </is>
      </c>
      <c r="R4340" s="22"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2" t="n">
        <v>100000</v>
      </c>
      <c r="L4341" t="inlineStr">
        <is>
          <t>HYDRAULIQUE</t>
        </is>
      </c>
      <c r="R4341" s="22"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2" t="n">
        <v>59000</v>
      </c>
      <c r="L4342" t="inlineStr">
        <is>
          <t>HYDRAULIQUE</t>
        </is>
      </c>
      <c r="R4342" s="22"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2" t="n">
        <v>12000</v>
      </c>
      <c r="L4343" t="inlineStr">
        <is>
          <t>HYDRAULIQUE</t>
        </is>
      </c>
      <c r="R4343" s="22"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2" t="n">
        <v>350000</v>
      </c>
      <c r="L4344" t="inlineStr">
        <is>
          <t>HYDRAULIQUE</t>
        </is>
      </c>
      <c r="R4344" s="22"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2" t="n">
        <v>10201901.5</v>
      </c>
      <c r="L4345" t="inlineStr">
        <is>
          <t>HYDRAULIQUE</t>
        </is>
      </c>
      <c r="R4345" s="22"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2" t="n">
        <v>3068400</v>
      </c>
      <c r="L4346" t="inlineStr">
        <is>
          <t>HYDRAULIQUE</t>
        </is>
      </c>
      <c r="R4346" s="22"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2" t="n">
        <v>10000000</v>
      </c>
      <c r="L4347" t="inlineStr">
        <is>
          <t>HYDRAULIQUE</t>
        </is>
      </c>
      <c r="R4347" s="22"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2" t="n">
        <v>500000</v>
      </c>
      <c r="L4348" t="inlineStr">
        <is>
          <t>RELOCALISATION VILLAGE</t>
        </is>
      </c>
      <c r="R4348" s="22"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2" t="n">
        <v>335015157</v>
      </c>
      <c r="L4349" t="inlineStr">
        <is>
          <t>RELOCALISATION VILLAGE</t>
        </is>
      </c>
      <c r="R4349" s="22"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2" t="n">
        <v>500000</v>
      </c>
      <c r="L4350" t="inlineStr">
        <is>
          <t>RELOCALISATION VILLAGE</t>
        </is>
      </c>
      <c r="R4350" s="22"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2" t="n">
        <v>500000</v>
      </c>
      <c r="L4351" t="inlineStr">
        <is>
          <t>RELOCALISATION VILLAGE</t>
        </is>
      </c>
      <c r="R4351" s="22"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2" t="n">
        <v>5387500</v>
      </c>
      <c r="L4352" t="inlineStr">
        <is>
          <t>SANTE</t>
        </is>
      </c>
      <c r="R4352" s="22"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2" t="n">
        <v>1329000</v>
      </c>
      <c r="L4353" t="inlineStr">
        <is>
          <t>SANTE</t>
        </is>
      </c>
      <c r="R4353" s="22"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2" t="n">
        <v>1000000</v>
      </c>
      <c r="L4354" t="inlineStr">
        <is>
          <t>SANTE</t>
        </is>
      </c>
      <c r="R4354" s="22"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2" t="n">
        <v>1325000</v>
      </c>
      <c r="L4355" t="inlineStr">
        <is>
          <t>SANTE</t>
        </is>
      </c>
      <c r="R4355" s="22"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2" t="n">
        <v>19624041</v>
      </c>
      <c r="L4356" t="inlineStr">
        <is>
          <t>SANTE</t>
        </is>
      </c>
      <c r="R4356" s="22"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2" t="n">
        <v>5003640</v>
      </c>
      <c r="L4357" t="inlineStr">
        <is>
          <t>SANTE</t>
        </is>
      </c>
      <c r="R4357" s="22"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2" t="n">
        <v>94000</v>
      </c>
      <c r="L4358" t="inlineStr">
        <is>
          <t>SPORT</t>
        </is>
      </c>
      <c r="R4358" s="22"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2" t="n">
        <v>100000</v>
      </c>
      <c r="K4359" s="23" t="n">
        <v>44662</v>
      </c>
      <c r="L4359" t="inlineStr">
        <is>
          <t>IMPENSE</t>
        </is>
      </c>
      <c r="R4359" s="22"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2" t="n">
        <v>200000</v>
      </c>
      <c r="K4360" s="23" t="n">
        <v>44662</v>
      </c>
      <c r="L4360" t="inlineStr">
        <is>
          <t>IMPENSE</t>
        </is>
      </c>
      <c r="R4360" s="22"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2" t="n">
        <v>100000</v>
      </c>
      <c r="K4361" s="23" t="n">
        <v>44662</v>
      </c>
      <c r="L4361" t="inlineStr">
        <is>
          <t>IMPENSE</t>
        </is>
      </c>
      <c r="R4361" s="22"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2" t="n">
        <v>142000</v>
      </c>
      <c r="K4362" s="23" t="n">
        <v>44662</v>
      </c>
      <c r="L4362" t="inlineStr">
        <is>
          <t>IMPENSE</t>
        </is>
      </c>
      <c r="R4362" s="22"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2" t="n">
        <v>100000</v>
      </c>
      <c r="K4363" s="23" t="n">
        <v>44662</v>
      </c>
      <c r="L4363" t="inlineStr">
        <is>
          <t>IMPENSE</t>
        </is>
      </c>
      <c r="R4363" s="22"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2" t="n">
        <v>42000</v>
      </c>
      <c r="K4364" s="23" t="n">
        <v>44662</v>
      </c>
      <c r="L4364" t="inlineStr">
        <is>
          <t>IMPENSE</t>
        </is>
      </c>
      <c r="R4364" s="22"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2" t="n">
        <v>100000</v>
      </c>
      <c r="K4365" s="23" t="n">
        <v>44662</v>
      </c>
      <c r="L4365" t="inlineStr">
        <is>
          <t>IMPENSE</t>
        </is>
      </c>
      <c r="R4365" s="22"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2" t="n">
        <v>100000</v>
      </c>
      <c r="K4366" s="23" t="n">
        <v>44662</v>
      </c>
      <c r="L4366" t="inlineStr">
        <is>
          <t>IMPENSE</t>
        </is>
      </c>
      <c r="R4366" s="22"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2" t="n">
        <v>200000</v>
      </c>
      <c r="K4367" s="23" t="n">
        <v>44662</v>
      </c>
      <c r="L4367" t="inlineStr">
        <is>
          <t>IMPENSE</t>
        </is>
      </c>
      <c r="R4367" s="22"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2" t="n">
        <v>100000</v>
      </c>
      <c r="K4368" s="23" t="n">
        <v>44662</v>
      </c>
      <c r="L4368" t="inlineStr">
        <is>
          <t>IMPENSE</t>
        </is>
      </c>
      <c r="R4368" s="22"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2" t="n">
        <v>100000</v>
      </c>
      <c r="K4369" s="23" t="n">
        <v>44662</v>
      </c>
      <c r="L4369" t="inlineStr">
        <is>
          <t>IMPENSE</t>
        </is>
      </c>
      <c r="R4369" s="22"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2" t="n">
        <v>100000</v>
      </c>
      <c r="K4370" s="23" t="n">
        <v>44662</v>
      </c>
      <c r="L4370" t="inlineStr">
        <is>
          <t>IMPENSE</t>
        </is>
      </c>
      <c r="R4370" s="22"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2" t="n">
        <v>100000</v>
      </c>
      <c r="K4371" s="23" t="n">
        <v>44662</v>
      </c>
      <c r="L4371" t="inlineStr">
        <is>
          <t>IMPENSE</t>
        </is>
      </c>
      <c r="R4371" s="22"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2" t="n">
        <v>100000</v>
      </c>
      <c r="K4372" s="23" t="n">
        <v>44662</v>
      </c>
      <c r="L4372" t="inlineStr">
        <is>
          <t>IMPENSE</t>
        </is>
      </c>
      <c r="R4372" s="22"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2" t="n">
        <v>500000</v>
      </c>
      <c r="K4373" s="23" t="n">
        <v>44662</v>
      </c>
      <c r="L4373" t="inlineStr">
        <is>
          <t>IMPENSE</t>
        </is>
      </c>
      <c r="R4373" s="22"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2" t="n">
        <v>400000</v>
      </c>
      <c r="K4374" s="23" t="n">
        <v>44662</v>
      </c>
      <c r="L4374" t="inlineStr">
        <is>
          <t>IMPENSE</t>
        </is>
      </c>
      <c r="R4374" s="22"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2" t="n">
        <v>284000</v>
      </c>
      <c r="K4375" s="23" t="n">
        <v>44662</v>
      </c>
      <c r="L4375" t="inlineStr">
        <is>
          <t>IMPENSE</t>
        </is>
      </c>
      <c r="R4375" s="22"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2" t="n">
        <v>100000</v>
      </c>
      <c r="K4376" s="23" t="n">
        <v>44662</v>
      </c>
      <c r="L4376" t="inlineStr">
        <is>
          <t>IMPENSE</t>
        </is>
      </c>
      <c r="R4376" s="22"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2" t="n">
        <v>200000</v>
      </c>
      <c r="K4377" s="23" t="n">
        <v>44662</v>
      </c>
      <c r="L4377" t="inlineStr">
        <is>
          <t>IMPENSE</t>
        </is>
      </c>
      <c r="R4377" s="22"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2" t="n">
        <v>100000</v>
      </c>
      <c r="K4378" s="23" t="n">
        <v>44662</v>
      </c>
      <c r="L4378" t="inlineStr">
        <is>
          <t>IMPENSE</t>
        </is>
      </c>
      <c r="R4378" s="22"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2" t="n">
        <v>200000</v>
      </c>
      <c r="K4379" s="23" t="n">
        <v>44662</v>
      </c>
      <c r="L4379" t="inlineStr">
        <is>
          <t>IMPENSE</t>
        </is>
      </c>
      <c r="R4379" s="22"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2" t="n">
        <v>200000</v>
      </c>
      <c r="K4380" s="23" t="n">
        <v>44662</v>
      </c>
      <c r="L4380" t="inlineStr">
        <is>
          <t>IMPENSE</t>
        </is>
      </c>
      <c r="R4380" s="22"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2" t="n">
        <v>200000</v>
      </c>
      <c r="K4381" s="23" t="n">
        <v>44662</v>
      </c>
      <c r="L4381" t="inlineStr">
        <is>
          <t>IMPENSE</t>
        </is>
      </c>
      <c r="R4381" s="22"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2" t="n">
        <v>300000</v>
      </c>
      <c r="K4382" s="23" t="n">
        <v>44662</v>
      </c>
      <c r="L4382" t="inlineStr">
        <is>
          <t>IMPENSE</t>
        </is>
      </c>
      <c r="R4382" s="22"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2" t="n">
        <v>100000</v>
      </c>
      <c r="K4383" s="23" t="n">
        <v>44662</v>
      </c>
      <c r="L4383" t="inlineStr">
        <is>
          <t>IMPENSE</t>
        </is>
      </c>
      <c r="R4383" s="22"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2" t="n">
        <v>500000</v>
      </c>
      <c r="K4384" s="23" t="n">
        <v>44662</v>
      </c>
      <c r="L4384" t="inlineStr">
        <is>
          <t>IMPENSE</t>
        </is>
      </c>
      <c r="R4384" s="22"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2" t="n">
        <v>100000</v>
      </c>
      <c r="K4385" s="23" t="n">
        <v>44662</v>
      </c>
      <c r="L4385" t="inlineStr">
        <is>
          <t>IMPENSE</t>
        </is>
      </c>
      <c r="R4385" s="22"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2" t="n">
        <v>100000</v>
      </c>
      <c r="K4386" s="23" t="n">
        <v>44662</v>
      </c>
      <c r="L4386" t="inlineStr">
        <is>
          <t>IMPENSE</t>
        </is>
      </c>
      <c r="R4386" s="22"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2" t="n">
        <v>100000</v>
      </c>
      <c r="K4387" s="23" t="n">
        <v>44662</v>
      </c>
      <c r="L4387" t="inlineStr">
        <is>
          <t>IMPENSE</t>
        </is>
      </c>
      <c r="R4387" s="22"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2" t="n">
        <v>200000</v>
      </c>
      <c r="K4388" s="23" t="n">
        <v>44662</v>
      </c>
      <c r="L4388" t="inlineStr">
        <is>
          <t>IMPENSE</t>
        </is>
      </c>
      <c r="R4388" s="22"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2" t="n">
        <v>100000</v>
      </c>
      <c r="K4389" s="23" t="n">
        <v>44662</v>
      </c>
      <c r="L4389" t="inlineStr">
        <is>
          <t>IMPENSE</t>
        </is>
      </c>
      <c r="R4389" s="22"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2" t="n">
        <v>300000</v>
      </c>
      <c r="K4390" s="23" t="n">
        <v>44662</v>
      </c>
      <c r="L4390" t="inlineStr">
        <is>
          <t>IMPENSE</t>
        </is>
      </c>
      <c r="R4390" s="22"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2" t="n">
        <v>200000</v>
      </c>
      <c r="K4391" s="23" t="n">
        <v>44662</v>
      </c>
      <c r="L4391" t="inlineStr">
        <is>
          <t>IMPENSE</t>
        </is>
      </c>
      <c r="R4391" s="22"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2" t="n">
        <v>100000</v>
      </c>
      <c r="K4392" s="23" t="n">
        <v>44662</v>
      </c>
      <c r="L4392" t="inlineStr">
        <is>
          <t>IMPENSE</t>
        </is>
      </c>
      <c r="R4392" s="22"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2" t="n">
        <v>200000</v>
      </c>
      <c r="K4393" s="23" t="n">
        <v>44662</v>
      </c>
      <c r="L4393" t="inlineStr">
        <is>
          <t>IMPENSE</t>
        </is>
      </c>
      <c r="R4393" s="22"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2" t="n">
        <v>700000</v>
      </c>
      <c r="K4394" s="23" t="n">
        <v>44662</v>
      </c>
      <c r="L4394" t="inlineStr">
        <is>
          <t>IMPENSE</t>
        </is>
      </c>
      <c r="R4394" s="22"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2" t="n">
        <v>542000</v>
      </c>
      <c r="K4395" s="23" t="n">
        <v>44681</v>
      </c>
      <c r="L4395" t="inlineStr">
        <is>
          <t>IMPENSE</t>
        </is>
      </c>
      <c r="R4395" s="22"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2" t="n">
        <v>900000</v>
      </c>
      <c r="K4396" s="23" t="n">
        <v>44816</v>
      </c>
      <c r="L4396" t="inlineStr">
        <is>
          <t>IMPENSE</t>
        </is>
      </c>
      <c r="R4396" s="22"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2" t="n">
        <v>700000</v>
      </c>
      <c r="K4397" s="23" t="n">
        <v>44816</v>
      </c>
      <c r="L4397" t="inlineStr">
        <is>
          <t>IMPENSE</t>
        </is>
      </c>
      <c r="R4397" s="22"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2" t="n">
        <v>237188</v>
      </c>
      <c r="K4398" s="23" t="n">
        <v>44926</v>
      </c>
      <c r="L4398" t="inlineStr">
        <is>
          <t>IMPENSE</t>
        </is>
      </c>
      <c r="R4398" s="22"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2" t="n">
        <v>462445</v>
      </c>
      <c r="K4399" s="23" t="n">
        <v>44926</v>
      </c>
      <c r="L4399" t="inlineStr">
        <is>
          <t>IMPENSE</t>
        </is>
      </c>
      <c r="R4399" s="22"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2" t="n">
        <v>615407</v>
      </c>
      <c r="K4400" s="23" t="n">
        <v>44926</v>
      </c>
      <c r="L4400" t="inlineStr">
        <is>
          <t>IMPENSE</t>
        </is>
      </c>
      <c r="R4400" s="22"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2" t="n">
        <v>351675</v>
      </c>
      <c r="K4401" s="23" t="n">
        <v>44926</v>
      </c>
      <c r="L4401" t="inlineStr">
        <is>
          <t>IMPENSE</t>
        </is>
      </c>
      <c r="R4401" s="22"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2" t="n">
        <v>356725</v>
      </c>
      <c r="K4402" s="23" t="n">
        <v>44926</v>
      </c>
      <c r="L4402" t="inlineStr">
        <is>
          <t>IMPENSE</t>
        </is>
      </c>
      <c r="R4402" s="22"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2" t="n">
        <v>367675</v>
      </c>
      <c r="K4403" s="23" t="n">
        <v>44926</v>
      </c>
      <c r="L4403" t="inlineStr">
        <is>
          <t>IMPENSE</t>
        </is>
      </c>
      <c r="R4403" s="22"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2" t="n">
        <v>373675</v>
      </c>
      <c r="K4404" s="23" t="n">
        <v>44926</v>
      </c>
      <c r="L4404" t="inlineStr">
        <is>
          <t>IMPENSE</t>
        </is>
      </c>
      <c r="R4404" s="22"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2" t="n">
        <v>274675</v>
      </c>
      <c r="K4405" s="23" t="n">
        <v>44926</v>
      </c>
      <c r="L4405" t="inlineStr">
        <is>
          <t>IMPENSE</t>
        </is>
      </c>
      <c r="R4405" s="22"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2" t="n">
        <v>310675</v>
      </c>
      <c r="K4406" s="23" t="n">
        <v>44926</v>
      </c>
      <c r="L4406" t="inlineStr">
        <is>
          <t>IMPENSE</t>
        </is>
      </c>
      <c r="R4406" s="22"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2" t="n">
        <v>364000</v>
      </c>
      <c r="K4407" s="23" t="n">
        <v>44926</v>
      </c>
      <c r="L4407" t="inlineStr">
        <is>
          <t>IMPENSE</t>
        </is>
      </c>
      <c r="R4407" s="22"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2" t="n">
        <v>230342</v>
      </c>
      <c r="K4408" s="23" t="n">
        <v>44926</v>
      </c>
      <c r="L4408" t="inlineStr">
        <is>
          <t>IMPENSE</t>
        </is>
      </c>
      <c r="R4408" s="22"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2" t="n">
        <v>442675</v>
      </c>
      <c r="K4409" s="23" t="n">
        <v>44926</v>
      </c>
      <c r="L4409" t="inlineStr">
        <is>
          <t>IMPENSE</t>
        </is>
      </c>
      <c r="R4409" s="22"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2" t="n">
        <v>479675</v>
      </c>
      <c r="K4410" s="23" t="n">
        <v>44926</v>
      </c>
      <c r="L4410" t="inlineStr">
        <is>
          <t>IMPENSE</t>
        </is>
      </c>
      <c r="R4410" s="22"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2" t="n">
        <v>289950</v>
      </c>
      <c r="K4411" s="23" t="n">
        <v>44926</v>
      </c>
      <c r="L4411" t="inlineStr">
        <is>
          <t>IMPENSE</t>
        </is>
      </c>
      <c r="R4411" s="22"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2" t="n">
        <v>176342</v>
      </c>
      <c r="K4412" s="23" t="n">
        <v>44926</v>
      </c>
      <c r="L4412" t="inlineStr">
        <is>
          <t>IMPENSE</t>
        </is>
      </c>
      <c r="R4412" s="22"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2" t="n">
        <v>446095</v>
      </c>
      <c r="K4413" s="23" t="n">
        <v>44926</v>
      </c>
      <c r="L4413" t="inlineStr">
        <is>
          <t>IMPENSE</t>
        </is>
      </c>
      <c r="R4413" s="22"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2" t="n">
        <v>443998</v>
      </c>
      <c r="K4414" s="23" t="n">
        <v>44926</v>
      </c>
      <c r="L4414" t="inlineStr">
        <is>
          <t>IMPENSE</t>
        </is>
      </c>
      <c r="R4414" s="22"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2" t="n">
        <v>319190</v>
      </c>
      <c r="K4415" s="23" t="n">
        <v>44926</v>
      </c>
      <c r="L4415" t="inlineStr">
        <is>
          <t>IMPENSE</t>
        </is>
      </c>
      <c r="R4415" s="22"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2" t="n">
        <v>358295</v>
      </c>
      <c r="K4416" s="23" t="n">
        <v>44926</v>
      </c>
      <c r="L4416" t="inlineStr">
        <is>
          <t>IMPENSE</t>
        </is>
      </c>
      <c r="R4416" s="22"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2" t="n">
        <v>493624</v>
      </c>
      <c r="K4417" s="23" t="n">
        <v>44926</v>
      </c>
      <c r="L4417" t="inlineStr">
        <is>
          <t>IMPENSE</t>
        </is>
      </c>
      <c r="R4417" s="22"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2" t="n">
        <v>569703</v>
      </c>
      <c r="K4418" s="23" t="n">
        <v>44926</v>
      </c>
      <c r="L4418" t="inlineStr">
        <is>
          <t>IMPENSE</t>
        </is>
      </c>
      <c r="R4418" s="22"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2" t="n">
        <v>463280</v>
      </c>
      <c r="K4419" s="23" t="n">
        <v>44926</v>
      </c>
      <c r="L4419" t="inlineStr">
        <is>
          <t>IMPENSE</t>
        </is>
      </c>
      <c r="R4419" s="22"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2" t="n">
        <v>2582461</v>
      </c>
      <c r="K4420" s="23" t="n">
        <v>44926</v>
      </c>
      <c r="L4420" t="inlineStr">
        <is>
          <t>IMPENSE</t>
        </is>
      </c>
      <c r="R4420" s="22"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2" t="n">
        <v>891937</v>
      </c>
      <c r="K4421" s="23" t="n">
        <v>44926</v>
      </c>
      <c r="L4421" t="inlineStr">
        <is>
          <t>IMPENSE</t>
        </is>
      </c>
      <c r="R4421" s="22"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2" t="n">
        <v>993565</v>
      </c>
      <c r="K4422" s="23" t="n">
        <v>44926</v>
      </c>
      <c r="L4422" t="inlineStr">
        <is>
          <t>IMPENSE</t>
        </is>
      </c>
      <c r="R4422" s="22"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2" t="n">
        <v>2700451</v>
      </c>
      <c r="K4423" s="23" t="n">
        <v>44926</v>
      </c>
      <c r="L4423" t="inlineStr">
        <is>
          <t>IMPENSE</t>
        </is>
      </c>
      <c r="R4423" s="22"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2" t="n">
        <v>2005425</v>
      </c>
      <c r="K4424" s="23" t="n">
        <v>44926</v>
      </c>
      <c r="L4424" t="inlineStr">
        <is>
          <t>IMPENSE</t>
        </is>
      </c>
      <c r="R4424" s="22"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2" t="n">
        <v>2278741</v>
      </c>
      <c r="K4425" s="23" t="n">
        <v>44926</v>
      </c>
      <c r="L4425" t="inlineStr">
        <is>
          <t>IMPENSE</t>
        </is>
      </c>
      <c r="R4425" s="22"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2" t="n">
        <v>237188</v>
      </c>
      <c r="K4426" s="23" t="n">
        <v>44926</v>
      </c>
      <c r="L4426" t="inlineStr">
        <is>
          <t>IMPENSE</t>
        </is>
      </c>
      <c r="R4426" s="22"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2" t="n">
        <v>373675</v>
      </c>
      <c r="K4427" s="23" t="n">
        <v>44926</v>
      </c>
      <c r="L4427" t="inlineStr">
        <is>
          <t>IMPENSE</t>
        </is>
      </c>
      <c r="R4427" s="22"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2" t="n">
        <v>274675</v>
      </c>
      <c r="K4428" s="23" t="n">
        <v>44926</v>
      </c>
      <c r="L4428" t="inlineStr">
        <is>
          <t>IMPENSE</t>
        </is>
      </c>
      <c r="R4428" s="22"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2" t="n">
        <v>463280</v>
      </c>
      <c r="K4429" s="23" t="n">
        <v>44926</v>
      </c>
      <c r="L4429" t="inlineStr">
        <is>
          <t>IMPENSE</t>
        </is>
      </c>
      <c r="R4429" s="22"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2" t="n">
        <v>2000000</v>
      </c>
      <c r="L4430" t="inlineStr">
        <is>
          <t>EDUCATION</t>
        </is>
      </c>
      <c r="R4430" s="22"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2" t="n">
        <v>2199285</v>
      </c>
      <c r="L4431" t="inlineStr">
        <is>
          <t>APPUIS DIVERS</t>
        </is>
      </c>
      <c r="R4431" s="22"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2" t="n">
        <v>1833166</v>
      </c>
      <c r="L4432" t="inlineStr">
        <is>
          <t>APPUIS DIVERS</t>
        </is>
      </c>
      <c r="R4432" s="22"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2" t="n">
        <v>23000</v>
      </c>
      <c r="L4433" t="inlineStr">
        <is>
          <t>CAPACITE DES FEMMES</t>
        </is>
      </c>
      <c r="R4433" s="22"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2" t="n">
        <v>297000</v>
      </c>
      <c r="L4434" t="inlineStr">
        <is>
          <t>CAPACITE DES FEMMES</t>
        </is>
      </c>
      <c r="R4434" s="22"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2" t="n">
        <v>303000</v>
      </c>
      <c r="L4435" t="inlineStr">
        <is>
          <t>EDUCATION</t>
        </is>
      </c>
      <c r="R4435" s="22"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2" t="n">
        <v>1833167</v>
      </c>
      <c r="L4436" t="inlineStr">
        <is>
          <t>EDUCATION</t>
        </is>
      </c>
      <c r="R4436" s="22"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2" t="n">
        <v>1475000</v>
      </c>
      <c r="L4437" t="inlineStr">
        <is>
          <t>EDUCATION</t>
        </is>
      </c>
      <c r="R4437" s="22"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2" t="n">
        <v>1475000</v>
      </c>
      <c r="L4438" t="inlineStr">
        <is>
          <t>EDUCATION</t>
        </is>
      </c>
      <c r="R4438" s="22"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2" t="n">
        <v>1475000</v>
      </c>
      <c r="L4439" t="inlineStr">
        <is>
          <t>EDUCATION</t>
        </is>
      </c>
      <c r="R4439" s="22"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2" t="n">
        <v>106250</v>
      </c>
      <c r="L4440" t="inlineStr">
        <is>
          <t>EDUCATION</t>
        </is>
      </c>
      <c r="R4440" s="22"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2" t="n">
        <v>106250</v>
      </c>
      <c r="L4441" t="inlineStr">
        <is>
          <t>EDUCATION</t>
        </is>
      </c>
      <c r="R4441" s="22"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2" t="n">
        <v>106250</v>
      </c>
      <c r="L4442" t="inlineStr">
        <is>
          <t>EDUCATION</t>
        </is>
      </c>
      <c r="R4442" s="22"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2" t="n">
        <v>106250</v>
      </c>
      <c r="L4443" t="inlineStr">
        <is>
          <t>EDUCATION</t>
        </is>
      </c>
      <c r="R4443" s="22"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2" t="n">
        <v>7260000</v>
      </c>
      <c r="L4444" t="inlineStr">
        <is>
          <t>HYDRAULIQUE</t>
        </is>
      </c>
      <c r="R4444" s="22"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2" t="n">
        <v>844152</v>
      </c>
      <c r="L4445" t="inlineStr">
        <is>
          <t>HYDRAULIQUE</t>
        </is>
      </c>
      <c r="R4445" s="22"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2" t="n">
        <v>5232225</v>
      </c>
      <c r="L4446" t="inlineStr">
        <is>
          <t>SANTE</t>
        </is>
      </c>
      <c r="R4446" s="22"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2" t="n">
        <v>1833167</v>
      </c>
      <c r="L4447" t="inlineStr">
        <is>
          <t>SANTE</t>
        </is>
      </c>
      <c r="R4447" s="22"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2" t="n">
        <v>7455000</v>
      </c>
      <c r="L4448" t="inlineStr">
        <is>
          <t>AGRICULTURE</t>
        </is>
      </c>
      <c r="R4448" s="22"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2" t="n">
        <v>2644000</v>
      </c>
      <c r="L4449" t="inlineStr">
        <is>
          <t>Sante</t>
        </is>
      </c>
      <c r="R4449" s="22"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2" t="n">
        <v>4000000</v>
      </c>
      <c r="L4450" t="inlineStr">
        <is>
          <t>Sante</t>
        </is>
      </c>
      <c r="R4450" s="22"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2" t="n">
        <v>3967700</v>
      </c>
      <c r="L4451" t="inlineStr">
        <is>
          <t>Sante</t>
        </is>
      </c>
      <c r="R4451" s="22"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2" t="n">
        <v>704400</v>
      </c>
      <c r="L4452" t="inlineStr">
        <is>
          <t>Sante</t>
        </is>
      </c>
      <c r="R4452" s="22"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2" t="n">
        <v>260000</v>
      </c>
      <c r="L4453" t="inlineStr">
        <is>
          <t>Sante</t>
        </is>
      </c>
      <c r="R4453" s="22"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2" t="n">
        <v>232000</v>
      </c>
      <c r="L4454" t="inlineStr">
        <is>
          <t>Sante</t>
        </is>
      </c>
      <c r="R4454" s="22"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2" t="n">
        <v>420250</v>
      </c>
      <c r="L4455" t="inlineStr">
        <is>
          <t>Sante</t>
        </is>
      </c>
      <c r="R4455" s="22"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2" t="n">
        <v>2150000</v>
      </c>
      <c r="L4456" t="inlineStr">
        <is>
          <t>Education</t>
        </is>
      </c>
      <c r="M4456" t="inlineStr">
        <is>
          <t>Electrification de l'ecole</t>
        </is>
      </c>
      <c r="R4456" s="22"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2" t="n">
        <v>2480000</v>
      </c>
      <c r="L4457" t="inlineStr">
        <is>
          <t>Education</t>
        </is>
      </c>
      <c r="M4457" t="inlineStr">
        <is>
          <t>Electrification de l'ecole</t>
        </is>
      </c>
      <c r="R4457" s="22"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2" t="n">
        <v>474840</v>
      </c>
      <c r="K4458" s="23" t="n">
        <v>44594</v>
      </c>
      <c r="L4458" t="inlineStr">
        <is>
          <t>IMPENSE</t>
        </is>
      </c>
      <c r="R4458" s="22"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2" t="n">
        <v>66960</v>
      </c>
      <c r="K4459" s="23" t="n">
        <v>44594</v>
      </c>
      <c r="L4459" t="inlineStr">
        <is>
          <t>IMPENSE</t>
        </is>
      </c>
      <c r="R4459" s="22"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2" t="n">
        <v>1941840</v>
      </c>
      <c r="K4460" s="23" t="n">
        <v>44594</v>
      </c>
      <c r="L4460" t="inlineStr">
        <is>
          <t>IMPENSE</t>
        </is>
      </c>
      <c r="R4460" s="22"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2" t="n">
        <v>803880</v>
      </c>
      <c r="K4461" s="23" t="n">
        <v>44594</v>
      </c>
      <c r="L4461" t="inlineStr">
        <is>
          <t>IMPENSE</t>
        </is>
      </c>
      <c r="R4461" s="22"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2" t="n">
        <v>590760</v>
      </c>
      <c r="K4462" s="23" t="n">
        <v>44594</v>
      </c>
      <c r="L4462" t="inlineStr">
        <is>
          <t>IMPENSE</t>
        </is>
      </c>
      <c r="R4462" s="22"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2" t="n">
        <v>286680</v>
      </c>
      <c r="K4463" s="23" t="n">
        <v>44594</v>
      </c>
      <c r="L4463" t="inlineStr">
        <is>
          <t>IMPENSE</t>
        </is>
      </c>
      <c r="R4463" s="22"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2" t="n">
        <v>2344140</v>
      </c>
      <c r="K4464" s="23" t="n">
        <v>44594</v>
      </c>
      <c r="L4464" t="inlineStr">
        <is>
          <t>IMPENSE</t>
        </is>
      </c>
      <c r="R4464" s="22"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2" t="n">
        <v>1220255</v>
      </c>
      <c r="K4465" s="23" t="n">
        <v>44594</v>
      </c>
      <c r="L4465" t="inlineStr">
        <is>
          <t>IMPENSE</t>
        </is>
      </c>
      <c r="R4465" s="22"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2" t="n">
        <v>791640</v>
      </c>
      <c r="K4466" s="23" t="n">
        <v>44594</v>
      </c>
      <c r="L4466" t="inlineStr">
        <is>
          <t>IMPENSE</t>
        </is>
      </c>
      <c r="R4466" s="22"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2" t="n">
        <v>771660</v>
      </c>
      <c r="K4467" s="23" t="n">
        <v>44594</v>
      </c>
      <c r="L4467" t="inlineStr">
        <is>
          <t>IMPENSE</t>
        </is>
      </c>
      <c r="R4467" s="22"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2" t="n">
        <v>378000</v>
      </c>
      <c r="K4468" s="23" t="n">
        <v>44594</v>
      </c>
      <c r="L4468" t="inlineStr">
        <is>
          <t>IMPENSE</t>
        </is>
      </c>
      <c r="R4468" s="22"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2" t="n">
        <v>3084840</v>
      </c>
      <c r="K4469" s="23" t="n">
        <v>44600</v>
      </c>
      <c r="L4469" t="inlineStr">
        <is>
          <t>IMPENSE</t>
        </is>
      </c>
      <c r="R4469" s="22"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2" t="n">
        <v>1756080</v>
      </c>
      <c r="K4470" s="23" t="n">
        <v>44601</v>
      </c>
      <c r="L4470" t="inlineStr">
        <is>
          <t>IMPENSE</t>
        </is>
      </c>
      <c r="R4470" s="22"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2" t="n">
        <v>121000</v>
      </c>
      <c r="K4471" s="23" t="n">
        <v>44627</v>
      </c>
      <c r="L4471" t="inlineStr">
        <is>
          <t>IMPENSE</t>
        </is>
      </c>
      <c r="R4471" s="22"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2" t="n">
        <v>283000</v>
      </c>
      <c r="K4472" s="23" t="n">
        <v>44694</v>
      </c>
      <c r="L4472" t="inlineStr">
        <is>
          <t>IMPENSE</t>
        </is>
      </c>
      <c r="R4472" s="22"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2" t="n">
        <v>759040</v>
      </c>
      <c r="K4473" s="23" t="n">
        <v>44694</v>
      </c>
      <c r="L4473" t="inlineStr">
        <is>
          <t>IMPENSE</t>
        </is>
      </c>
      <c r="R4473" s="22"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2" t="n">
        <v>3715500</v>
      </c>
      <c r="K4474" s="23" t="n">
        <v>44896</v>
      </c>
      <c r="L4474" t="inlineStr">
        <is>
          <t>IMPENSE</t>
        </is>
      </c>
      <c r="R4474" s="22"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2" t="n">
        <v>1988420</v>
      </c>
      <c r="K4475" s="23" t="n">
        <v>44896</v>
      </c>
      <c r="L4475" t="inlineStr">
        <is>
          <t>IMPENSE</t>
        </is>
      </c>
      <c r="R4475" s="22"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2" t="n">
        <v>624000</v>
      </c>
      <c r="K4476" s="23" t="n">
        <v>44896</v>
      </c>
      <c r="L4476" t="inlineStr">
        <is>
          <t>IMPENSE</t>
        </is>
      </c>
      <c r="R4476" s="22"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2" t="n">
        <v>1216500</v>
      </c>
      <c r="K4477" s="23" t="n">
        <v>44896</v>
      </c>
      <c r="L4477" t="inlineStr">
        <is>
          <t>IMPENSE</t>
        </is>
      </c>
      <c r="R4477" s="22"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2" t="n">
        <v>897000</v>
      </c>
      <c r="K4478" s="23" t="n">
        <v>44896</v>
      </c>
      <c r="L4478" t="inlineStr">
        <is>
          <t>IMPENSE</t>
        </is>
      </c>
      <c r="R4478" s="22"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2" t="n">
        <v>1900000</v>
      </c>
      <c r="K4479" s="23" t="n">
        <v>44896</v>
      </c>
      <c r="L4479" t="inlineStr">
        <is>
          <t>IMPENSE</t>
        </is>
      </c>
      <c r="R4479" s="22"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2" t="n">
        <v>493500</v>
      </c>
      <c r="K4480" s="23" t="n">
        <v>44896</v>
      </c>
      <c r="L4480" t="inlineStr">
        <is>
          <t>IMPENSE</t>
        </is>
      </c>
      <c r="R4480" s="22"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2" t="n">
        <v>248000</v>
      </c>
      <c r="K4481" s="23" t="n">
        <v>44896</v>
      </c>
      <c r="L4481" t="inlineStr">
        <is>
          <t>IMPENSE</t>
        </is>
      </c>
      <c r="R4481" s="22"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2" t="n">
        <v>1363000</v>
      </c>
      <c r="K4482" s="23" t="n">
        <v>44896</v>
      </c>
      <c r="L4482" t="inlineStr">
        <is>
          <t>IMPENSE</t>
        </is>
      </c>
      <c r="R4482" s="22"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2" t="n">
        <v>466650</v>
      </c>
      <c r="K4483" s="23" t="n">
        <v>44896</v>
      </c>
      <c r="L4483" t="inlineStr">
        <is>
          <t>IMPENSE</t>
        </is>
      </c>
      <c r="R4483" s="22"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2" t="n">
        <v>1910000</v>
      </c>
      <c r="K4484" s="23" t="n">
        <v>44896</v>
      </c>
      <c r="L4484" t="inlineStr">
        <is>
          <t>IMPENSE</t>
        </is>
      </c>
      <c r="R4484" s="22"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2" t="n">
        <v>2022500</v>
      </c>
      <c r="K4485" s="23" t="n">
        <v>44896</v>
      </c>
      <c r="L4485" t="inlineStr">
        <is>
          <t>IMPENSE</t>
        </is>
      </c>
      <c r="R4485" s="22"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2" t="n">
        <v>2250500</v>
      </c>
      <c r="K4486" s="23" t="n">
        <v>44896</v>
      </c>
      <c r="L4486" t="inlineStr">
        <is>
          <t>IMPENSE</t>
        </is>
      </c>
      <c r="R4486" s="22"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2" t="n">
        <v>2075000</v>
      </c>
      <c r="K4487" s="23" t="n">
        <v>44896</v>
      </c>
      <c r="L4487" t="inlineStr">
        <is>
          <t>IMPENSE</t>
        </is>
      </c>
      <c r="R4487" s="22"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2" t="n">
        <v>12580000</v>
      </c>
      <c r="K4488" s="23" t="n">
        <v>44901</v>
      </c>
      <c r="L4488" t="inlineStr">
        <is>
          <t>APPUI INSTITUTIONNEL</t>
        </is>
      </c>
      <c r="R4488" s="22"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2" t="n">
        <v>3000000</v>
      </c>
      <c r="K4489" s="23" t="n">
        <v>44925</v>
      </c>
      <c r="L4489" t="inlineStr">
        <is>
          <t>APPUI INSTITUTIONNEL</t>
        </is>
      </c>
      <c r="R4489" s="22"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2"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2"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2"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2"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2"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2"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2"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2"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2"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2"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2"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2" t="n">
        <v>44053</v>
      </c>
      <c r="K4501" t="inlineStr">
        <is>
          <t>APPUI DIVERS</t>
        </is>
      </c>
      <c r="L4501" t="inlineStr">
        <is>
          <t>APPUI DIVERS</t>
        </is>
      </c>
      <c r="M4501" t="inlineStr">
        <is>
          <t xml:space="preserve">Néant </t>
        </is>
      </c>
      <c r="N4501" t="inlineStr">
        <is>
          <t xml:space="preserve">Néant </t>
        </is>
      </c>
      <c r="O4501" t="inlineStr">
        <is>
          <t>NC</t>
        </is>
      </c>
      <c r="R4501" s="22"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2" t="n">
        <v>44055</v>
      </c>
      <c r="K4502" t="inlineStr">
        <is>
          <t>APPUI DIVERS</t>
        </is>
      </c>
      <c r="L4502" t="inlineStr">
        <is>
          <t>APPUI DIVERS</t>
        </is>
      </c>
      <c r="M4502" t="inlineStr">
        <is>
          <t xml:space="preserve">Néant </t>
        </is>
      </c>
      <c r="N4502" t="inlineStr">
        <is>
          <t xml:space="preserve">Néant </t>
        </is>
      </c>
      <c r="O4502" t="inlineStr">
        <is>
          <t>NC</t>
        </is>
      </c>
      <c r="R4502" s="22"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2"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2"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2" t="n">
        <v>44154</v>
      </c>
      <c r="K4504" t="inlineStr">
        <is>
          <t>APPUI DIVERS</t>
        </is>
      </c>
      <c r="L4504" t="inlineStr">
        <is>
          <t>APPUI ACHATS NATTES &amp; JOUETS</t>
        </is>
      </c>
      <c r="M4504" t="inlineStr">
        <is>
          <t xml:space="preserve">Néant </t>
        </is>
      </c>
      <c r="N4504" t="inlineStr">
        <is>
          <t xml:space="preserve">Néant </t>
        </is>
      </c>
      <c r="O4504" t="inlineStr">
        <is>
          <t>NC</t>
        </is>
      </c>
      <c r="R4504" s="22"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2" t="n">
        <v>149999.89</v>
      </c>
      <c r="K4505" s="23"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2"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2" t="n">
        <v>149998.83</v>
      </c>
      <c r="K4506" s="23" t="n">
        <v>44599</v>
      </c>
      <c r="L4506" t="inlineStr">
        <is>
          <t>SF Fond Gora &amp; General</t>
        </is>
      </c>
      <c r="R4506" s="22"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2" t="n">
        <v>149998.19</v>
      </c>
      <c r="K4507" s="23"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2"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2" t="n">
        <v>148499.46</v>
      </c>
      <c r="K4508" s="23" t="n">
        <v>44659</v>
      </c>
      <c r="L4508" t="inlineStr">
        <is>
          <t>SF Fond Gora &amp; General</t>
        </is>
      </c>
      <c r="R4508" s="22"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2" t="n">
        <v>147420</v>
      </c>
      <c r="K4509" t="inlineStr">
        <is>
          <t>28/03/2023</t>
        </is>
      </c>
      <c r="L4509" t="inlineStr">
        <is>
          <t>Appuis divers</t>
        </is>
      </c>
      <c r="R4509" s="22"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2" t="n">
        <v>44165</v>
      </c>
      <c r="K4510" t="inlineStr">
        <is>
          <t>NC</t>
        </is>
      </c>
      <c r="L4510" t="inlineStr">
        <is>
          <t>NC</t>
        </is>
      </c>
      <c r="M4510" t="inlineStr">
        <is>
          <t xml:space="preserve">Néant </t>
        </is>
      </c>
      <c r="N4510" t="inlineStr">
        <is>
          <t xml:space="preserve">Néant </t>
        </is>
      </c>
      <c r="O4510" t="inlineStr">
        <is>
          <t>NC</t>
        </is>
      </c>
      <c r="R4510" s="22"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2" t="n">
        <v>144997.15</v>
      </c>
      <c r="O4511" t="inlineStr">
        <is>
          <t>SF General</t>
        </is>
      </c>
      <c r="P4511" t="inlineStr">
        <is>
          <t>Obligation de développement social: art.15 de l'avenant 1 à la convention minière de Sabodala du 23 mars 2005</t>
        </is>
      </c>
      <c r="R4511" s="22"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2" t="n">
        <v>143000.14</v>
      </c>
      <c r="K4512" s="23"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2"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2"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2"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2"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2"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2"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2"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2"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2" t="n">
        <v>44105</v>
      </c>
      <c r="K4520" t="inlineStr">
        <is>
          <t>Donation</t>
        </is>
      </c>
      <c r="L4520" t="inlineStr">
        <is>
          <t>Donation</t>
        </is>
      </c>
      <c r="M4520" t="inlineStr">
        <is>
          <t>Néant</t>
        </is>
      </c>
      <c r="N4520" t="inlineStr">
        <is>
          <t>Néant</t>
        </is>
      </c>
      <c r="O4520" t="inlineStr">
        <is>
          <t>NC</t>
        </is>
      </c>
      <c r="R4520" s="22"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2" t="n">
        <v>44137</v>
      </c>
      <c r="K4521" t="inlineStr">
        <is>
          <t>Donation</t>
        </is>
      </c>
      <c r="L4521" t="inlineStr">
        <is>
          <t>Donation</t>
        </is>
      </c>
      <c r="M4521" t="inlineStr">
        <is>
          <t>Néant</t>
        </is>
      </c>
      <c r="N4521" t="inlineStr">
        <is>
          <t>Néant</t>
        </is>
      </c>
      <c r="O4521" t="inlineStr">
        <is>
          <t>NC</t>
        </is>
      </c>
      <c r="R4521" s="22"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2" t="n">
        <v>142742.94</v>
      </c>
      <c r="K4522" s="23" t="n">
        <v>45637</v>
      </c>
      <c r="M4522" t="inlineStr">
        <is>
          <t>139693</t>
        </is>
      </c>
      <c r="P4522" t="inlineStr">
        <is>
          <t>Convention minère et Code minier (Fond Social et Fond d'appui au developpement local)</t>
        </is>
      </c>
      <c r="R4522" s="22"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2" t="n">
        <v>141264.34</v>
      </c>
      <c r="O4523" t="inlineStr">
        <is>
          <t>SF General</t>
        </is>
      </c>
      <c r="P4523" t="inlineStr">
        <is>
          <t>Obligation de développement social: art.15 de l'avenant 1 à la convention minière de Sabodala du 23 mars 2005</t>
        </is>
      </c>
      <c r="R4523" s="22"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2" t="n">
        <v>141000</v>
      </c>
      <c r="K4524" t="inlineStr">
        <is>
          <t>2024-05-31</t>
        </is>
      </c>
      <c r="L4524" t="inlineStr">
        <is>
          <t>Appuis divers</t>
        </is>
      </c>
      <c r="R4524" s="22"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2" t="n">
        <v>140398.8</v>
      </c>
      <c r="K4525" s="23"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2"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2" t="n">
        <v>140001.85</v>
      </c>
      <c r="O4526" t="inlineStr">
        <is>
          <t>SF General</t>
        </is>
      </c>
      <c r="P4526" t="inlineStr">
        <is>
          <t>Obligation de développement social: art.15 de l'avenant 1 à la convention minière de Sabodala du 23 mars 2005</t>
        </is>
      </c>
      <c r="R4526" s="22"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2" t="n">
        <v>140001.85</v>
      </c>
      <c r="O4527" t="inlineStr">
        <is>
          <t>SF General</t>
        </is>
      </c>
      <c r="P4527" t="inlineStr">
        <is>
          <t>Obligation de développement social: art.15 de l'avenant 1 à la convention minière de Sabodala du 23 mars 2005</t>
        </is>
      </c>
      <c r="R4527" s="22"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2" t="n">
        <v>140000</v>
      </c>
      <c r="K4528" s="23" t="n">
        <v>45352</v>
      </c>
      <c r="R4528" s="22"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2" t="n">
        <v>140000</v>
      </c>
      <c r="K4529" t="inlineStr">
        <is>
          <t>03/04/2023</t>
        </is>
      </c>
      <c r="L4529" t="inlineStr">
        <is>
          <t>Appuis divers</t>
        </is>
      </c>
      <c r="R4529" s="22"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2" t="n">
        <v>140000</v>
      </c>
      <c r="K4530" s="23"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2"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2" t="n">
        <v>43836</v>
      </c>
      <c r="K4531" t="inlineStr">
        <is>
          <t>Donation</t>
        </is>
      </c>
      <c r="L4531" t="inlineStr">
        <is>
          <t>Donation</t>
        </is>
      </c>
      <c r="M4531" t="inlineStr">
        <is>
          <t>Néant</t>
        </is>
      </c>
      <c r="N4531" t="inlineStr">
        <is>
          <t>Néant</t>
        </is>
      </c>
      <c r="O4531" t="inlineStr">
        <is>
          <t>NC</t>
        </is>
      </c>
      <c r="R4531" s="22"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2" t="n">
        <v>43864</v>
      </c>
      <c r="K4532" t="inlineStr">
        <is>
          <t>Donation</t>
        </is>
      </c>
      <c r="L4532" t="inlineStr">
        <is>
          <t>Donation</t>
        </is>
      </c>
      <c r="M4532" t="inlineStr">
        <is>
          <t>Néant</t>
        </is>
      </c>
      <c r="N4532" t="inlineStr">
        <is>
          <t>Néant</t>
        </is>
      </c>
      <c r="O4532" t="inlineStr">
        <is>
          <t>NC</t>
        </is>
      </c>
      <c r="R4532" s="22"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2" t="n">
        <v>43892</v>
      </c>
      <c r="K4533" t="inlineStr">
        <is>
          <t>Donation</t>
        </is>
      </c>
      <c r="L4533" t="inlineStr">
        <is>
          <t>Donation</t>
        </is>
      </c>
      <c r="M4533" t="inlineStr">
        <is>
          <t>Néant</t>
        </is>
      </c>
      <c r="N4533" t="inlineStr">
        <is>
          <t>Néant</t>
        </is>
      </c>
      <c r="O4533" t="inlineStr">
        <is>
          <t>NC</t>
        </is>
      </c>
      <c r="R4533" s="22"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2" t="n">
        <v>136000</v>
      </c>
      <c r="K4534" t="inlineStr">
        <is>
          <t>15/04/2023</t>
        </is>
      </c>
      <c r="L4534" t="inlineStr">
        <is>
          <t>Appuis divers</t>
        </is>
      </c>
      <c r="R4534" s="22"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2" t="n">
        <v>135000</v>
      </c>
      <c r="K4535" s="23" t="n">
        <v>45457</v>
      </c>
      <c r="R4535" s="22"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2" t="n">
        <v>44071</v>
      </c>
      <c r="K4536" t="inlineStr">
        <is>
          <t>APPUI DIVERS</t>
        </is>
      </c>
      <c r="L4536" t="inlineStr">
        <is>
          <t>MONNAIE TEWA DECAISSEMENT JUILLET</t>
        </is>
      </c>
      <c r="M4536" t="inlineStr">
        <is>
          <t xml:space="preserve">Néant </t>
        </is>
      </c>
      <c r="N4536" t="inlineStr">
        <is>
          <t xml:space="preserve">Néant </t>
        </is>
      </c>
      <c r="O4536" t="inlineStr">
        <is>
          <t>NC</t>
        </is>
      </c>
      <c r="R4536" s="22"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2" t="n">
        <v>132000</v>
      </c>
      <c r="K4537" s="23"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2"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2" t="n">
        <v>131998.26</v>
      </c>
      <c r="K4538" s="23"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2"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2" t="n">
        <v>131998.1</v>
      </c>
      <c r="K4539" s="23"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2"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2" t="n">
        <v>130000</v>
      </c>
      <c r="K4540" s="23" t="n">
        <v>45386</v>
      </c>
      <c r="R4540" s="22"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2" t="n">
        <v>44055</v>
      </c>
      <c r="K4541" t="inlineStr">
        <is>
          <t>Donation</t>
        </is>
      </c>
      <c r="L4541" t="inlineStr">
        <is>
          <t>Donation</t>
        </is>
      </c>
      <c r="M4541" t="inlineStr">
        <is>
          <t>Néant</t>
        </is>
      </c>
      <c r="N4541" t="inlineStr">
        <is>
          <t>Néant</t>
        </is>
      </c>
      <c r="O4541" t="inlineStr">
        <is>
          <t>NC</t>
        </is>
      </c>
      <c r="R4541" s="22"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2" t="n">
        <v>126000.02</v>
      </c>
      <c r="K4542" s="23"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2"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2" t="n">
        <v>125500</v>
      </c>
      <c r="K4543" t="inlineStr">
        <is>
          <t>30/03/2023</t>
        </is>
      </c>
      <c r="L4543" t="inlineStr">
        <is>
          <t>Appuis divers</t>
        </is>
      </c>
      <c r="R4543" s="22"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2" t="n">
        <v>125000</v>
      </c>
      <c r="K4544" s="23" t="n">
        <v>45352</v>
      </c>
      <c r="R4544" s="22"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2" t="n">
        <v>125000</v>
      </c>
      <c r="K4545" t="inlineStr">
        <is>
          <t>17/May/23</t>
        </is>
      </c>
      <c r="M4545" t="inlineStr">
        <is>
          <t>Education</t>
        </is>
      </c>
      <c r="R4545" s="22"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2" t="n">
        <v>125000</v>
      </c>
      <c r="K4546" t="inlineStr">
        <is>
          <t>04/05/2023</t>
        </is>
      </c>
      <c r="L4546" t="inlineStr">
        <is>
          <t>Appuis divers</t>
        </is>
      </c>
      <c r="R4546" s="22"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2" t="n">
        <v>124798.05</v>
      </c>
      <c r="K4547" s="23"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2"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2" t="n">
        <v>123820</v>
      </c>
      <c r="K4548" t="inlineStr">
        <is>
          <t>06/04/2023</t>
        </is>
      </c>
      <c r="L4548" t="inlineStr">
        <is>
          <t>Appuis divers</t>
        </is>
      </c>
      <c r="R4548" s="22"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2" t="n">
        <v>122500</v>
      </c>
      <c r="K4549" t="inlineStr">
        <is>
          <t>14/08/2023</t>
        </is>
      </c>
      <c r="L4549" t="inlineStr">
        <is>
          <t>Appuis divers</t>
        </is>
      </c>
      <c r="R4549" s="22"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2" t="n">
        <v>121010.57943418</v>
      </c>
      <c r="K4550" s="23" t="n">
        <v>45349</v>
      </c>
      <c r="M4550" t="inlineStr">
        <is>
          <t>Palettes en bois samba</t>
        </is>
      </c>
      <c r="P4550" t="inlineStr">
        <is>
          <t>Convention minère et Code minier (Fond Social et Fond d'appui au developpement local)</t>
        </is>
      </c>
      <c r="R4550" s="22"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2" t="n">
        <v>120239.2</v>
      </c>
      <c r="O4551" t="inlineStr">
        <is>
          <t>SF General</t>
        </is>
      </c>
      <c r="P4551" t="inlineStr">
        <is>
          <t>Obligation de développement social: art.15 de l'avenant 1 à la convention minière de Sabodala du 23 mars 2005</t>
        </is>
      </c>
      <c r="R4551" s="22"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2" t="n">
        <v>120000.8</v>
      </c>
      <c r="K4552" s="23"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2"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2" t="n">
        <v>120000.64</v>
      </c>
      <c r="K4553" s="23"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2"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2" t="n">
        <v>119997.94</v>
      </c>
      <c r="K4554" s="23"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2"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2"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2" t="n">
        <v>115969.73116246</v>
      </c>
      <c r="K4556" s="23" t="n">
        <v>45349</v>
      </c>
      <c r="M4556" t="inlineStr">
        <is>
          <t>Table agent active en bois rouge magasin légumes</t>
        </is>
      </c>
      <c r="P4556" t="inlineStr">
        <is>
          <t>Convention minère et Code minier (Fond Social et Fond d'appui au developpement local)</t>
        </is>
      </c>
      <c r="R4556" s="22"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2" t="n">
        <v>115200</v>
      </c>
      <c r="K4557" s="23"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2"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2" t="n">
        <v>115002.14</v>
      </c>
      <c r="O4558" t="inlineStr">
        <is>
          <t>SF General</t>
        </is>
      </c>
      <c r="P4558" t="inlineStr">
        <is>
          <t>Obligation de développement social: art.15 de l'avenant 1 à la convention minière de Sabodala du 23 mars 2005</t>
        </is>
      </c>
      <c r="R4558" s="22"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2" t="n">
        <v>114000</v>
      </c>
      <c r="K4559" t="inlineStr">
        <is>
          <t>15/04/2023</t>
        </is>
      </c>
      <c r="L4559" t="inlineStr">
        <is>
          <t>Appuis divers</t>
        </is>
      </c>
      <c r="R4559" s="22"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2" t="n">
        <v>112922.71</v>
      </c>
      <c r="K4560" s="23"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2"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2" t="n">
        <v>110000</v>
      </c>
      <c r="K4561" t="inlineStr">
        <is>
          <t>20/10/2023</t>
        </is>
      </c>
      <c r="L4561" t="inlineStr">
        <is>
          <t>Appuis divers</t>
        </is>
      </c>
      <c r="R4561" s="22"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2" t="n">
        <v>108117.83</v>
      </c>
      <c r="K4562" s="23" t="n">
        <v>45364</v>
      </c>
      <c r="M4562" t="inlineStr">
        <is>
          <t>136083</t>
        </is>
      </c>
      <c r="N4562" t="inlineStr">
        <is>
          <t>N/A</t>
        </is>
      </c>
      <c r="O4562" t="inlineStr">
        <is>
          <t>N/A</t>
        </is>
      </c>
      <c r="P4562" t="inlineStr">
        <is>
          <t>Convention minère et Code minier (Fond Social et Fond d'appui au developpement local)</t>
        </is>
      </c>
      <c r="Q4562" t="inlineStr">
        <is>
          <t>NA</t>
        </is>
      </c>
      <c r="R4562" s="22"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2" t="n">
        <v>105800</v>
      </c>
      <c r="K4563" t="inlineStr">
        <is>
          <t>2024-12-09</t>
        </is>
      </c>
      <c r="L4563" t="inlineStr">
        <is>
          <t>Appuis divers</t>
        </is>
      </c>
      <c r="R4563" s="22"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2"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2"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2" t="n">
        <v>102300</v>
      </c>
      <c r="K4566" t="inlineStr">
        <is>
          <t>10/02/2023</t>
        </is>
      </c>
      <c r="L4566" t="inlineStr">
        <is>
          <t>Appuis divers</t>
        </is>
      </c>
      <c r="R4566" s="22"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2" t="n">
        <v>102000</v>
      </c>
      <c r="K4567" s="23" t="n">
        <v>45029</v>
      </c>
      <c r="R4567" s="22"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2"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2" t="n">
        <v>101000</v>
      </c>
      <c r="K4569" s="23"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2"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2" t="n">
        <v>101000</v>
      </c>
      <c r="K4570" s="23" t="n">
        <v>45341</v>
      </c>
      <c r="R4570" s="22"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2" t="n">
        <v>100002.11</v>
      </c>
      <c r="K4571" s="23"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2"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2" t="n">
        <v>100002.1</v>
      </c>
      <c r="K4572" s="23"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2"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2" t="n">
        <v>100000</v>
      </c>
      <c r="K4573" s="23"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2"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2" t="n">
        <v>100000</v>
      </c>
      <c r="K4574" s="23" t="n">
        <v>45351</v>
      </c>
      <c r="M4574" t="inlineStr">
        <is>
          <t>137715AD</t>
        </is>
      </c>
      <c r="N4574" t="inlineStr">
        <is>
          <t>N/A</t>
        </is>
      </c>
      <c r="O4574" t="inlineStr">
        <is>
          <t>N/A</t>
        </is>
      </c>
      <c r="P4574" t="inlineStr">
        <is>
          <t>Convention minère et Code minier (Fond Social et Fond d'appui au developpement local)</t>
        </is>
      </c>
      <c r="Q4574" t="inlineStr">
        <is>
          <t>NA</t>
        </is>
      </c>
      <c r="R4574" s="22"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2" t="n">
        <v>100000</v>
      </c>
      <c r="K4575" s="23"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2"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2" t="n">
        <v>100000</v>
      </c>
      <c r="K4576" s="23"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2"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2" t="n">
        <v>100000</v>
      </c>
      <c r="K4577" s="23"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2"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2" t="n">
        <v>100000</v>
      </c>
      <c r="K4578" s="23" t="n">
        <v>45645</v>
      </c>
      <c r="M4578" t="inlineStr">
        <is>
          <t>Appui de SGO a victor Tamala BINDIA pour la celebration de l</t>
        </is>
      </c>
      <c r="P4578" t="inlineStr">
        <is>
          <t>Convention minère et Code minier (Fond Social et Fond d'appui au developpement local)</t>
        </is>
      </c>
      <c r="R4578" s="22"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2" t="n">
        <v>100000</v>
      </c>
      <c r="K4579" s="23" t="n">
        <v>45655</v>
      </c>
      <c r="M4579" t="inlineStr">
        <is>
          <t>Appui de SGO Victor Tamala Bindia pour la celebration de noe</t>
        </is>
      </c>
      <c r="P4579" t="inlineStr">
        <is>
          <t>Convention minère et Code minier (Fond Social et Fond d'appui au developpement local)</t>
        </is>
      </c>
      <c r="R4579" s="22"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2" t="n">
        <v>100000</v>
      </c>
      <c r="K4580" s="23" t="n">
        <v>45294</v>
      </c>
      <c r="R4580" s="22"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2" t="n">
        <v>100000</v>
      </c>
      <c r="K4581" s="23" t="n">
        <v>45300</v>
      </c>
      <c r="R4581" s="22"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2" t="n">
        <v>100000</v>
      </c>
      <c r="K4582" s="23" t="n">
        <v>45310</v>
      </c>
      <c r="R4582" s="22"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2" t="n">
        <v>100000</v>
      </c>
      <c r="K4583" s="23" t="n">
        <v>45323</v>
      </c>
      <c r="R4583" s="22"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2" t="n">
        <v>100000</v>
      </c>
      <c r="K4584" s="23" t="n">
        <v>45328</v>
      </c>
      <c r="R4584" s="22"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2" t="n">
        <v>100000</v>
      </c>
      <c r="K4585" s="23" t="n">
        <v>45328</v>
      </c>
      <c r="R4585" s="22"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2" t="n">
        <v>100000</v>
      </c>
      <c r="K4586" s="23" t="n">
        <v>45328</v>
      </c>
      <c r="R4586" s="22"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2" t="n">
        <v>100000</v>
      </c>
      <c r="K4587" s="23" t="n">
        <v>45358</v>
      </c>
      <c r="R4587" s="22"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2" t="n">
        <v>100000</v>
      </c>
      <c r="K4588" s="23" t="n">
        <v>45365</v>
      </c>
      <c r="R4588" s="22"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2" t="n">
        <v>100000</v>
      </c>
      <c r="K4589" s="23" t="n">
        <v>45369</v>
      </c>
      <c r="R4589" s="22"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2" t="n">
        <v>100000</v>
      </c>
      <c r="K4590" s="23" t="n">
        <v>45385</v>
      </c>
      <c r="R4590" s="22"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2" t="n">
        <v>100000</v>
      </c>
      <c r="K4591" s="23" t="n">
        <v>45385</v>
      </c>
      <c r="R4591" s="22"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2" t="n">
        <v>100000</v>
      </c>
      <c r="K4592" s="23" t="n">
        <v>45385</v>
      </c>
      <c r="R4592" s="22"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2" t="n">
        <v>100000</v>
      </c>
      <c r="K4593" s="23" t="n">
        <v>45385</v>
      </c>
      <c r="R4593" s="22"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2" t="n">
        <v>100000</v>
      </c>
      <c r="K4594" s="23" t="n">
        <v>45385</v>
      </c>
      <c r="R4594" s="22"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2" t="n">
        <v>100000</v>
      </c>
      <c r="K4595" s="23" t="n">
        <v>45398</v>
      </c>
      <c r="R4595" s="22"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2" t="n">
        <v>100000</v>
      </c>
      <c r="K4596" s="23" t="n">
        <v>45400</v>
      </c>
      <c r="R4596" s="22"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2" t="n">
        <v>100000</v>
      </c>
      <c r="K4597" s="23" t="n">
        <v>45400</v>
      </c>
      <c r="R4597" s="22"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2" t="n">
        <v>100000</v>
      </c>
      <c r="K4598" s="23" t="n">
        <v>45407</v>
      </c>
      <c r="R4598" s="22"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2" t="n">
        <v>100000</v>
      </c>
      <c r="K4599" s="23" t="n">
        <v>45407</v>
      </c>
      <c r="R4599" s="22"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2" t="n">
        <v>100000</v>
      </c>
      <c r="K4600" s="23" t="n">
        <v>45408</v>
      </c>
      <c r="R4600" s="22"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2" t="n">
        <v>100000</v>
      </c>
      <c r="K4601" s="23" t="n">
        <v>45414</v>
      </c>
      <c r="R4601" s="22"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2" t="n">
        <v>100000</v>
      </c>
      <c r="K4602" s="23" t="n">
        <v>45414</v>
      </c>
      <c r="R4602" s="22"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2" t="n">
        <v>100000</v>
      </c>
      <c r="K4603" s="23" t="n">
        <v>45419</v>
      </c>
      <c r="R4603" s="22"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2" t="n">
        <v>100000</v>
      </c>
      <c r="K4604" s="23" t="n">
        <v>45419</v>
      </c>
      <c r="R4604" s="22"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2" t="n">
        <v>100000</v>
      </c>
      <c r="K4605" s="23" t="n">
        <v>45419</v>
      </c>
      <c r="R4605" s="22"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2" t="n">
        <v>100000</v>
      </c>
      <c r="K4606" s="23" t="n">
        <v>45419</v>
      </c>
      <c r="R4606" s="22"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2" t="n">
        <v>100000</v>
      </c>
      <c r="K4607" s="23" t="n">
        <v>45419</v>
      </c>
      <c r="R4607" s="22"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2" t="n">
        <v>100000</v>
      </c>
      <c r="K4608" s="23" t="n">
        <v>45427</v>
      </c>
      <c r="R4608" s="22"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2" t="n">
        <v>100000</v>
      </c>
      <c r="K4609" s="23" t="n">
        <v>45435</v>
      </c>
      <c r="R4609" s="22"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2" t="n">
        <v>100000</v>
      </c>
      <c r="K4610" s="23" t="n">
        <v>45435</v>
      </c>
      <c r="R4610" s="22"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2" t="n">
        <v>100000</v>
      </c>
      <c r="K4611" s="23" t="n">
        <v>45435</v>
      </c>
      <c r="R4611" s="22"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2" t="n">
        <v>100000</v>
      </c>
      <c r="K4612" s="23" t="n">
        <v>45448</v>
      </c>
      <c r="R4612" s="22"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2" t="n">
        <v>100000</v>
      </c>
      <c r="K4613" s="23" t="n">
        <v>45448</v>
      </c>
      <c r="R4613" s="22"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2" t="n">
        <v>100000</v>
      </c>
      <c r="K4614" s="23" t="n">
        <v>45448</v>
      </c>
      <c r="R4614" s="22"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2" t="n">
        <v>100000</v>
      </c>
      <c r="K4615" s="23" t="n">
        <v>45448</v>
      </c>
      <c r="R4615" s="22"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2" t="n">
        <v>100000</v>
      </c>
      <c r="K4616" s="23" t="n">
        <v>45448</v>
      </c>
      <c r="R4616" s="22"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2" t="n">
        <v>100000</v>
      </c>
      <c r="K4617" s="23" t="n">
        <v>45448</v>
      </c>
      <c r="R4617" s="22"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2" t="n">
        <v>100000</v>
      </c>
      <c r="K4618" s="23" t="n">
        <v>45448</v>
      </c>
      <c r="R4618" s="22"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2" t="n">
        <v>100000</v>
      </c>
      <c r="K4619" s="23" t="n">
        <v>45453</v>
      </c>
      <c r="R4619" s="22"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2" t="n">
        <v>100000</v>
      </c>
      <c r="K4620" s="23" t="n">
        <v>45455</v>
      </c>
      <c r="R4620" s="22"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2" t="n">
        <v>100000</v>
      </c>
      <c r="K4621" s="23" t="n">
        <v>45455</v>
      </c>
      <c r="R4621" s="22"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2" t="n">
        <v>100000</v>
      </c>
      <c r="K4622" t="inlineStr">
        <is>
          <t>2024-04-11</t>
        </is>
      </c>
      <c r="L4622" t="inlineStr">
        <is>
          <t>Appuis divers</t>
        </is>
      </c>
      <c r="R4622" s="22"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2" t="n">
        <v>100000</v>
      </c>
      <c r="K4623" t="inlineStr">
        <is>
          <t>2024-04-11</t>
        </is>
      </c>
      <c r="L4623" t="inlineStr">
        <is>
          <t>Appuis divers</t>
        </is>
      </c>
      <c r="R4623" s="22"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2" t="n">
        <v>100000</v>
      </c>
      <c r="K4624" t="inlineStr">
        <is>
          <t>2024-04-25</t>
        </is>
      </c>
      <c r="L4624" t="inlineStr">
        <is>
          <t>Appuis divers</t>
        </is>
      </c>
      <c r="R4624" s="22"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2" t="n">
        <v>100000</v>
      </c>
      <c r="K4625" t="inlineStr">
        <is>
          <t>2024-05-31</t>
        </is>
      </c>
      <c r="L4625" t="inlineStr">
        <is>
          <t>Appuis divers</t>
        </is>
      </c>
      <c r="R4625" s="22"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2" t="n">
        <v>100000</v>
      </c>
      <c r="K4626" t="inlineStr">
        <is>
          <t>2024-05-31</t>
        </is>
      </c>
      <c r="L4626" t="inlineStr">
        <is>
          <t>Appuis divers</t>
        </is>
      </c>
      <c r="R4626" s="22"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2" t="n">
        <v>100000</v>
      </c>
      <c r="K4627" t="inlineStr">
        <is>
          <t>2024-07-06</t>
        </is>
      </c>
      <c r="L4627" t="inlineStr">
        <is>
          <t>Appuis divers</t>
        </is>
      </c>
      <c r="R4627" s="22"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2" t="n">
        <v>100000</v>
      </c>
      <c r="K4628" t="inlineStr">
        <is>
          <t>2024-08-29</t>
        </is>
      </c>
      <c r="L4628" t="inlineStr">
        <is>
          <t>Appuis divers</t>
        </is>
      </c>
      <c r="R4628" s="22"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2" t="n">
        <v>100000</v>
      </c>
      <c r="K4629" t="inlineStr">
        <is>
          <t>2024-08-23</t>
        </is>
      </c>
      <c r="L4629" t="inlineStr">
        <is>
          <t>Appuis divers</t>
        </is>
      </c>
      <c r="R4629" s="22"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2" t="n">
        <v>100000</v>
      </c>
      <c r="K4630" t="inlineStr">
        <is>
          <t>2024-12-02</t>
        </is>
      </c>
      <c r="L4630" t="inlineStr">
        <is>
          <t>Appuis divers</t>
        </is>
      </c>
      <c r="R4630" s="22"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2" t="n">
        <v>100000</v>
      </c>
      <c r="K4631" t="inlineStr">
        <is>
          <t>2024-12-02</t>
        </is>
      </c>
      <c r="L4631" t="inlineStr">
        <is>
          <t>Appuis divers</t>
        </is>
      </c>
      <c r="R4631" s="22"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2" t="n">
        <v>100000</v>
      </c>
      <c r="K4632" s="23" t="n">
        <v>45350</v>
      </c>
      <c r="L4632" t="inlineStr">
        <is>
          <t>APPUIS DIVERS</t>
        </is>
      </c>
      <c r="R4632" s="22"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2" t="n">
        <v>100000</v>
      </c>
      <c r="K4633" s="23" t="n">
        <v>45552</v>
      </c>
      <c r="R4633" s="22"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2" t="n">
        <v>100000</v>
      </c>
      <c r="K4634" s="23" t="n">
        <v>45541</v>
      </c>
      <c r="L4634" t="inlineStr">
        <is>
          <t>SUBENVTIONS</t>
        </is>
      </c>
      <c r="R4634" s="22"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2" t="n">
        <v>100000</v>
      </c>
      <c r="K4635" s="23" t="n">
        <v>45636</v>
      </c>
      <c r="L4635" t="inlineStr">
        <is>
          <t>DONS</t>
        </is>
      </c>
      <c r="R4635" s="22"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2" t="n">
        <v>100000</v>
      </c>
      <c r="K4636" s="23" t="n">
        <v>44927</v>
      </c>
      <c r="M4636" t="inlineStr">
        <is>
          <t>Appuis divers</t>
        </is>
      </c>
      <c r="R4636" s="22"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2" t="n">
        <v>100000</v>
      </c>
      <c r="K4637" s="23" t="n">
        <v>44927</v>
      </c>
      <c r="M4637" t="inlineStr">
        <is>
          <t>Sport</t>
        </is>
      </c>
      <c r="R4637" s="22"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2" t="n">
        <v>100000</v>
      </c>
      <c r="K4638" s="23" t="n">
        <v>44927</v>
      </c>
      <c r="M4638" t="inlineStr">
        <is>
          <t>Culture</t>
        </is>
      </c>
      <c r="R4638" s="22"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2" t="n">
        <v>100000</v>
      </c>
      <c r="K4639" s="23" t="n">
        <v>44927</v>
      </c>
      <c r="M4639" t="inlineStr">
        <is>
          <t>Religieux</t>
        </is>
      </c>
      <c r="R4639" s="22"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2" t="n">
        <v>100000</v>
      </c>
      <c r="K4640" s="23" t="n">
        <v>44927</v>
      </c>
      <c r="M4640" t="inlineStr">
        <is>
          <t>Religieux</t>
        </is>
      </c>
      <c r="R4640" s="22"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2" t="n">
        <v>100000</v>
      </c>
      <c r="K4641" s="23" t="n">
        <v>44937</v>
      </c>
      <c r="M4641" t="inlineStr">
        <is>
          <t>Religieux</t>
        </is>
      </c>
      <c r="R4641" s="22"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2" t="n">
        <v>100000</v>
      </c>
      <c r="K4642" s="23" t="n">
        <v>44937</v>
      </c>
      <c r="M4642" t="inlineStr">
        <is>
          <t>Religieux</t>
        </is>
      </c>
      <c r="R4642" s="22"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2" t="n">
        <v>100000</v>
      </c>
      <c r="K4643" s="23" t="n">
        <v>44944</v>
      </c>
      <c r="M4643" t="inlineStr">
        <is>
          <t>Religieux</t>
        </is>
      </c>
      <c r="R4643" s="22"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2" t="n">
        <v>100000</v>
      </c>
      <c r="K4644" s="23" t="n">
        <v>44944</v>
      </c>
      <c r="M4644" t="inlineStr">
        <is>
          <t>Religieux</t>
        </is>
      </c>
      <c r="R4644" s="22"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2" t="n">
        <v>100000</v>
      </c>
      <c r="K4645" t="inlineStr">
        <is>
          <t>16/Feb/23</t>
        </is>
      </c>
      <c r="M4645" t="inlineStr">
        <is>
          <t>Religieux</t>
        </is>
      </c>
      <c r="R4645" s="22"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2" t="n">
        <v>100000</v>
      </c>
      <c r="K4646" t="inlineStr">
        <is>
          <t>16/Feb/23</t>
        </is>
      </c>
      <c r="M4646" t="inlineStr">
        <is>
          <t>Religieux</t>
        </is>
      </c>
      <c r="R4646" s="22"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2" t="n">
        <v>100000</v>
      </c>
      <c r="K4647" t="inlineStr">
        <is>
          <t>03/Apr/23</t>
        </is>
      </c>
      <c r="M4647" t="inlineStr">
        <is>
          <t>Religieux</t>
        </is>
      </c>
      <c r="R4647" s="22"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2" t="n">
        <v>100000</v>
      </c>
      <c r="K4648" t="inlineStr">
        <is>
          <t>06/Apr/23</t>
        </is>
      </c>
      <c r="M4648" t="inlineStr">
        <is>
          <t>Religieux</t>
        </is>
      </c>
      <c r="R4648" s="22"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2" t="n">
        <v>100000</v>
      </c>
      <c r="K4649" t="inlineStr">
        <is>
          <t>13/Apr/23</t>
        </is>
      </c>
      <c r="M4649" t="inlineStr">
        <is>
          <t>Religieux</t>
        </is>
      </c>
      <c r="R4649" s="22"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2" t="n">
        <v>100000</v>
      </c>
      <c r="K4650" t="inlineStr">
        <is>
          <t>13/Apr/23</t>
        </is>
      </c>
      <c r="M4650" t="inlineStr">
        <is>
          <t>Religieux</t>
        </is>
      </c>
      <c r="R4650" s="22"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2" t="n">
        <v>100000</v>
      </c>
      <c r="K4651" t="inlineStr">
        <is>
          <t>18/Apr/23</t>
        </is>
      </c>
      <c r="M4651" t="inlineStr">
        <is>
          <t>Religieux</t>
        </is>
      </c>
      <c r="R4651" s="22"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2" t="n">
        <v>100000</v>
      </c>
      <c r="K4652" t="inlineStr">
        <is>
          <t>19/Apr/23</t>
        </is>
      </c>
      <c r="M4652" t="inlineStr">
        <is>
          <t>Appuis divers</t>
        </is>
      </c>
      <c r="R4652" s="22"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2" t="n">
        <v>100000</v>
      </c>
      <c r="K4653" t="inlineStr">
        <is>
          <t>02/May/23</t>
        </is>
      </c>
      <c r="M4653" t="inlineStr">
        <is>
          <t>Religieux</t>
        </is>
      </c>
      <c r="R4653" s="22"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2" t="n">
        <v>100000</v>
      </c>
      <c r="K4654" t="inlineStr">
        <is>
          <t>02/May/23</t>
        </is>
      </c>
      <c r="M4654" t="inlineStr">
        <is>
          <t>Divers</t>
        </is>
      </c>
      <c r="R4654" s="22"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2" t="n">
        <v>100000</v>
      </c>
      <c r="K4655" t="inlineStr">
        <is>
          <t>02/May/23</t>
        </is>
      </c>
      <c r="M4655" t="inlineStr">
        <is>
          <t>Divers</t>
        </is>
      </c>
      <c r="R4655" s="22"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2" t="n">
        <v>100000</v>
      </c>
      <c r="K4656" t="inlineStr">
        <is>
          <t>02/May/23</t>
        </is>
      </c>
      <c r="M4656" t="inlineStr">
        <is>
          <t>Religieux</t>
        </is>
      </c>
      <c r="R4656" s="22"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2" t="n">
        <v>100000</v>
      </c>
      <c r="K4657" t="inlineStr">
        <is>
          <t>11/May/23</t>
        </is>
      </c>
      <c r="M4657" t="inlineStr">
        <is>
          <t>Religieux</t>
        </is>
      </c>
      <c r="R4657" s="22"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2" t="n">
        <v>100000</v>
      </c>
      <c r="K4658" t="inlineStr">
        <is>
          <t>17/May/23</t>
        </is>
      </c>
      <c r="M4658" t="inlineStr">
        <is>
          <t>Education</t>
        </is>
      </c>
      <c r="R4658" s="22"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2" t="n">
        <v>100000</v>
      </c>
      <c r="K4659" t="inlineStr">
        <is>
          <t>17/May/23</t>
        </is>
      </c>
      <c r="M4659" t="inlineStr">
        <is>
          <t>Education</t>
        </is>
      </c>
      <c r="R4659" s="22"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2" t="n">
        <v>100000</v>
      </c>
      <c r="K4660" t="inlineStr">
        <is>
          <t>17/May/23</t>
        </is>
      </c>
      <c r="M4660" t="inlineStr">
        <is>
          <t>Education</t>
        </is>
      </c>
      <c r="R4660" s="22"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2" t="n">
        <v>100000</v>
      </c>
      <c r="K4661" t="inlineStr">
        <is>
          <t>17/May/23</t>
        </is>
      </c>
      <c r="M4661" t="inlineStr">
        <is>
          <t>Education</t>
        </is>
      </c>
      <c r="R4661" s="22"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2" t="n">
        <v>100000</v>
      </c>
      <c r="K4662" t="inlineStr">
        <is>
          <t>17/May/23</t>
        </is>
      </c>
      <c r="M4662" t="inlineStr">
        <is>
          <t>Education</t>
        </is>
      </c>
      <c r="R4662" s="22"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2" t="n">
        <v>100000</v>
      </c>
      <c r="K4663" t="inlineStr">
        <is>
          <t>01/Jun/23</t>
        </is>
      </c>
      <c r="M4663" t="inlineStr">
        <is>
          <t>Education</t>
        </is>
      </c>
      <c r="R4663" s="22"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2" t="n">
        <v>100000</v>
      </c>
      <c r="K4664" t="inlineStr">
        <is>
          <t>01/Jun/23</t>
        </is>
      </c>
      <c r="M4664" t="inlineStr">
        <is>
          <t>Religieux</t>
        </is>
      </c>
      <c r="R4664" s="22"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2" t="n">
        <v>100000</v>
      </c>
      <c r="K4665" t="inlineStr">
        <is>
          <t>01/Jun/23</t>
        </is>
      </c>
      <c r="M4665" t="inlineStr">
        <is>
          <t>Religieux</t>
        </is>
      </c>
      <c r="R4665" s="22"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2" t="n">
        <v>100000</v>
      </c>
      <c r="K4666" t="inlineStr">
        <is>
          <t>01/Jun/23</t>
        </is>
      </c>
      <c r="M4666" t="inlineStr">
        <is>
          <t>Religieux</t>
        </is>
      </c>
      <c r="R4666" s="22"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2" t="n">
        <v>100000</v>
      </c>
      <c r="K4667" t="inlineStr">
        <is>
          <t>01/Jun/23</t>
        </is>
      </c>
      <c r="M4667" t="inlineStr">
        <is>
          <t>Religieux</t>
        </is>
      </c>
      <c r="R4667" s="22"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2" t="n">
        <v>100000</v>
      </c>
      <c r="K4668" t="inlineStr">
        <is>
          <t>07/Jun/23</t>
        </is>
      </c>
      <c r="M4668" t="inlineStr">
        <is>
          <t>Religieux</t>
        </is>
      </c>
      <c r="R4668" s="22"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2" t="n">
        <v>100000</v>
      </c>
      <c r="K4669" t="inlineStr">
        <is>
          <t>07/Jun/23</t>
        </is>
      </c>
      <c r="M4669" t="inlineStr">
        <is>
          <t>Religieux</t>
        </is>
      </c>
      <c r="R4669" s="22"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2" t="n">
        <v>100000</v>
      </c>
      <c r="K4670" t="inlineStr">
        <is>
          <t>07/Jun/23</t>
        </is>
      </c>
      <c r="M4670" t="inlineStr">
        <is>
          <t>Education</t>
        </is>
      </c>
      <c r="R4670" s="22"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2" t="n">
        <v>100000</v>
      </c>
      <c r="K4671" t="inlineStr">
        <is>
          <t>07/Jun/23</t>
        </is>
      </c>
      <c r="M4671" t="inlineStr">
        <is>
          <t>Environnement</t>
        </is>
      </c>
      <c r="R4671" s="22"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2" t="n">
        <v>100000</v>
      </c>
      <c r="K4672" t="inlineStr">
        <is>
          <t>14/Jun/23</t>
        </is>
      </c>
      <c r="M4672" t="inlineStr">
        <is>
          <t>Education</t>
        </is>
      </c>
      <c r="R4672" s="22"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2" t="n">
        <v>100000</v>
      </c>
      <c r="K4673" t="inlineStr">
        <is>
          <t>14/Jun/23</t>
        </is>
      </c>
      <c r="M4673" t="inlineStr">
        <is>
          <t>Education</t>
        </is>
      </c>
      <c r="R4673" s="22"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2" t="n">
        <v>100000</v>
      </c>
      <c r="K4674" t="inlineStr">
        <is>
          <t>14/Jun/23</t>
        </is>
      </c>
      <c r="M4674" t="inlineStr">
        <is>
          <t>Education</t>
        </is>
      </c>
      <c r="R4674" s="22"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2" t="n">
        <v>100000</v>
      </c>
      <c r="K4675" t="inlineStr">
        <is>
          <t>01/Jul/23</t>
        </is>
      </c>
      <c r="M4675" t="inlineStr">
        <is>
          <t>Appuis divers</t>
        </is>
      </c>
      <c r="R4675" s="22"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2" t="n">
        <v>100000</v>
      </c>
      <c r="K4676" t="inlineStr">
        <is>
          <t>01/Jul/23</t>
        </is>
      </c>
      <c r="M4676" t="inlineStr">
        <is>
          <t>Appuis divers</t>
        </is>
      </c>
      <c r="R4676" s="22"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2" t="n">
        <v>100000</v>
      </c>
      <c r="K4677" t="inlineStr">
        <is>
          <t>01/Jul/23</t>
        </is>
      </c>
      <c r="M4677" t="inlineStr">
        <is>
          <t>Education</t>
        </is>
      </c>
      <c r="R4677" s="22"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2" t="n">
        <v>100000</v>
      </c>
      <c r="K4678" t="inlineStr">
        <is>
          <t>01/Jul/23</t>
        </is>
      </c>
      <c r="M4678" t="inlineStr">
        <is>
          <t>Education</t>
        </is>
      </c>
      <c r="R4678" s="22"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2" t="n">
        <v>100000</v>
      </c>
      <c r="K4679" t="inlineStr">
        <is>
          <t>10/Jul/23</t>
        </is>
      </c>
      <c r="M4679" t="inlineStr">
        <is>
          <t>Appuis divers</t>
        </is>
      </c>
      <c r="R4679" s="22"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2" t="n">
        <v>100000</v>
      </c>
      <c r="K4680" t="inlineStr">
        <is>
          <t>10/Jul/23</t>
        </is>
      </c>
      <c r="M4680" t="inlineStr">
        <is>
          <t>Appuis divers</t>
        </is>
      </c>
      <c r="R4680" s="22"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2" t="n">
        <v>100000</v>
      </c>
      <c r="K4681" t="inlineStr">
        <is>
          <t>10/Jul/23</t>
        </is>
      </c>
      <c r="M4681" t="inlineStr">
        <is>
          <t>Education</t>
        </is>
      </c>
      <c r="R4681" s="22"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2" t="n">
        <v>100000</v>
      </c>
      <c r="K4682" t="inlineStr">
        <is>
          <t>17/Jul/23</t>
        </is>
      </c>
      <c r="M4682" t="inlineStr">
        <is>
          <t>Religieux</t>
        </is>
      </c>
      <c r="R4682" s="22"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2" t="n">
        <v>100000</v>
      </c>
      <c r="K4683" t="inlineStr">
        <is>
          <t>17/Jul/23</t>
        </is>
      </c>
      <c r="M4683" t="inlineStr">
        <is>
          <t>Religieux</t>
        </is>
      </c>
      <c r="R4683" s="22"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2" t="n">
        <v>100000</v>
      </c>
      <c r="K4684" t="inlineStr">
        <is>
          <t>17/Jul/23</t>
        </is>
      </c>
      <c r="M4684" t="inlineStr">
        <is>
          <t>Appuis divers</t>
        </is>
      </c>
      <c r="R4684" s="22"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2" t="n">
        <v>100000</v>
      </c>
      <c r="K4685" t="inlineStr">
        <is>
          <t>23/Aug/23</t>
        </is>
      </c>
      <c r="M4685" t="inlineStr">
        <is>
          <t>Appuis divers</t>
        </is>
      </c>
      <c r="R4685" s="22"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2" t="n">
        <v>100000</v>
      </c>
      <c r="K4686" t="inlineStr">
        <is>
          <t>28/Aug/23</t>
        </is>
      </c>
      <c r="M4686" t="inlineStr">
        <is>
          <t>Appuis divers</t>
        </is>
      </c>
      <c r="R4686" s="22"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2" t="n">
        <v>100000</v>
      </c>
      <c r="K4687" t="inlineStr">
        <is>
          <t>28/Aug/23</t>
        </is>
      </c>
      <c r="M4687" t="inlineStr">
        <is>
          <t>Education</t>
        </is>
      </c>
      <c r="R4687" s="22"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2" t="n">
        <v>100000</v>
      </c>
      <c r="K4688" s="23" t="n">
        <v>45170</v>
      </c>
      <c r="M4688" t="inlineStr">
        <is>
          <t>Appuis divers</t>
        </is>
      </c>
      <c r="R4688" s="22"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2" t="n">
        <v>100000</v>
      </c>
      <c r="K4689" s="23" t="n">
        <v>45177</v>
      </c>
      <c r="M4689" t="inlineStr">
        <is>
          <t>Appuis divers</t>
        </is>
      </c>
      <c r="R4689" s="22"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2" t="n">
        <v>100000</v>
      </c>
      <c r="K4690" s="23" t="n">
        <v>45190</v>
      </c>
      <c r="M4690" t="inlineStr">
        <is>
          <t>Religieux</t>
        </is>
      </c>
      <c r="R4690" s="22"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2" t="n">
        <v>100000</v>
      </c>
      <c r="K4691" s="23" t="n">
        <v>45204</v>
      </c>
      <c r="M4691" t="inlineStr">
        <is>
          <t>Appuis divers</t>
        </is>
      </c>
      <c r="R4691" s="22"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2" t="n">
        <v>100000</v>
      </c>
      <c r="K4692" s="23" t="n">
        <v>45232</v>
      </c>
      <c r="M4692" t="inlineStr">
        <is>
          <t>Appuis divers</t>
        </is>
      </c>
      <c r="R4692" s="22"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2" t="n">
        <v>100000</v>
      </c>
      <c r="K4693" s="23" t="n">
        <v>45170</v>
      </c>
      <c r="R4693" s="22"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2" t="n">
        <v>100000</v>
      </c>
      <c r="K4694" t="inlineStr">
        <is>
          <t>08/03/2023</t>
        </is>
      </c>
      <c r="L4694" t="inlineStr">
        <is>
          <t>Appuis divers</t>
        </is>
      </c>
      <c r="R4694" s="22"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2" t="n">
        <v>100000</v>
      </c>
      <c r="K4695" t="inlineStr">
        <is>
          <t>08/05/2023</t>
        </is>
      </c>
      <c r="L4695" t="inlineStr">
        <is>
          <t>Appuis divers</t>
        </is>
      </c>
      <c r="R4695" s="22"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2" t="n">
        <v>100000</v>
      </c>
      <c r="K4696" t="inlineStr">
        <is>
          <t>30/03/2023</t>
        </is>
      </c>
      <c r="L4696" t="inlineStr">
        <is>
          <t>Appuis divers</t>
        </is>
      </c>
      <c r="R4696" s="22"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2" t="n">
        <v>100000</v>
      </c>
      <c r="K4697" t="inlineStr">
        <is>
          <t>22/02/2023</t>
        </is>
      </c>
      <c r="L4697" t="inlineStr">
        <is>
          <t>Appuis divers</t>
        </is>
      </c>
      <c r="R4697" s="22"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2" t="n">
        <v>100000</v>
      </c>
      <c r="K4698" t="inlineStr">
        <is>
          <t>08/03/2023</t>
        </is>
      </c>
      <c r="L4698" t="inlineStr">
        <is>
          <t>Appuis divers</t>
        </is>
      </c>
      <c r="R4698" s="22"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2" t="n">
        <v>100000</v>
      </c>
      <c r="K4699" t="inlineStr">
        <is>
          <t>28/03/2023</t>
        </is>
      </c>
      <c r="L4699" t="inlineStr">
        <is>
          <t>Appuis divers</t>
        </is>
      </c>
      <c r="R4699" s="22"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2" t="n">
        <v>100000</v>
      </c>
      <c r="K4700" t="inlineStr">
        <is>
          <t>12/04/2023</t>
        </is>
      </c>
      <c r="L4700" t="inlineStr">
        <is>
          <t>Appuis divers</t>
        </is>
      </c>
      <c r="R4700" s="22"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2" t="n">
        <v>100000</v>
      </c>
      <c r="K4701" t="inlineStr">
        <is>
          <t>14/04/2023</t>
        </is>
      </c>
      <c r="L4701" t="inlineStr">
        <is>
          <t>Appuis divers</t>
        </is>
      </c>
      <c r="R4701" s="22"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2" t="n">
        <v>100000</v>
      </c>
      <c r="K4702" t="inlineStr">
        <is>
          <t>27/04/2023</t>
        </is>
      </c>
      <c r="L4702" t="inlineStr">
        <is>
          <t>Appuis divers</t>
        </is>
      </c>
      <c r="R4702" s="22"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2" t="n">
        <v>100000</v>
      </c>
      <c r="K4703" t="inlineStr">
        <is>
          <t>08/05/2023</t>
        </is>
      </c>
      <c r="L4703" t="inlineStr">
        <is>
          <t>Appuis divers</t>
        </is>
      </c>
      <c r="R4703" s="22"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2" t="n">
        <v>100000</v>
      </c>
      <c r="K4704" t="inlineStr">
        <is>
          <t>01/06/2023</t>
        </is>
      </c>
      <c r="L4704" t="inlineStr">
        <is>
          <t>Appuis divers</t>
        </is>
      </c>
      <c r="R4704" s="22"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2" t="n">
        <v>100000</v>
      </c>
      <c r="K4705" t="inlineStr">
        <is>
          <t>01/06/2023</t>
        </is>
      </c>
      <c r="L4705" t="inlineStr">
        <is>
          <t>Appuis divers</t>
        </is>
      </c>
      <c r="R4705" s="22"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2" t="n">
        <v>100000</v>
      </c>
      <c r="K4706" t="inlineStr">
        <is>
          <t>01/06/2023</t>
        </is>
      </c>
      <c r="L4706" t="inlineStr">
        <is>
          <t>Appuis divers</t>
        </is>
      </c>
      <c r="R4706" s="22"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2" t="n">
        <v>100000</v>
      </c>
      <c r="K4707" t="inlineStr">
        <is>
          <t>26/07/2023</t>
        </is>
      </c>
      <c r="L4707" t="inlineStr">
        <is>
          <t>Appuis divers</t>
        </is>
      </c>
      <c r="R4707" s="22"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2" t="n">
        <v>100000</v>
      </c>
      <c r="K4708" t="inlineStr">
        <is>
          <t>04/10/2023</t>
        </is>
      </c>
      <c r="L4708" t="inlineStr">
        <is>
          <t>Appuis divers</t>
        </is>
      </c>
      <c r="R4708" s="22"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2" t="n">
        <v>100000</v>
      </c>
      <c r="K4709" t="inlineStr">
        <is>
          <t>11/12/2023</t>
        </is>
      </c>
      <c r="L4709" t="inlineStr">
        <is>
          <t>Appuis divers</t>
        </is>
      </c>
      <c r="R4709" s="22"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2" t="n">
        <v>100000</v>
      </c>
      <c r="K4710" t="inlineStr">
        <is>
          <t>11/12/2023</t>
        </is>
      </c>
      <c r="L4710" t="inlineStr">
        <is>
          <t>Appuis divers</t>
        </is>
      </c>
      <c r="R4710" s="22"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2"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2"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2"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2"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2"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2"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2"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2"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2"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2"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2"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2"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2"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2"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2"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2"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2"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2"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2"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2"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2"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2"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2"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2" t="n">
        <v>43839</v>
      </c>
      <c r="K4734" t="inlineStr">
        <is>
          <t>CULTURE</t>
        </is>
      </c>
      <c r="L4734" t="inlineStr">
        <is>
          <t>SOUTIEN ORG TAKUSSANU BOOK XOL</t>
        </is>
      </c>
      <c r="M4734" t="inlineStr">
        <is>
          <t xml:space="preserve">Néant </t>
        </is>
      </c>
      <c r="N4734" t="inlineStr">
        <is>
          <t xml:space="preserve">Néant </t>
        </is>
      </c>
      <c r="O4734" t="inlineStr">
        <is>
          <t>NC</t>
        </is>
      </c>
      <c r="R4734" s="22"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2"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2"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2" t="n">
        <v>43853</v>
      </c>
      <c r="K4736" t="inlineStr">
        <is>
          <t>CAPACITATION DES FEMMES</t>
        </is>
      </c>
      <c r="L4736" t="inlineStr">
        <is>
          <t>FRAIS ORG FINANCEMENT GIE</t>
        </is>
      </c>
      <c r="M4736" t="inlineStr">
        <is>
          <t xml:space="preserve">Néant </t>
        </is>
      </c>
      <c r="N4736" t="inlineStr">
        <is>
          <t xml:space="preserve">Néant </t>
        </is>
      </c>
      <c r="O4736" t="inlineStr">
        <is>
          <t>NC</t>
        </is>
      </c>
      <c r="R4736" s="22"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2" t="n">
        <v>43872</v>
      </c>
      <c r="K4737" t="inlineStr">
        <is>
          <t>CULTURE</t>
        </is>
      </c>
      <c r="L4737" t="inlineStr">
        <is>
          <t>SOUTIEN ORG CONFERENCE GRP SOPEY NABY</t>
        </is>
      </c>
      <c r="M4737" t="inlineStr">
        <is>
          <t xml:space="preserve">Néant </t>
        </is>
      </c>
      <c r="N4737" t="inlineStr">
        <is>
          <t xml:space="preserve">Néant </t>
        </is>
      </c>
      <c r="O4737" t="inlineStr">
        <is>
          <t>NC</t>
        </is>
      </c>
      <c r="R4737" s="22"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2" t="n">
        <v>43873</v>
      </c>
      <c r="K4738" t="inlineStr">
        <is>
          <t>CULTURE</t>
        </is>
      </c>
      <c r="L4738" t="inlineStr">
        <is>
          <t>SOUTIEN ORG CONFERENCE GRP SOPEY MOUTAKH</t>
        </is>
      </c>
      <c r="M4738" t="inlineStr">
        <is>
          <t xml:space="preserve">Néant </t>
        </is>
      </c>
      <c r="N4738" t="inlineStr">
        <is>
          <t xml:space="preserve">Néant </t>
        </is>
      </c>
      <c r="O4738" t="inlineStr">
        <is>
          <t>NC</t>
        </is>
      </c>
      <c r="R4738" s="22"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2" t="n">
        <v>43875</v>
      </c>
      <c r="K4739" t="inlineStr">
        <is>
          <t>APPUI DIVERS</t>
        </is>
      </c>
      <c r="L4739" t="inlineStr">
        <is>
          <t>APPUI CONDOLEANCES</t>
        </is>
      </c>
      <c r="M4739" t="inlineStr">
        <is>
          <t xml:space="preserve">Néant </t>
        </is>
      </c>
      <c r="N4739" t="inlineStr">
        <is>
          <t xml:space="preserve">Néant </t>
        </is>
      </c>
      <c r="O4739" t="inlineStr">
        <is>
          <t>NC</t>
        </is>
      </c>
      <c r="R4739" s="22"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2" t="n">
        <v>44104</v>
      </c>
      <c r="K4740" t="inlineStr">
        <is>
          <t>CULTURE</t>
        </is>
      </c>
      <c r="L4740" t="inlineStr">
        <is>
          <t>SOUTIEN FAMILLE GORAM NDIEYE DAROU NDIAY</t>
        </is>
      </c>
      <c r="M4740" t="inlineStr">
        <is>
          <t xml:space="preserve">Néant </t>
        </is>
      </c>
      <c r="N4740" t="inlineStr">
        <is>
          <t xml:space="preserve">Néant </t>
        </is>
      </c>
      <c r="O4740" t="inlineStr">
        <is>
          <t>NC</t>
        </is>
      </c>
      <c r="R4740" s="22"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2" t="n">
        <v>44131</v>
      </c>
      <c r="K4741" t="inlineStr">
        <is>
          <t>CULTURE</t>
        </is>
      </c>
      <c r="L4741" t="inlineStr">
        <is>
          <t>SOUTIEN ORG PROG ONG VILLAG DAROU FALL</t>
        </is>
      </c>
      <c r="M4741" t="inlineStr">
        <is>
          <t xml:space="preserve">Néant </t>
        </is>
      </c>
      <c r="N4741" t="inlineStr">
        <is>
          <t xml:space="preserve">Néant </t>
        </is>
      </c>
      <c r="O4741" t="inlineStr">
        <is>
          <t>NC</t>
        </is>
      </c>
      <c r="R4741" s="22"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2" t="n">
        <v>44154</v>
      </c>
      <c r="K4742" t="inlineStr">
        <is>
          <t>APPUI DIVERS</t>
        </is>
      </c>
      <c r="L4742" t="inlineStr">
        <is>
          <t>SUBVENTION TRAVAUX KHLECOM</t>
        </is>
      </c>
      <c r="M4742" t="inlineStr">
        <is>
          <t xml:space="preserve">Néant </t>
        </is>
      </c>
      <c r="N4742" t="inlineStr">
        <is>
          <t xml:space="preserve">Néant </t>
        </is>
      </c>
      <c r="O4742" t="inlineStr">
        <is>
          <t>NC</t>
        </is>
      </c>
      <c r="R4742" s="22"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2" t="n">
        <v>44165</v>
      </c>
      <c r="K4743" t="inlineStr">
        <is>
          <t>NC</t>
        </is>
      </c>
      <c r="L4743" t="inlineStr">
        <is>
          <t>NC</t>
        </is>
      </c>
      <c r="M4743" t="inlineStr">
        <is>
          <t xml:space="preserve">Néant </t>
        </is>
      </c>
      <c r="N4743" t="inlineStr">
        <is>
          <t xml:space="preserve">Néant </t>
        </is>
      </c>
      <c r="O4743" t="inlineStr">
        <is>
          <t>NC</t>
        </is>
      </c>
      <c r="R4743" s="22"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2" t="n">
        <v>44165</v>
      </c>
      <c r="K4744" t="inlineStr">
        <is>
          <t>NC</t>
        </is>
      </c>
      <c r="L4744" t="inlineStr">
        <is>
          <t>NC</t>
        </is>
      </c>
      <c r="M4744" t="inlineStr">
        <is>
          <t xml:space="preserve">Néant </t>
        </is>
      </c>
      <c r="N4744" t="inlineStr">
        <is>
          <t xml:space="preserve">Néant </t>
        </is>
      </c>
      <c r="O4744" t="inlineStr">
        <is>
          <t>NC</t>
        </is>
      </c>
      <c r="R4744" s="22"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2" t="n">
        <v>44165</v>
      </c>
      <c r="K4745" t="inlineStr">
        <is>
          <t>NC</t>
        </is>
      </c>
      <c r="L4745" t="inlineStr">
        <is>
          <t>NC</t>
        </is>
      </c>
      <c r="M4745" t="inlineStr">
        <is>
          <t xml:space="preserve">Néant </t>
        </is>
      </c>
      <c r="N4745" t="inlineStr">
        <is>
          <t xml:space="preserve">Néant </t>
        </is>
      </c>
      <c r="O4745" t="inlineStr">
        <is>
          <t>NC</t>
        </is>
      </c>
      <c r="R4745" s="22"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2" t="n">
        <v>44165</v>
      </c>
      <c r="K4746" t="inlineStr">
        <is>
          <t>NC</t>
        </is>
      </c>
      <c r="L4746" t="inlineStr">
        <is>
          <t>NC</t>
        </is>
      </c>
      <c r="M4746" t="inlineStr">
        <is>
          <t xml:space="preserve">Néant </t>
        </is>
      </c>
      <c r="N4746" t="inlineStr">
        <is>
          <t xml:space="preserve">Néant </t>
        </is>
      </c>
      <c r="O4746" t="inlineStr">
        <is>
          <t>NC</t>
        </is>
      </c>
      <c r="R4746" s="22"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2" t="n">
        <v>44165</v>
      </c>
      <c r="K4747" t="inlineStr">
        <is>
          <t>NC</t>
        </is>
      </c>
      <c r="L4747" t="inlineStr">
        <is>
          <t>NC</t>
        </is>
      </c>
      <c r="M4747" t="inlineStr">
        <is>
          <t xml:space="preserve">Néant </t>
        </is>
      </c>
      <c r="N4747" t="inlineStr">
        <is>
          <t xml:space="preserve">Néant </t>
        </is>
      </c>
      <c r="O4747" t="inlineStr">
        <is>
          <t>NC</t>
        </is>
      </c>
      <c r="R4747" s="22"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2" t="n">
        <v>44165</v>
      </c>
      <c r="K4748" t="inlineStr">
        <is>
          <t>NC</t>
        </is>
      </c>
      <c r="L4748" t="inlineStr">
        <is>
          <t>NC</t>
        </is>
      </c>
      <c r="M4748" t="inlineStr">
        <is>
          <t xml:space="preserve">Néant </t>
        </is>
      </c>
      <c r="N4748" t="inlineStr">
        <is>
          <t xml:space="preserve">Néant </t>
        </is>
      </c>
      <c r="O4748" t="inlineStr">
        <is>
          <t>NC</t>
        </is>
      </c>
      <c r="R4748" s="22"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2" t="n">
        <v>44165</v>
      </c>
      <c r="K4749" t="inlineStr">
        <is>
          <t>NC</t>
        </is>
      </c>
      <c r="L4749" t="inlineStr">
        <is>
          <t>NC</t>
        </is>
      </c>
      <c r="M4749" t="inlineStr">
        <is>
          <t xml:space="preserve">Néant </t>
        </is>
      </c>
      <c r="N4749" t="inlineStr">
        <is>
          <t xml:space="preserve">Néant </t>
        </is>
      </c>
      <c r="O4749" t="inlineStr">
        <is>
          <t>NC</t>
        </is>
      </c>
      <c r="R4749" s="22"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2" t="n">
        <v>44165</v>
      </c>
      <c r="K4750" t="inlineStr">
        <is>
          <t>NC</t>
        </is>
      </c>
      <c r="L4750" t="inlineStr">
        <is>
          <t>NC</t>
        </is>
      </c>
      <c r="M4750" t="inlineStr">
        <is>
          <t xml:space="preserve">Néant </t>
        </is>
      </c>
      <c r="N4750" t="inlineStr">
        <is>
          <t xml:space="preserve">Néant </t>
        </is>
      </c>
      <c r="O4750" t="inlineStr">
        <is>
          <t>NC</t>
        </is>
      </c>
      <c r="R4750" s="22"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2" t="n">
        <v>44165</v>
      </c>
      <c r="K4751" t="inlineStr">
        <is>
          <t>NC</t>
        </is>
      </c>
      <c r="L4751" t="inlineStr">
        <is>
          <t>NC</t>
        </is>
      </c>
      <c r="M4751" t="inlineStr">
        <is>
          <t xml:space="preserve">Néant </t>
        </is>
      </c>
      <c r="N4751" t="inlineStr">
        <is>
          <t xml:space="preserve">Néant </t>
        </is>
      </c>
      <c r="O4751" t="inlineStr">
        <is>
          <t>NC</t>
        </is>
      </c>
      <c r="R4751" s="22"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2" t="n">
        <v>44165</v>
      </c>
      <c r="K4752" t="inlineStr">
        <is>
          <t>NC</t>
        </is>
      </c>
      <c r="L4752" t="inlineStr">
        <is>
          <t>NC</t>
        </is>
      </c>
      <c r="M4752" t="inlineStr">
        <is>
          <t xml:space="preserve">Néant </t>
        </is>
      </c>
      <c r="N4752" t="inlineStr">
        <is>
          <t xml:space="preserve">Néant </t>
        </is>
      </c>
      <c r="O4752" t="inlineStr">
        <is>
          <t>NC</t>
        </is>
      </c>
      <c r="R4752" s="22"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2" t="n">
        <v>44165</v>
      </c>
      <c r="K4753" t="inlineStr">
        <is>
          <t>NC</t>
        </is>
      </c>
      <c r="L4753" t="inlineStr">
        <is>
          <t>NC</t>
        </is>
      </c>
      <c r="M4753" t="inlineStr">
        <is>
          <t xml:space="preserve">Néant </t>
        </is>
      </c>
      <c r="N4753" t="inlineStr">
        <is>
          <t xml:space="preserve">Néant </t>
        </is>
      </c>
      <c r="O4753" t="inlineStr">
        <is>
          <t>NC</t>
        </is>
      </c>
      <c r="R4753" s="22"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2" t="n">
        <v>44165</v>
      </c>
      <c r="K4754" t="inlineStr">
        <is>
          <t>NC</t>
        </is>
      </c>
      <c r="L4754" t="inlineStr">
        <is>
          <t>NC</t>
        </is>
      </c>
      <c r="M4754" t="inlineStr">
        <is>
          <t xml:space="preserve">Néant </t>
        </is>
      </c>
      <c r="N4754" t="inlineStr">
        <is>
          <t xml:space="preserve">Néant </t>
        </is>
      </c>
      <c r="O4754" t="inlineStr">
        <is>
          <t>NC</t>
        </is>
      </c>
      <c r="R4754" s="22"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2" t="n">
        <v>44165</v>
      </c>
      <c r="K4755" t="inlineStr">
        <is>
          <t>NC</t>
        </is>
      </c>
      <c r="L4755" t="inlineStr">
        <is>
          <t>NC</t>
        </is>
      </c>
      <c r="M4755" t="inlineStr">
        <is>
          <t xml:space="preserve">Néant </t>
        </is>
      </c>
      <c r="N4755" t="inlineStr">
        <is>
          <t xml:space="preserve">Néant </t>
        </is>
      </c>
      <c r="O4755" t="inlineStr">
        <is>
          <t>NC</t>
        </is>
      </c>
      <c r="R4755" s="22"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2" t="n">
        <v>20000000</v>
      </c>
      <c r="K4756" s="23" t="n">
        <v>44280</v>
      </c>
      <c r="L4756" t="inlineStr">
        <is>
          <t>PUBLICITE</t>
        </is>
      </c>
      <c r="M4756" t="inlineStr">
        <is>
          <t>N/A</t>
        </is>
      </c>
      <c r="N4756" t="inlineStr">
        <is>
          <t>N/A</t>
        </is>
      </c>
      <c r="O4756" t="inlineStr">
        <is>
          <t>N/A</t>
        </is>
      </c>
      <c r="P4756" t="inlineStr">
        <is>
          <t>CONTRAT</t>
        </is>
      </c>
      <c r="R4756" s="22"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2" t="n">
        <v>30000000</v>
      </c>
      <c r="K4757" s="23" t="n">
        <v>44537</v>
      </c>
      <c r="L4757" t="inlineStr">
        <is>
          <t>SANTE</t>
        </is>
      </c>
      <c r="M4757" t="inlineStr">
        <is>
          <t>N/A</t>
        </is>
      </c>
      <c r="N4757" t="inlineStr">
        <is>
          <t>N/A</t>
        </is>
      </c>
      <c r="O4757" t="inlineStr">
        <is>
          <t>N/A</t>
        </is>
      </c>
      <c r="P4757" t="inlineStr">
        <is>
          <t>CONVENTION</t>
        </is>
      </c>
      <c r="R4757" s="22"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2" t="n">
        <v>6187370</v>
      </c>
      <c r="O4758" t="inlineStr">
        <is>
          <t>SF Health</t>
        </is>
      </c>
      <c r="P4758" t="inlineStr">
        <is>
          <t>Obligation de développement social: art.15 de l'avenant 1 à la convention minière de Sabodala du 23 mars 2005</t>
        </is>
      </c>
      <c r="R4758" s="22"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2" t="n">
        <v>44165</v>
      </c>
      <c r="K4759" t="inlineStr">
        <is>
          <t>NC</t>
        </is>
      </c>
      <c r="L4759" t="inlineStr">
        <is>
          <t>NC</t>
        </is>
      </c>
      <c r="M4759" t="inlineStr">
        <is>
          <t xml:space="preserve">Néant </t>
        </is>
      </c>
      <c r="N4759" t="inlineStr">
        <is>
          <t xml:space="preserve">Néant </t>
        </is>
      </c>
      <c r="O4759" t="inlineStr">
        <is>
          <t>NC</t>
        </is>
      </c>
      <c r="R4759" s="22"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2" t="n">
        <v>44165</v>
      </c>
      <c r="K4760" t="inlineStr">
        <is>
          <t>NC</t>
        </is>
      </c>
      <c r="L4760" t="inlineStr">
        <is>
          <t>NC</t>
        </is>
      </c>
      <c r="M4760" t="inlineStr">
        <is>
          <t xml:space="preserve">Néant </t>
        </is>
      </c>
      <c r="N4760" t="inlineStr">
        <is>
          <t xml:space="preserve">Néant </t>
        </is>
      </c>
      <c r="O4760" t="inlineStr">
        <is>
          <t>NC</t>
        </is>
      </c>
      <c r="R4760" s="22"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2" t="n">
        <v>44165</v>
      </c>
      <c r="K4761" t="inlineStr">
        <is>
          <t>NC</t>
        </is>
      </c>
      <c r="L4761" t="inlineStr">
        <is>
          <t>NC</t>
        </is>
      </c>
      <c r="M4761" t="inlineStr">
        <is>
          <t xml:space="preserve">Néant </t>
        </is>
      </c>
      <c r="N4761" t="inlineStr">
        <is>
          <t xml:space="preserve">Néant </t>
        </is>
      </c>
      <c r="O4761" t="inlineStr">
        <is>
          <t>NC</t>
        </is>
      </c>
      <c r="R4761" s="22"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2" t="n">
        <v>7218600</v>
      </c>
      <c r="O4762" t="inlineStr">
        <is>
          <t>SF Health</t>
        </is>
      </c>
      <c r="P4762" t="inlineStr">
        <is>
          <t>Obligation de développement social: art.15 de l'avenant 1 à la convention minière de Sabodala du 23 mars 2005</t>
        </is>
      </c>
      <c r="R4762" s="22"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2" t="n">
        <v>44165</v>
      </c>
      <c r="K4763" t="inlineStr">
        <is>
          <t>NC</t>
        </is>
      </c>
      <c r="L4763" t="inlineStr">
        <is>
          <t>NC</t>
        </is>
      </c>
      <c r="M4763" t="inlineStr">
        <is>
          <t xml:space="preserve">Néant </t>
        </is>
      </c>
      <c r="N4763" t="inlineStr">
        <is>
          <t xml:space="preserve">Néant </t>
        </is>
      </c>
      <c r="O4763" t="inlineStr">
        <is>
          <t>NC</t>
        </is>
      </c>
      <c r="R4763" s="22"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2" t="n">
        <v>550000</v>
      </c>
      <c r="O4764" t="inlineStr">
        <is>
          <t>SF Health</t>
        </is>
      </c>
      <c r="P4764" t="inlineStr">
        <is>
          <t>Obligation de développement social: art.15 de l'avenant 1 à la convention minière de Sabodala du 23 mars 2005</t>
        </is>
      </c>
      <c r="R4764" s="22"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2" t="n">
        <v>300000</v>
      </c>
      <c r="O4765" t="inlineStr">
        <is>
          <t>SF Education</t>
        </is>
      </c>
      <c r="P4765" t="inlineStr">
        <is>
          <t>Obligation de développement social: art.15 de l'avenant 1 à la convention minière de Sabodala du 23 mars 2005</t>
        </is>
      </c>
      <c r="R4765" s="22"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2" t="n">
        <v>200000</v>
      </c>
      <c r="O4766" t="inlineStr">
        <is>
          <t>SF Sport&amp;Culture</t>
        </is>
      </c>
      <c r="P4766" t="inlineStr">
        <is>
          <t>Obligation de développement social: art.15 de l'avenant 1 à la convention minière de Sabodala du 23 mars 2005</t>
        </is>
      </c>
      <c r="R4766" s="22"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2" t="n">
        <v>44165</v>
      </c>
      <c r="K4767" t="inlineStr">
        <is>
          <t>NC</t>
        </is>
      </c>
      <c r="L4767" t="inlineStr">
        <is>
          <t>NC</t>
        </is>
      </c>
      <c r="M4767" t="inlineStr">
        <is>
          <t xml:space="preserve">Néant </t>
        </is>
      </c>
      <c r="N4767" t="inlineStr">
        <is>
          <t xml:space="preserve">Néant </t>
        </is>
      </c>
      <c r="O4767" t="inlineStr">
        <is>
          <t>NC</t>
        </is>
      </c>
      <c r="R4767" s="22"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2" t="n">
        <v>60000</v>
      </c>
      <c r="O4768" t="inlineStr">
        <is>
          <t>SF Water</t>
        </is>
      </c>
      <c r="P4768" t="inlineStr">
        <is>
          <t>Obligation de développement social: art.15 de l'avenant 1 à la convention minière de Sabodala du 23 mars 2005</t>
        </is>
      </c>
      <c r="R4768" s="22"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2" t="n">
        <v>500000</v>
      </c>
      <c r="O4769" t="inlineStr">
        <is>
          <t>SF Education</t>
        </is>
      </c>
      <c r="P4769" t="inlineStr">
        <is>
          <t>Obligation de développement social: art.15 de l'avenant 1 à la convention minière de Sabodala du 23 mars 2005</t>
        </is>
      </c>
      <c r="R4769" s="22"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2" t="n">
        <v>46500</v>
      </c>
      <c r="O4770" t="inlineStr">
        <is>
          <t>SF Water</t>
        </is>
      </c>
      <c r="P4770" t="inlineStr">
        <is>
          <t>Obligation de développement social: art.15 de l'avenant 1 à la convention minière de Sabodala du 23 mars 2005</t>
        </is>
      </c>
      <c r="R4770" s="22"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2" t="n">
        <v>300000</v>
      </c>
      <c r="O4771" t="inlineStr">
        <is>
          <t>SF Sport&amp;Culture</t>
        </is>
      </c>
      <c r="P4771" t="inlineStr">
        <is>
          <t>Obligation de développement social: art.15 de l'avenant 1 à la convention minière de Sabodala du 23 mars 2005</t>
        </is>
      </c>
      <c r="R4771" s="22"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2" t="n">
        <v>115000</v>
      </c>
      <c r="O4772" t="inlineStr">
        <is>
          <t>SF Water</t>
        </is>
      </c>
      <c r="P4772" t="inlineStr">
        <is>
          <t>Obligation de développement social: art.15 de l'avenant 1 à la convention minière de Sabodala du 23 mars 2005</t>
        </is>
      </c>
      <c r="R4772" s="22"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2" t="n">
        <v>200000</v>
      </c>
      <c r="O4773" t="inlineStr">
        <is>
          <t>SF Education</t>
        </is>
      </c>
      <c r="P4773" t="inlineStr">
        <is>
          <t>Obligation de développement social: art.15 de l'avenant 1 à la convention minière de Sabodala du 23 mars 2005</t>
        </is>
      </c>
      <c r="R4773" s="22"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2" t="n">
        <v>4053405</v>
      </c>
      <c r="O4774" t="inlineStr">
        <is>
          <t>SF Education</t>
        </is>
      </c>
      <c r="P4774" t="inlineStr">
        <is>
          <t>Obligation de développement social: art.15 de l'avenant 1 à la convention minière de Sabodala du 23 mars 2005</t>
        </is>
      </c>
      <c r="R4774" s="22"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2" t="n">
        <v>3648064.5</v>
      </c>
      <c r="O4775" t="inlineStr">
        <is>
          <t>SF Education</t>
        </is>
      </c>
      <c r="P4775" t="inlineStr">
        <is>
          <t>Obligation de développement social: art.15 de l'avenant 1 à la convention minière de Sabodala du 23 mars 2005</t>
        </is>
      </c>
      <c r="R4775" s="22"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2" t="n">
        <v>689900</v>
      </c>
      <c r="O4776" t="inlineStr">
        <is>
          <t>SF General</t>
        </is>
      </c>
      <c r="P4776" t="inlineStr">
        <is>
          <t>Obligation de développement social: art.15 de l'avenant 1 à la convention minière de Sabodala du 23 mars 2005</t>
        </is>
      </c>
      <c r="R4776" s="22"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2" t="n">
        <v>689900</v>
      </c>
      <c r="O4777" t="inlineStr">
        <is>
          <t>SF General</t>
        </is>
      </c>
      <c r="P4777" t="inlineStr">
        <is>
          <t>Obligation de développement social: art.15 de l'avenant 1 à la convention minière de Sabodala du 23 mars 2005</t>
        </is>
      </c>
      <c r="R4777" s="22"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2" t="n">
        <v>2310000</v>
      </c>
      <c r="O4778" t="inlineStr">
        <is>
          <t>SF Education</t>
        </is>
      </c>
      <c r="P4778" t="inlineStr">
        <is>
          <t>Obligation de développement social: art.15 de l'avenant 1 à la convention minière de Sabodala du 23 mars 2005</t>
        </is>
      </c>
      <c r="R4778" s="22"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2" t="n">
        <v>126000</v>
      </c>
      <c r="O4779" t="inlineStr">
        <is>
          <t>SF Water</t>
        </is>
      </c>
      <c r="P4779" t="inlineStr">
        <is>
          <t>Obligation de développement social: art.15 de l'avenant 1 à la convention minière de Sabodala du 23 mars 2005</t>
        </is>
      </c>
      <c r="R4779" s="22"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2" t="n">
        <v>115000</v>
      </c>
      <c r="O4780" t="inlineStr">
        <is>
          <t>SF Water</t>
        </is>
      </c>
      <c r="P4780" t="inlineStr">
        <is>
          <t>Obligation de développement social: art.15 de l'avenant 1 à la convention minière de Sabodala du 23 mars 2005</t>
        </is>
      </c>
      <c r="R4780" s="22"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2" t="n">
        <v>500000</v>
      </c>
      <c r="O4781" t="inlineStr">
        <is>
          <t>SF Sport&amp;Culture</t>
        </is>
      </c>
      <c r="P4781" t="inlineStr">
        <is>
          <t>Obligation de développement social: art.15 de l'avenant 1 à la convention minière de Sabodala du 23 mars 2005</t>
        </is>
      </c>
      <c r="R4781" s="22"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2" t="n">
        <v>1000000</v>
      </c>
      <c r="O4782" t="inlineStr">
        <is>
          <t>SF Water</t>
        </is>
      </c>
      <c r="P4782" t="inlineStr">
        <is>
          <t>Obligation de développement social: art.15 de l'avenant 1 à la convention minière de Sabodala du 23 mars 2005</t>
        </is>
      </c>
      <c r="R4782" s="22"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2" t="n">
        <v>13959172.2</v>
      </c>
      <c r="O4783" t="inlineStr">
        <is>
          <t>SF Health</t>
        </is>
      </c>
      <c r="P4783" t="inlineStr">
        <is>
          <t>Obligation de développement social: art.15 de l'avenant 1 à la convention minière de Sabodala du 23 mars 2005</t>
        </is>
      </c>
      <c r="R4783" s="22"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2" t="n">
        <v>13959172.2</v>
      </c>
      <c r="O4784" t="inlineStr">
        <is>
          <t>SF Health</t>
        </is>
      </c>
      <c r="P4784" t="inlineStr">
        <is>
          <t>Obligation de développement social: art.15 de l'avenant 1 à la convention minière de Sabodala du 23 mars 2005</t>
        </is>
      </c>
      <c r="R4784" s="22"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2" t="n">
        <v>149500</v>
      </c>
      <c r="O4785" t="inlineStr">
        <is>
          <t>SF Health</t>
        </is>
      </c>
      <c r="P4785" t="inlineStr">
        <is>
          <t>Obligation de développement social: art.15 de l'avenant 1 à la convention minière de Sabodala du 23 mars 2005</t>
        </is>
      </c>
      <c r="R4785" s="22"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2" t="n">
        <v>299000</v>
      </c>
      <c r="O4786" t="inlineStr">
        <is>
          <t>SF Education</t>
        </is>
      </c>
      <c r="P4786" t="inlineStr">
        <is>
          <t>Obligation de développement social: art.15 de l'avenant 1 à la convention minière de Sabodala du 23 mars 2005</t>
        </is>
      </c>
      <c r="R4786" s="22"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2" t="n">
        <v>200000</v>
      </c>
      <c r="O4787" t="inlineStr">
        <is>
          <t>SF Water</t>
        </is>
      </c>
      <c r="P4787" t="inlineStr">
        <is>
          <t>Obligation de développement social: art.15 de l'avenant 1 à la convention minière de Sabodala du 23 mars 2005</t>
        </is>
      </c>
      <c r="R4787" s="22"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2" t="n">
        <v>500000</v>
      </c>
      <c r="O4788" t="inlineStr">
        <is>
          <t>SF Education</t>
        </is>
      </c>
      <c r="P4788" t="inlineStr">
        <is>
          <t>Obligation de développement social: art.15 de l'avenant 1 à la convention minière de Sabodala du 23 mars 2005</t>
        </is>
      </c>
      <c r="R4788" s="22"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2" t="n">
        <v>500000</v>
      </c>
      <c r="O4789" t="inlineStr">
        <is>
          <t>SF Health</t>
        </is>
      </c>
      <c r="P4789" t="inlineStr">
        <is>
          <t>Obligation de développement social: art.15 de l'avenant 1 à la convention minière de Sabodala du 23 mars 2005</t>
        </is>
      </c>
      <c r="R4789" s="22"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2" t="n">
        <v>6500000</v>
      </c>
      <c r="O4790" t="inlineStr">
        <is>
          <t>SF Health</t>
        </is>
      </c>
      <c r="P4790" t="inlineStr">
        <is>
          <t>Obligation de développement social: art.15 de l'avenant 1 à la convention minière de Sabodala du 23 mars 2005</t>
        </is>
      </c>
      <c r="R4790" s="22"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2" t="n">
        <v>205200</v>
      </c>
      <c r="O4791" t="inlineStr">
        <is>
          <t>SF Livelihood (Income Generation)</t>
        </is>
      </c>
      <c r="P4791" t="inlineStr">
        <is>
          <t>Obligation de développement social: art.15 de l'avenant 1 à la convention minière de Sabodala du 23 mars 2005</t>
        </is>
      </c>
      <c r="R4791" s="22"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2" t="n">
        <v>4500000</v>
      </c>
      <c r="O4792" t="inlineStr">
        <is>
          <t>SF Health</t>
        </is>
      </c>
      <c r="P4792" t="inlineStr">
        <is>
          <t>Obligation de développement social: art.15 de l'avenant 1 à la convention minière de Sabodala du 23 mars 2005</t>
        </is>
      </c>
      <c r="R4792" s="22"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2" t="n">
        <v>200000</v>
      </c>
      <c r="O4793" t="inlineStr">
        <is>
          <t>SF Education</t>
        </is>
      </c>
      <c r="P4793" t="inlineStr">
        <is>
          <t>Obligation de développement social: art.15 de l'avenant 1 à la convention minière de Sabodala du 23 mars 2005</t>
        </is>
      </c>
      <c r="R4793" s="22"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2" t="n">
        <v>858000</v>
      </c>
      <c r="O4794" t="inlineStr">
        <is>
          <t>SF Livelihood (Income Generation)</t>
        </is>
      </c>
      <c r="P4794" t="inlineStr">
        <is>
          <t>Obligation de développement social: art.15 de l'avenant 1 à la convention minière de Sabodala du 23 mars 2005</t>
        </is>
      </c>
      <c r="R4794" s="22"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2" t="n">
        <v>1559950</v>
      </c>
      <c r="O4795" t="inlineStr">
        <is>
          <t>SF Livelihood (Income Generation)</t>
        </is>
      </c>
      <c r="P4795" t="inlineStr">
        <is>
          <t>Obligation de développement social: art.15 de l'avenant 1 à la convention minière de Sabodala du 23 mars 2005</t>
        </is>
      </c>
      <c r="R4795" s="22"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2" t="n">
        <v>500000</v>
      </c>
      <c r="O4796" t="inlineStr">
        <is>
          <t>SF Education</t>
        </is>
      </c>
      <c r="P4796" t="inlineStr">
        <is>
          <t>Obligation de développement social: art.15 de l'avenant 1 à la convention minière de Sabodala du 23 mars 2005</t>
        </is>
      </c>
      <c r="R4796" s="22"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2" t="n">
        <v>8506385.52</v>
      </c>
      <c r="O4797" t="inlineStr">
        <is>
          <t>SF Health</t>
        </is>
      </c>
      <c r="P4797" t="inlineStr">
        <is>
          <t>Obligation de développement social: art.15 de l'avenant 1 à la convention minière de Sabodala du 23 mars 2005</t>
        </is>
      </c>
      <c r="R4797" s="22"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2" t="n">
        <v>1215199.48</v>
      </c>
      <c r="O4798" t="inlineStr">
        <is>
          <t>SF Health</t>
        </is>
      </c>
      <c r="P4798" t="inlineStr">
        <is>
          <t>Obligation de développement social: art.15 de l'avenant 1 à la convention minière de Sabodala du 23 mars 2005</t>
        </is>
      </c>
      <c r="R4798" s="22"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2" t="n">
        <v>2275000</v>
      </c>
      <c r="O4799" t="inlineStr">
        <is>
          <t>SF Sport&amp;Culture</t>
        </is>
      </c>
      <c r="P4799" t="inlineStr">
        <is>
          <t>Obligation de développement social: art.15 de l'avenant 1 à la convention minière de Sabodala du 23 mars 2005</t>
        </is>
      </c>
      <c r="R4799" s="22"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2" t="n">
        <v>1971000</v>
      </c>
      <c r="O4800" t="inlineStr">
        <is>
          <t>SF Water</t>
        </is>
      </c>
      <c r="P4800" t="inlineStr">
        <is>
          <t>Obligation de développement social: art.15 de l'avenant 1 à la convention minière de Sabodala du 23 mars 2005</t>
        </is>
      </c>
      <c r="R4800" s="22"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2" t="n">
        <v>44165</v>
      </c>
      <c r="K4801" t="inlineStr">
        <is>
          <t>NC</t>
        </is>
      </c>
      <c r="L4801" t="inlineStr">
        <is>
          <t>NC</t>
        </is>
      </c>
      <c r="M4801" t="inlineStr">
        <is>
          <t xml:space="preserve">Néant </t>
        </is>
      </c>
      <c r="N4801" t="inlineStr">
        <is>
          <t xml:space="preserve">Néant </t>
        </is>
      </c>
      <c r="O4801" t="inlineStr">
        <is>
          <t>NC</t>
        </is>
      </c>
      <c r="R4801" s="22"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2" t="n">
        <v>9721585</v>
      </c>
      <c r="O4802" t="inlineStr">
        <is>
          <t>SF Health</t>
        </is>
      </c>
      <c r="P4802" t="inlineStr">
        <is>
          <t>Obligation de développement social: art.15 de l'avenant 1 à la convention minière de Sabodala du 23 mars 2005</t>
        </is>
      </c>
      <c r="R4802" s="22"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2" t="n">
        <v>-9721585</v>
      </c>
      <c r="O4803" t="inlineStr">
        <is>
          <t>SF Health</t>
        </is>
      </c>
      <c r="P4803" t="inlineStr">
        <is>
          <t>Obligation de développement social: art.15 de l'avenant 1 à la convention minière de Sabodala du 23 mars 2005</t>
        </is>
      </c>
      <c r="R4803" s="22"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2" t="n">
        <v>175000</v>
      </c>
      <c r="O4804" t="inlineStr">
        <is>
          <t>SF Education</t>
        </is>
      </c>
      <c r="P4804" t="inlineStr">
        <is>
          <t>Obligation de développement social: art.15 de l'avenant 1 à la convention minière de Sabodala du 23 mars 2005</t>
        </is>
      </c>
      <c r="R4804" s="22"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2" t="n">
        <v>175000</v>
      </c>
      <c r="O4805" t="inlineStr">
        <is>
          <t>SF Education</t>
        </is>
      </c>
      <c r="P4805" t="inlineStr">
        <is>
          <t>Obligation de développement social: art.15 de l'avenant 1 à la convention minière de Sabodala du 23 mars 2005</t>
        </is>
      </c>
      <c r="R4805" s="22"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2" t="n">
        <v>175000</v>
      </c>
      <c r="O4806" t="inlineStr">
        <is>
          <t>SF Education</t>
        </is>
      </c>
      <c r="P4806" t="inlineStr">
        <is>
          <t>Obligation de développement social: art.15 de l'avenant 1 à la convention minière de Sabodala du 23 mars 2005</t>
        </is>
      </c>
      <c r="R4806" s="22"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2" t="n">
        <v>175000</v>
      </c>
      <c r="O4807" t="inlineStr">
        <is>
          <t>SF Education</t>
        </is>
      </c>
      <c r="P4807" t="inlineStr">
        <is>
          <t>Obligation de développement social: art.15 de l'avenant 1 à la convention minière de Sabodala du 23 mars 2005</t>
        </is>
      </c>
      <c r="R4807" s="22"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2" t="n">
        <v>175000</v>
      </c>
      <c r="O4808" t="inlineStr">
        <is>
          <t>SF Education</t>
        </is>
      </c>
      <c r="P4808" t="inlineStr">
        <is>
          <t>Obligation de développement social: art.15 de l'avenant 1 à la convention minière de Sabodala du 23 mars 2005</t>
        </is>
      </c>
      <c r="R4808" s="22"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2" t="n">
        <v>175000</v>
      </c>
      <c r="O4809" t="inlineStr">
        <is>
          <t>SF Education</t>
        </is>
      </c>
      <c r="P4809" t="inlineStr">
        <is>
          <t>Obligation de développement social: art.15 de l'avenant 1 à la convention minière de Sabodala du 23 mars 2005</t>
        </is>
      </c>
      <c r="R4809" s="22"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2" t="n">
        <v>175000</v>
      </c>
      <c r="O4810" t="inlineStr">
        <is>
          <t>SF Education</t>
        </is>
      </c>
      <c r="P4810" t="inlineStr">
        <is>
          <t>Obligation de développement social: art.15 de l'avenant 1 à la convention minière de Sabodala du 23 mars 2005</t>
        </is>
      </c>
      <c r="R4810" s="22"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2" t="n">
        <v>175000</v>
      </c>
      <c r="O4811" t="inlineStr">
        <is>
          <t>SF Education</t>
        </is>
      </c>
      <c r="P4811" t="inlineStr">
        <is>
          <t>Obligation de développement social: art.15 de l'avenant 1 à la convention minière de Sabodala du 23 mars 2005</t>
        </is>
      </c>
      <c r="R4811" s="22"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2" t="n">
        <v>175000</v>
      </c>
      <c r="O4812" t="inlineStr">
        <is>
          <t>SF Education</t>
        </is>
      </c>
      <c r="P4812" t="inlineStr">
        <is>
          <t>Obligation de développement social: art.15 de l'avenant 1 à la convention minière de Sabodala du 23 mars 2005</t>
        </is>
      </c>
      <c r="R4812" s="22"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2" t="n">
        <v>175000</v>
      </c>
      <c r="O4813" t="inlineStr">
        <is>
          <t>SF Education</t>
        </is>
      </c>
      <c r="P4813" t="inlineStr">
        <is>
          <t>Obligation de développement social: art.15 de l'avenant 1 à la convention minière de Sabodala du 23 mars 2005</t>
        </is>
      </c>
      <c r="R4813" s="22"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2" t="n">
        <v>175000</v>
      </c>
      <c r="O4814" t="inlineStr">
        <is>
          <t>SF Education</t>
        </is>
      </c>
      <c r="P4814" t="inlineStr">
        <is>
          <t>Obligation de développement social: art.15 de l'avenant 1 à la convention minière de Sabodala du 23 mars 2005</t>
        </is>
      </c>
      <c r="R4814" s="22"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2" t="n">
        <v>175000</v>
      </c>
      <c r="O4815" t="inlineStr">
        <is>
          <t>SF Education</t>
        </is>
      </c>
      <c r="P4815" t="inlineStr">
        <is>
          <t>Obligation de développement social: art.15 de l'avenant 1 à la convention minière de Sabodala du 23 mars 2005</t>
        </is>
      </c>
      <c r="R4815" s="22"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2" t="n">
        <v>175000</v>
      </c>
      <c r="O4816" t="inlineStr">
        <is>
          <t>SF Education</t>
        </is>
      </c>
      <c r="P4816" t="inlineStr">
        <is>
          <t>Obligation de développement social: art.15 de l'avenant 1 à la convention minière de Sabodala du 23 mars 2005</t>
        </is>
      </c>
      <c r="R4816" s="22"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2" t="n">
        <v>175000</v>
      </c>
      <c r="O4817" t="inlineStr">
        <is>
          <t>SF Education</t>
        </is>
      </c>
      <c r="P4817" t="inlineStr">
        <is>
          <t>Obligation de développement social: art.15 de l'avenant 1 à la convention minière de Sabodala du 23 mars 2005</t>
        </is>
      </c>
      <c r="R4817" s="22"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2" t="n">
        <v>175000</v>
      </c>
      <c r="O4818" t="inlineStr">
        <is>
          <t>SF Education</t>
        </is>
      </c>
      <c r="P4818" t="inlineStr">
        <is>
          <t>Obligation de développement social: art.15 de l'avenant 1 à la convention minière de Sabodala du 23 mars 2005</t>
        </is>
      </c>
      <c r="R4818" s="22"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2" t="n">
        <v>175000</v>
      </c>
      <c r="O4819" t="inlineStr">
        <is>
          <t>SF Education</t>
        </is>
      </c>
      <c r="P4819" t="inlineStr">
        <is>
          <t>Obligation de développement social: art.15 de l'avenant 1 à la convention minière de Sabodala du 23 mars 2005</t>
        </is>
      </c>
      <c r="R4819" s="22"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2" t="n">
        <v>175000</v>
      </c>
      <c r="O4820" t="inlineStr">
        <is>
          <t>SF Education</t>
        </is>
      </c>
      <c r="P4820" t="inlineStr">
        <is>
          <t>Obligation de développement social: art.15 de l'avenant 1 à la convention minière de Sabodala du 23 mars 2005</t>
        </is>
      </c>
      <c r="R4820" s="22"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2" t="n">
        <v>175000</v>
      </c>
      <c r="O4821" t="inlineStr">
        <is>
          <t>SF Education</t>
        </is>
      </c>
      <c r="P4821" t="inlineStr">
        <is>
          <t>Obligation de développement social: art.15 de l'avenant 1 à la convention minière de Sabodala du 23 mars 2005</t>
        </is>
      </c>
      <c r="R4821" s="22"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2" t="n">
        <v>175000</v>
      </c>
      <c r="O4822" t="inlineStr">
        <is>
          <t>SF Education</t>
        </is>
      </c>
      <c r="P4822" t="inlineStr">
        <is>
          <t>Obligation de développement social: art.15 de l'avenant 1 à la convention minière de Sabodala du 23 mars 2005</t>
        </is>
      </c>
      <c r="R4822" s="22"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2" t="n">
        <v>175000</v>
      </c>
      <c r="O4823" t="inlineStr">
        <is>
          <t>SF Education</t>
        </is>
      </c>
      <c r="P4823" t="inlineStr">
        <is>
          <t>Obligation de développement social: art.15 de l'avenant 1 à la convention minière de Sabodala du 23 mars 2005</t>
        </is>
      </c>
      <c r="R4823" s="22"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2" t="n">
        <v>175000</v>
      </c>
      <c r="O4824" t="inlineStr">
        <is>
          <t>SF Education</t>
        </is>
      </c>
      <c r="P4824" t="inlineStr">
        <is>
          <t>Obligation de développement social: art.15 de l'avenant 1 à la convention minière de Sabodala du 23 mars 2005</t>
        </is>
      </c>
      <c r="R4824" s="22"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2" t="n">
        <v>175000</v>
      </c>
      <c r="O4825" t="inlineStr">
        <is>
          <t>SF Education</t>
        </is>
      </c>
      <c r="P4825" t="inlineStr">
        <is>
          <t>Obligation de développement social: art.15 de l'avenant 1 à la convention minière de Sabodala du 23 mars 2005</t>
        </is>
      </c>
      <c r="R4825" s="22"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2" t="n">
        <v>175000</v>
      </c>
      <c r="O4826" t="inlineStr">
        <is>
          <t>SF Education</t>
        </is>
      </c>
      <c r="P4826" t="inlineStr">
        <is>
          <t>Obligation de développement social: art.15 de l'avenant 1 à la convention minière de Sabodala du 23 mars 2005</t>
        </is>
      </c>
      <c r="R4826" s="22"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2" t="n">
        <v>175000</v>
      </c>
      <c r="O4827" t="inlineStr">
        <is>
          <t>SF Education</t>
        </is>
      </c>
      <c r="P4827" t="inlineStr">
        <is>
          <t>Obligation de développement social: art.15 de l'avenant 1 à la convention minière de Sabodala du 23 mars 2005</t>
        </is>
      </c>
      <c r="R4827" s="22"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2" t="n">
        <v>175000</v>
      </c>
      <c r="O4828" t="inlineStr">
        <is>
          <t>SF Education</t>
        </is>
      </c>
      <c r="P4828" t="inlineStr">
        <is>
          <t>Obligation de développement social: art.15 de l'avenant 1 à la convention minière de Sabodala du 23 mars 2005</t>
        </is>
      </c>
      <c r="R4828" s="22"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2" t="n">
        <v>175000</v>
      </c>
      <c r="O4829" t="inlineStr">
        <is>
          <t>SF Education</t>
        </is>
      </c>
      <c r="P4829" t="inlineStr">
        <is>
          <t>Obligation de développement social: art.15 de l'avenant 1 à la convention minière de Sabodala du 23 mars 2005</t>
        </is>
      </c>
      <c r="R4829" s="22"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2" t="n">
        <v>175000</v>
      </c>
      <c r="O4830" t="inlineStr">
        <is>
          <t>SF Education</t>
        </is>
      </c>
      <c r="P4830" t="inlineStr">
        <is>
          <t>Obligation de développement social: art.15 de l'avenant 1 à la convention minière de Sabodala du 23 mars 2005</t>
        </is>
      </c>
      <c r="R4830" s="22"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2" t="n">
        <v>175000</v>
      </c>
      <c r="O4831" t="inlineStr">
        <is>
          <t>SF Education</t>
        </is>
      </c>
      <c r="P4831" t="inlineStr">
        <is>
          <t>Obligation de développement social: art.15 de l'avenant 1 à la convention minière de Sabodala du 23 mars 2005</t>
        </is>
      </c>
      <c r="R4831" s="22"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2" t="n">
        <v>175000</v>
      </c>
      <c r="O4832" t="inlineStr">
        <is>
          <t>SF Education</t>
        </is>
      </c>
      <c r="P4832" t="inlineStr">
        <is>
          <t>Obligation de développement social: art.15 de l'avenant 1 à la convention minière de Sabodala du 23 mars 2005</t>
        </is>
      </c>
      <c r="R4832" s="22"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2" t="n">
        <v>175000</v>
      </c>
      <c r="O4833" t="inlineStr">
        <is>
          <t>SF Education</t>
        </is>
      </c>
      <c r="P4833" t="inlineStr">
        <is>
          <t>Obligation de développement social: art.15 de l'avenant 1 à la convention minière de Sabodala du 23 mars 2005</t>
        </is>
      </c>
      <c r="R4833" s="22"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2" t="n">
        <v>175000</v>
      </c>
      <c r="O4834" t="inlineStr">
        <is>
          <t>SF Education</t>
        </is>
      </c>
      <c r="P4834" t="inlineStr">
        <is>
          <t>Obligation de développement social: art.15 de l'avenant 1 à la convention minière de Sabodala du 23 mars 2005</t>
        </is>
      </c>
      <c r="R4834" s="22"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2" t="n">
        <v>175000</v>
      </c>
      <c r="O4835" t="inlineStr">
        <is>
          <t>SF Education</t>
        </is>
      </c>
      <c r="P4835" t="inlineStr">
        <is>
          <t>Obligation de développement social: art.15 de l'avenant 1 à la convention minière de Sabodala du 23 mars 2005</t>
        </is>
      </c>
      <c r="R4835" s="22"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2" t="n">
        <v>175000</v>
      </c>
      <c r="O4836" t="inlineStr">
        <is>
          <t>SF Education</t>
        </is>
      </c>
      <c r="P4836" t="inlineStr">
        <is>
          <t>Obligation de développement social: art.15 de l'avenant 1 à la convention minière de Sabodala du 23 mars 2005</t>
        </is>
      </c>
      <c r="R4836" s="22"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2" t="n">
        <v>175000</v>
      </c>
      <c r="O4837" t="inlineStr">
        <is>
          <t>SF Education</t>
        </is>
      </c>
      <c r="P4837" t="inlineStr">
        <is>
          <t>Obligation de développement social: art.15 de l'avenant 1 à la convention minière de Sabodala du 23 mars 2005</t>
        </is>
      </c>
      <c r="R4837" s="22"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2" t="n">
        <v>175000</v>
      </c>
      <c r="O4838" t="inlineStr">
        <is>
          <t>SF Education</t>
        </is>
      </c>
      <c r="P4838" t="inlineStr">
        <is>
          <t>Obligation de développement social: art.15 de l'avenant 1 à la convention minière de Sabodala du 23 mars 2005</t>
        </is>
      </c>
      <c r="R4838" s="22"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2" t="n">
        <v>175000</v>
      </c>
      <c r="O4839" t="inlineStr">
        <is>
          <t>SF Education</t>
        </is>
      </c>
      <c r="P4839" t="inlineStr">
        <is>
          <t>Obligation de développement social: art.15 de l'avenant 1 à la convention minière de Sabodala du 23 mars 2005</t>
        </is>
      </c>
      <c r="R4839" s="22"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2" t="n">
        <v>175000</v>
      </c>
      <c r="O4840" t="inlineStr">
        <is>
          <t>SF Education</t>
        </is>
      </c>
      <c r="P4840" t="inlineStr">
        <is>
          <t>Obligation de développement social: art.15 de l'avenant 1 à la convention minière de Sabodala du 23 mars 2005</t>
        </is>
      </c>
      <c r="R4840" s="22"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2" t="n">
        <v>175000</v>
      </c>
      <c r="O4841" t="inlineStr">
        <is>
          <t>SF Education</t>
        </is>
      </c>
      <c r="P4841" t="inlineStr">
        <is>
          <t>Obligation de développement social: art.15 de l'avenant 1 à la convention minière de Sabodala du 23 mars 2005</t>
        </is>
      </c>
      <c r="R4841" s="22"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2" t="n">
        <v>175000</v>
      </c>
      <c r="O4842" t="inlineStr">
        <is>
          <t>SF Education</t>
        </is>
      </c>
      <c r="P4842" t="inlineStr">
        <is>
          <t>Obligation de développement social: art.15 de l'avenant 1 à la convention minière de Sabodala du 23 mars 2005</t>
        </is>
      </c>
      <c r="R4842" s="22"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2" t="n">
        <v>175000</v>
      </c>
      <c r="O4843" t="inlineStr">
        <is>
          <t>SF Education</t>
        </is>
      </c>
      <c r="P4843" t="inlineStr">
        <is>
          <t>Obligation de développement social: art.15 de l'avenant 1 à la convention minière de Sabodala du 23 mars 2005</t>
        </is>
      </c>
      <c r="R4843" s="22"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2" t="n">
        <v>175000</v>
      </c>
      <c r="O4844" t="inlineStr">
        <is>
          <t>SF Education</t>
        </is>
      </c>
      <c r="P4844" t="inlineStr">
        <is>
          <t>Obligation de développement social: art.15 de l'avenant 1 à la convention minière de Sabodala du 23 mars 2005</t>
        </is>
      </c>
      <c r="R4844" s="22"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2" t="n">
        <v>175000</v>
      </c>
      <c r="O4845" t="inlineStr">
        <is>
          <t>SF Education</t>
        </is>
      </c>
      <c r="P4845" t="inlineStr">
        <is>
          <t>Obligation de développement social: art.15 de l'avenant 1 à la convention minière de Sabodala du 23 mars 2005</t>
        </is>
      </c>
      <c r="R4845" s="22"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2" t="n">
        <v>175000</v>
      </c>
      <c r="O4846" t="inlineStr">
        <is>
          <t>SF Education</t>
        </is>
      </c>
      <c r="P4846" t="inlineStr">
        <is>
          <t>Obligation de développement social: art.15 de l'avenant 1 à la convention minière de Sabodala du 23 mars 2005</t>
        </is>
      </c>
      <c r="R4846" s="22"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2" t="n">
        <v>175000</v>
      </c>
      <c r="O4847" t="inlineStr">
        <is>
          <t>SF Education</t>
        </is>
      </c>
      <c r="P4847" t="inlineStr">
        <is>
          <t>Obligation de développement social: art.15 de l'avenant 1 à la convention minière de Sabodala du 23 mars 2005</t>
        </is>
      </c>
      <c r="R4847" s="22"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2" t="n">
        <v>175000</v>
      </c>
      <c r="O4848" t="inlineStr">
        <is>
          <t>SF Education</t>
        </is>
      </c>
      <c r="P4848" t="inlineStr">
        <is>
          <t>Obligation de développement social: art.15 de l'avenant 1 à la convention minière de Sabodala du 23 mars 2005</t>
        </is>
      </c>
      <c r="R4848" s="22"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2" t="n">
        <v>175000</v>
      </c>
      <c r="O4849" t="inlineStr">
        <is>
          <t>SF Education</t>
        </is>
      </c>
      <c r="P4849" t="inlineStr">
        <is>
          <t>Obligation de développement social: art.15 de l'avenant 1 à la convention minière de Sabodala du 23 mars 2005</t>
        </is>
      </c>
      <c r="R4849" s="22"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2" t="n">
        <v>175000</v>
      </c>
      <c r="O4850" t="inlineStr">
        <is>
          <t>SF Education</t>
        </is>
      </c>
      <c r="P4850" t="inlineStr">
        <is>
          <t>Obligation de développement social: art.15 de l'avenant 1 à la convention minière de Sabodala du 23 mars 2005</t>
        </is>
      </c>
      <c r="R4850" s="22"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2" t="n">
        <v>175000</v>
      </c>
      <c r="O4851" t="inlineStr">
        <is>
          <t>SF Education</t>
        </is>
      </c>
      <c r="P4851" t="inlineStr">
        <is>
          <t>Obligation de développement social: art.15 de l'avenant 1 à la convention minière de Sabodala du 23 mars 2005</t>
        </is>
      </c>
      <c r="R4851" s="22"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2" t="n">
        <v>175000</v>
      </c>
      <c r="O4852" t="inlineStr">
        <is>
          <t>SF Education</t>
        </is>
      </c>
      <c r="P4852" t="inlineStr">
        <is>
          <t>Obligation de développement social: art.15 de l'avenant 1 à la convention minière de Sabodala du 23 mars 2005</t>
        </is>
      </c>
      <c r="R4852" s="22"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2" t="n">
        <v>800000</v>
      </c>
      <c r="O4853" t="inlineStr">
        <is>
          <t>SF Livelihood (Income Generation)</t>
        </is>
      </c>
      <c r="P4853" t="inlineStr">
        <is>
          <t>Obligation de développement social: art.15 de l'avenant 1 à la convention minière de Sabodala du 23 mars 2005</t>
        </is>
      </c>
      <c r="R4853" s="22"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2" t="n">
        <v>175000</v>
      </c>
      <c r="O4854" t="inlineStr">
        <is>
          <t>SF Education</t>
        </is>
      </c>
      <c r="P4854" t="inlineStr">
        <is>
          <t>Obligation de développement social: art.15 de l'avenant 1 à la convention minière de Sabodala du 23 mars 2005</t>
        </is>
      </c>
      <c r="R4854" s="22"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2" t="n">
        <v>175000</v>
      </c>
      <c r="O4855" t="inlineStr">
        <is>
          <t>SF Education</t>
        </is>
      </c>
      <c r="P4855" t="inlineStr">
        <is>
          <t>Obligation de développement social: art.15 de l'avenant 1 à la convention minière de Sabodala du 23 mars 2005</t>
        </is>
      </c>
      <c r="R4855" s="22"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2" t="n">
        <v>175000</v>
      </c>
      <c r="O4856" t="inlineStr">
        <is>
          <t>SF Education</t>
        </is>
      </c>
      <c r="P4856" t="inlineStr">
        <is>
          <t>Obligation de développement social: art.15 de l'avenant 1 à la convention minière de Sabodala du 23 mars 2005</t>
        </is>
      </c>
      <c r="R4856" s="22"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2" t="n">
        <v>175000</v>
      </c>
      <c r="O4857" t="inlineStr">
        <is>
          <t>SF Education</t>
        </is>
      </c>
      <c r="P4857" t="inlineStr">
        <is>
          <t>Obligation de développement social: art.15 de l'avenant 1 à la convention minière de Sabodala du 23 mars 2005</t>
        </is>
      </c>
      <c r="R4857" s="22"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2" t="n">
        <v>175000</v>
      </c>
      <c r="O4858" t="inlineStr">
        <is>
          <t>SF Education</t>
        </is>
      </c>
      <c r="P4858" t="inlineStr">
        <is>
          <t>Obligation de développement social: art.15 de l'avenant 1 à la convention minière de Sabodala du 23 mars 2005</t>
        </is>
      </c>
      <c r="R4858" s="22"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2" t="n">
        <v>175000</v>
      </c>
      <c r="O4859" t="inlineStr">
        <is>
          <t>SF Education</t>
        </is>
      </c>
      <c r="P4859" t="inlineStr">
        <is>
          <t>Obligation de développement social: art.15 de l'avenant 1 à la convention minière de Sabodala du 23 mars 2005</t>
        </is>
      </c>
      <c r="R4859" s="22"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2" t="n">
        <v>175000</v>
      </c>
      <c r="O4860" t="inlineStr">
        <is>
          <t>SF Education</t>
        </is>
      </c>
      <c r="P4860" t="inlineStr">
        <is>
          <t>Obligation de développement social: art.15 de l'avenant 1 à la convention minière de Sabodala du 23 mars 2005</t>
        </is>
      </c>
      <c r="R4860" s="22"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2" t="n">
        <v>175000</v>
      </c>
      <c r="O4861" t="inlineStr">
        <is>
          <t>SF Education</t>
        </is>
      </c>
      <c r="P4861" t="inlineStr">
        <is>
          <t>Obligation de développement social: art.15 de l'avenant 1 à la convention minière de Sabodala du 23 mars 2005</t>
        </is>
      </c>
      <c r="R4861" s="22"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2" t="n">
        <v>175000</v>
      </c>
      <c r="O4862" t="inlineStr">
        <is>
          <t>SF Education</t>
        </is>
      </c>
      <c r="P4862" t="inlineStr">
        <is>
          <t>Obligation de développement social: art.15 de l'avenant 1 à la convention minière de Sabodala du 23 mars 2005</t>
        </is>
      </c>
      <c r="R4862" s="22"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2" t="n">
        <v>175000</v>
      </c>
      <c r="O4863" t="inlineStr">
        <is>
          <t>SF Education</t>
        </is>
      </c>
      <c r="P4863" t="inlineStr">
        <is>
          <t>Obligation de développement social: art.15 de l'avenant 1 à la convention minière de Sabodala du 23 mars 2005</t>
        </is>
      </c>
      <c r="R4863" s="22"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2" t="n">
        <v>175000</v>
      </c>
      <c r="O4864" t="inlineStr">
        <is>
          <t>SF Education</t>
        </is>
      </c>
      <c r="P4864" t="inlineStr">
        <is>
          <t>Obligation de développement social: art.15 de l'avenant 1 à la convention minière de Sabodala du 23 mars 2005</t>
        </is>
      </c>
      <c r="R4864" s="22"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2" t="n">
        <v>175000</v>
      </c>
      <c r="O4865" t="inlineStr">
        <is>
          <t>SF Education</t>
        </is>
      </c>
      <c r="P4865" t="inlineStr">
        <is>
          <t>Obligation de développement social: art.15 de l'avenant 1 à la convention minière de Sabodala du 23 mars 2005</t>
        </is>
      </c>
      <c r="R4865" s="22"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2" t="n">
        <v>-175000</v>
      </c>
      <c r="O4866" t="inlineStr">
        <is>
          <t>SF Education</t>
        </is>
      </c>
      <c r="P4866" t="inlineStr">
        <is>
          <t>Obligation de développement social: art.15 de l'avenant 1 à la convention minière de Sabodala du 23 mars 2005</t>
        </is>
      </c>
      <c r="R4866" s="22"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2" t="n">
        <v>-175000</v>
      </c>
      <c r="O4867" t="inlineStr">
        <is>
          <t>SF Education</t>
        </is>
      </c>
      <c r="P4867" t="inlineStr">
        <is>
          <t>Obligation de développement social: art.15 de l'avenant 1 à la convention minière de Sabodala du 23 mars 2005</t>
        </is>
      </c>
      <c r="R4867" s="22"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2" t="n">
        <v>44165</v>
      </c>
      <c r="K4868" t="inlineStr">
        <is>
          <t>NC</t>
        </is>
      </c>
      <c r="L4868" t="inlineStr">
        <is>
          <t>NC</t>
        </is>
      </c>
      <c r="M4868" t="inlineStr">
        <is>
          <t xml:space="preserve">Néant </t>
        </is>
      </c>
      <c r="N4868" t="inlineStr">
        <is>
          <t xml:space="preserve">Néant </t>
        </is>
      </c>
      <c r="O4868" t="inlineStr">
        <is>
          <t>NC</t>
        </is>
      </c>
      <c r="R4868" s="22"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2" t="n">
        <v>100000</v>
      </c>
      <c r="O4869" t="inlineStr">
        <is>
          <t>SF Health</t>
        </is>
      </c>
      <c r="P4869" t="inlineStr">
        <is>
          <t>Obligation de développement social: art.15 de l'avenant 1 à la convention minière de Sabodala du 23 mars 2005</t>
        </is>
      </c>
      <c r="R4869" s="22"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2" t="n">
        <v>100000</v>
      </c>
      <c r="O4870" t="inlineStr">
        <is>
          <t>SF Education</t>
        </is>
      </c>
      <c r="P4870" t="inlineStr">
        <is>
          <t>Obligation de développement social: art.15 de l'avenant 1 à la convention minière de Sabodala du 23 mars 2005</t>
        </is>
      </c>
      <c r="R4870" s="22"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2" t="n">
        <v>85400</v>
      </c>
      <c r="O4871" t="inlineStr">
        <is>
          <t>SF Education</t>
        </is>
      </c>
      <c r="P4871" t="inlineStr">
        <is>
          <t>Obligation de développement social: art.15 de l'avenant 1 à la convention minière de Sabodala du 23 mars 2005</t>
        </is>
      </c>
      <c r="R4871" s="22"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2" t="n">
        <v>500000</v>
      </c>
      <c r="O4872" t="inlineStr">
        <is>
          <t>SF Sport&amp;Culture</t>
        </is>
      </c>
      <c r="P4872" t="inlineStr">
        <is>
          <t>Obligation de développement social: art.15 de l'avenant 1 à la convention minière de Sabodala du 23 mars 2005</t>
        </is>
      </c>
      <c r="R4872" s="22"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2" t="n">
        <v>100000</v>
      </c>
      <c r="O4873" t="inlineStr">
        <is>
          <t>SF Sport&amp;Culture</t>
        </is>
      </c>
      <c r="P4873" t="inlineStr">
        <is>
          <t>Obligation de développement social: art.15 de l'avenant 1 à la convention minière de Sabodala du 23 mars 2005</t>
        </is>
      </c>
      <c r="R4873" s="22"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2" t="n">
        <v>300000</v>
      </c>
      <c r="O4874" t="inlineStr">
        <is>
          <t>SF Sport&amp;Culture</t>
        </is>
      </c>
      <c r="P4874" t="inlineStr">
        <is>
          <t>Obligation de développement social: art.15 de l'avenant 1 à la convention minière de Sabodala du 23 mars 2005</t>
        </is>
      </c>
      <c r="R4874" s="22"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2" t="n">
        <v>44165</v>
      </c>
      <c r="K4875" t="inlineStr">
        <is>
          <t>NC</t>
        </is>
      </c>
      <c r="L4875" t="inlineStr">
        <is>
          <t>NC</t>
        </is>
      </c>
      <c r="M4875" t="inlineStr">
        <is>
          <t xml:space="preserve">Néant </t>
        </is>
      </c>
      <c r="N4875" t="inlineStr">
        <is>
          <t xml:space="preserve">Néant </t>
        </is>
      </c>
      <c r="O4875" t="inlineStr">
        <is>
          <t>NC</t>
        </is>
      </c>
      <c r="R4875" s="22"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2" t="n">
        <v>44165</v>
      </c>
      <c r="K4876" t="inlineStr">
        <is>
          <t>NC</t>
        </is>
      </c>
      <c r="L4876" t="inlineStr">
        <is>
          <t>NC</t>
        </is>
      </c>
      <c r="M4876" t="inlineStr">
        <is>
          <t xml:space="preserve">Néant </t>
        </is>
      </c>
      <c r="N4876" t="inlineStr">
        <is>
          <t xml:space="preserve">Néant </t>
        </is>
      </c>
      <c r="O4876" t="inlineStr">
        <is>
          <t>NC</t>
        </is>
      </c>
      <c r="R4876" s="22"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2" t="n">
        <v>8856000</v>
      </c>
      <c r="O4877" t="inlineStr">
        <is>
          <t>SF Water</t>
        </is>
      </c>
      <c r="P4877" t="inlineStr">
        <is>
          <t>Obligation de développement social: art.15 de l'avenant 1 à la convention minière de Sabodala du 23 mars 2005</t>
        </is>
      </c>
      <c r="R4877" s="22"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H4878" t="inlineStr">
        <is>
          <t> </t>
        </is>
      </c>
      <c r="I4878" t="inlineStr">
        <is>
          <t>KEDOUGOU</t>
        </is>
      </c>
      <c r="J4878" t="inlineStr">
        <is>
          <t>N/A</t>
        </is>
      </c>
      <c r="K4878" t="inlineStr">
        <is>
          <t>N/A</t>
        </is>
      </c>
      <c r="L4878" t="inlineStr">
        <is>
          <t>N/A</t>
        </is>
      </c>
      <c r="M4878" t="inlineStr">
        <is>
          <t> </t>
        </is>
      </c>
      <c r="N4878" s="22" t="n">
        <v>11070000</v>
      </c>
      <c r="O4878" t="inlineStr">
        <is>
          <t>SF Water</t>
        </is>
      </c>
      <c r="P4878" t="inlineStr">
        <is>
          <t>Obligation de développement social: art.15 de l'avenant 1 à la convention minière de Sabodala du 23 mars 2005</t>
        </is>
      </c>
      <c r="R4878" s="22"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2" t="n">
        <v>1419445</v>
      </c>
      <c r="O4879" t="inlineStr">
        <is>
          <t>SF Education</t>
        </is>
      </c>
      <c r="P4879" t="inlineStr">
        <is>
          <t>Obligation de développement social: art.15 de l'avenant 1 à la convention minière de Sabodala du 23 mars 2005</t>
        </is>
      </c>
      <c r="R4879" s="22"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2" t="n">
        <v>44165</v>
      </c>
      <c r="K4880" t="inlineStr">
        <is>
          <t>NC</t>
        </is>
      </c>
      <c r="L4880" t="inlineStr">
        <is>
          <t>NC</t>
        </is>
      </c>
      <c r="M4880" t="inlineStr">
        <is>
          <t xml:space="preserve">Néant </t>
        </is>
      </c>
      <c r="N4880" t="inlineStr">
        <is>
          <t xml:space="preserve">Néant </t>
        </is>
      </c>
      <c r="O4880" t="inlineStr">
        <is>
          <t>NC</t>
        </is>
      </c>
      <c r="R4880" s="22"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2" t="n">
        <v>44165</v>
      </c>
      <c r="K4881" t="inlineStr">
        <is>
          <t>NC</t>
        </is>
      </c>
      <c r="L4881" t="inlineStr">
        <is>
          <t>NC</t>
        </is>
      </c>
      <c r="M4881" t="inlineStr">
        <is>
          <t xml:space="preserve">Néant </t>
        </is>
      </c>
      <c r="N4881" t="inlineStr">
        <is>
          <t xml:space="preserve">Néant </t>
        </is>
      </c>
      <c r="O4881" t="inlineStr">
        <is>
          <t>NC</t>
        </is>
      </c>
      <c r="R4881" s="22"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2" t="n">
        <v>1200000</v>
      </c>
      <c r="O4882" t="inlineStr">
        <is>
          <t>SF Health</t>
        </is>
      </c>
      <c r="P4882" t="inlineStr">
        <is>
          <t>Obligation de développement social: art.15 de l'avenant 1 à la convention minière de Sabodala du 23 mars 2005</t>
        </is>
      </c>
      <c r="R4882" s="22"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2" t="n">
        <v>1200000</v>
      </c>
      <c r="O4883" t="inlineStr">
        <is>
          <t>SF Health</t>
        </is>
      </c>
      <c r="P4883" t="inlineStr">
        <is>
          <t>Obligation de développement social: art.15 de l'avenant 1 à la convention minière de Sabodala du 23 mars 2005</t>
        </is>
      </c>
      <c r="R4883" s="22"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2" t="n">
        <v>500000</v>
      </c>
      <c r="O4884" t="inlineStr">
        <is>
          <t>SF Education</t>
        </is>
      </c>
      <c r="P4884" t="inlineStr">
        <is>
          <t>Obligation de développement social: art.15 de l'avenant 1 à la convention minière de Sabodala du 23 mars 2005</t>
        </is>
      </c>
      <c r="R4884" s="22"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2" t="n">
        <v>519000</v>
      </c>
      <c r="O4885" t="inlineStr">
        <is>
          <t>SF Livelihood (Income Generation)</t>
        </is>
      </c>
      <c r="P4885" t="inlineStr">
        <is>
          <t>Obligation de développement social: art.15 de l'avenant 1 à la convention minière de Sabodala du 23 mars 2005</t>
        </is>
      </c>
      <c r="R4885" s="22"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2" t="n">
        <v>1500000</v>
      </c>
      <c r="O4886" t="inlineStr">
        <is>
          <t>SF Sport&amp;Culture</t>
        </is>
      </c>
      <c r="P4886" t="inlineStr">
        <is>
          <t>Obligation de développement social: art.15 de l'avenant 1 à la convention minière de Sabodala du 23 mars 2005</t>
        </is>
      </c>
      <c r="R4886" s="22"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2" t="n">
        <v>-5612500.14</v>
      </c>
      <c r="O4887" t="inlineStr">
        <is>
          <t>SF Livelihood (Income Generation)</t>
        </is>
      </c>
      <c r="P4887" t="inlineStr">
        <is>
          <t>Obligation de développement social: art.15 de l'avenant 1 à la convention minière de Sabodala du 23 mars 2005</t>
        </is>
      </c>
      <c r="R4887" s="22"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2" t="n">
        <v>5612502.39</v>
      </c>
      <c r="O4888" t="inlineStr">
        <is>
          <t>SF Livelihood (Income Generation)</t>
        </is>
      </c>
      <c r="P4888" t="inlineStr">
        <is>
          <t>Obligation de développement social: art.15 de l'avenant 1 à la convention minière de Sabodala du 23 mars 2005</t>
        </is>
      </c>
      <c r="R4888" s="22"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2"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2" t="n">
        <v>18439.6224054908</v>
      </c>
      <c r="O4890" t="inlineStr">
        <is>
          <t>SF Livelihood (Income Generation)</t>
        </is>
      </c>
      <c r="P4890" t="inlineStr">
        <is>
          <t>Obligation de développement social: art.15 de l'avenant 1 à la convention minière de Sabodala du 23 mars 2005</t>
        </is>
      </c>
      <c r="R4890" s="22"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2" t="n">
        <v>3327700</v>
      </c>
      <c r="O4891" t="inlineStr">
        <is>
          <t>SF Water</t>
        </is>
      </c>
      <c r="P4891" t="inlineStr">
        <is>
          <t>Obligation de développement social: art.15 de l'avenant 1 à la convention minière de Sabodala du 23 mars 2005</t>
        </is>
      </c>
      <c r="R4891" s="22"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2" t="n">
        <v>16285700.9</v>
      </c>
      <c r="O4892" t="inlineStr">
        <is>
          <t>SF Health</t>
        </is>
      </c>
      <c r="P4892" t="inlineStr">
        <is>
          <t>Obligation de développement social: art.15 de l'avenant 1 à la convention minière de Sabodala du 23 mars 2005</t>
        </is>
      </c>
      <c r="R4892" s="22"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2" t="n">
        <v>3750606</v>
      </c>
      <c r="O4893" t="inlineStr">
        <is>
          <t>SF Education</t>
        </is>
      </c>
      <c r="P4893" t="inlineStr">
        <is>
          <t>Obligation de développement social: art.15 de l'avenant 1 à la convention minière de Sabodala du 23 mars 2005</t>
        </is>
      </c>
      <c r="R4893" s="22"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2" t="n">
        <v>2001356</v>
      </c>
      <c r="O4894" t="inlineStr">
        <is>
          <t>SF Education</t>
        </is>
      </c>
      <c r="P4894" t="inlineStr">
        <is>
          <t>Obligation de développement social: art.15 de l'avenant 1 à la convention minière de Sabodala du 23 mars 2005</t>
        </is>
      </c>
      <c r="R4894" s="22"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2" t="n">
        <v>1395000</v>
      </c>
      <c r="O4895" t="inlineStr">
        <is>
          <t>SF Livelihood (Income Generation)</t>
        </is>
      </c>
      <c r="P4895" t="inlineStr">
        <is>
          <t>Obligation de développement social: art.15 de l'avenant 1 à la convention minière de Sabodala du 23 mars 2005</t>
        </is>
      </c>
      <c r="R4895" s="22"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2" t="n">
        <v>5825789</v>
      </c>
      <c r="O4896" t="inlineStr">
        <is>
          <t>SF Health</t>
        </is>
      </c>
      <c r="P4896" t="inlineStr">
        <is>
          <t>Obligation de développement social: art.15 de l'avenant 1 à la convention minière de Sabodala du 23 mars 2005</t>
        </is>
      </c>
      <c r="R4896" s="22"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2" t="n">
        <v>1975000</v>
      </c>
      <c r="O4897" t="inlineStr">
        <is>
          <t>SF Livelihood (Income Generation)</t>
        </is>
      </c>
      <c r="P4897" t="inlineStr">
        <is>
          <t>Obligation de développement social: art.15 de l'avenant 1 à la convention minière de Sabodala du 23 mars 2005</t>
        </is>
      </c>
      <c r="R4897" s="22"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2" t="n">
        <v>8000</v>
      </c>
      <c r="O4898" t="inlineStr">
        <is>
          <t>SF Livelihood (Income Generation)</t>
        </is>
      </c>
      <c r="P4898" t="inlineStr">
        <is>
          <t>Obligation de développement social: art.15 de l'avenant 1 à la convention minière de Sabodala du 23 mars 2005</t>
        </is>
      </c>
      <c r="R4898" s="22"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2" t="n">
        <v>-4838581.84</v>
      </c>
      <c r="O4899" t="inlineStr">
        <is>
          <t>SF Health</t>
        </is>
      </c>
      <c r="P4899" t="inlineStr">
        <is>
          <t>Obligation de développement social: art.15 de l'avenant 1 à la convention minière de Sabodala du 23 mars 2005</t>
        </is>
      </c>
      <c r="R4899" s="22"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2" t="n">
        <v>4838582.84</v>
      </c>
      <c r="O4900" t="inlineStr">
        <is>
          <t>SF Health</t>
        </is>
      </c>
      <c r="P4900" t="inlineStr">
        <is>
          <t>Obligation de développement social: art.15 de l'avenant 1 à la convention minière de Sabodala du 23 mars 2005</t>
        </is>
      </c>
      <c r="R4900" s="22"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2" t="n">
        <v>41339.0753557589</v>
      </c>
      <c r="O4901" t="inlineStr">
        <is>
          <t>SF Health</t>
        </is>
      </c>
      <c r="P4901" t="inlineStr">
        <is>
          <t>Obligation de développement social: art.15 de l'avenant 1 à la convention minière de Sabodala du 23 mars 2005</t>
        </is>
      </c>
      <c r="R4901" s="22"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2" t="n">
        <v>3025001.12</v>
      </c>
      <c r="O4902" t="inlineStr">
        <is>
          <t>SF Sport&amp;Culture</t>
        </is>
      </c>
      <c r="P4902" t="inlineStr">
        <is>
          <t>Obligation de développement social: art.15 de l'avenant 1 à la convention minière de Sabodala du 23 mars 2005</t>
        </is>
      </c>
      <c r="R4902" s="22"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2" t="n">
        <v>1099998.88</v>
      </c>
      <c r="O4903" t="inlineStr">
        <is>
          <t>SF Sport&amp;Culture</t>
        </is>
      </c>
      <c r="P4903" t="inlineStr">
        <is>
          <t>Obligation de développement social: art.15 de l'avenant 1 à la convention minière de Sabodala du 23 mars 2005</t>
        </is>
      </c>
      <c r="R4903" s="22"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2" t="n">
        <v>60000</v>
      </c>
      <c r="O4904" t="inlineStr">
        <is>
          <t>SF Water</t>
        </is>
      </c>
      <c r="P4904" t="inlineStr">
        <is>
          <t>Obligation de développement social: art.15 de l'avenant 1 à la convention minière de Sabodala du 23 mars 2005</t>
        </is>
      </c>
      <c r="R4904" s="22"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2" t="n">
        <v>100000</v>
      </c>
      <c r="O4905" t="inlineStr">
        <is>
          <t>SF Education</t>
        </is>
      </c>
      <c r="P4905" t="inlineStr">
        <is>
          <t>Obligation de développement social: art.15 de l'avenant 1 à la convention minière de Sabodala du 23 mars 2005</t>
        </is>
      </c>
      <c r="R4905" s="22"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2" t="n">
        <v>35000</v>
      </c>
      <c r="O4906" t="inlineStr">
        <is>
          <t>SF Livelihood (Income Generation)</t>
        </is>
      </c>
      <c r="P4906" t="inlineStr">
        <is>
          <t>Obligation de développement social: art.15 de l'avenant 1 à la convention minière de Sabodala du 23 mars 2005</t>
        </is>
      </c>
      <c r="R4906" s="22"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2" t="n">
        <v>35000</v>
      </c>
      <c r="O4907" t="inlineStr">
        <is>
          <t>SF Livelihood (Income Generation)</t>
        </is>
      </c>
      <c r="P4907" t="inlineStr">
        <is>
          <t>Obligation de développement social: art.15 de l'avenant 1 à la convention minière de Sabodala du 23 mars 2005</t>
        </is>
      </c>
      <c r="R4907" s="22"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2" t="n">
        <v>560000</v>
      </c>
      <c r="O4908" t="inlineStr">
        <is>
          <t>SF Sport&amp;Culture</t>
        </is>
      </c>
      <c r="P4908" t="inlineStr">
        <is>
          <t>Obligation de développement social: art.15 de l'avenant 1 à la convention minière de Sabodala du 23 mars 2005</t>
        </is>
      </c>
      <c r="R4908" s="22"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2" t="n">
        <v>99999.95</v>
      </c>
      <c r="K4909" s="23"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2"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2" t="n">
        <v>99999.44</v>
      </c>
      <c r="K4910" s="23"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2"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2" t="n">
        <v>99999.31</v>
      </c>
      <c r="K4911" s="23"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2"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2"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2"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2" t="n">
        <v>99575.95</v>
      </c>
      <c r="K4914" s="23" t="n">
        <v>45398</v>
      </c>
      <c r="M4914" t="inlineStr">
        <is>
          <t>135322</t>
        </is>
      </c>
      <c r="N4914" t="inlineStr">
        <is>
          <t>N/A</t>
        </is>
      </c>
      <c r="O4914" t="inlineStr">
        <is>
          <t>N/A</t>
        </is>
      </c>
      <c r="P4914" t="inlineStr">
        <is>
          <t>Convention minère et Code minier (Fond Social et Fond d'appui au developpement local)</t>
        </is>
      </c>
      <c r="Q4914" t="inlineStr">
        <is>
          <t>NA</t>
        </is>
      </c>
      <c r="R4914" s="22"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2" t="n">
        <v>99000.75999999999</v>
      </c>
      <c r="K4915" s="23"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2"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2" t="n">
        <v>44165</v>
      </c>
      <c r="K4916" t="inlineStr">
        <is>
          <t>NC</t>
        </is>
      </c>
      <c r="L4916" t="inlineStr">
        <is>
          <t>NC</t>
        </is>
      </c>
      <c r="M4916" t="inlineStr">
        <is>
          <t xml:space="preserve">Néant </t>
        </is>
      </c>
      <c r="N4916" t="inlineStr">
        <is>
          <t xml:space="preserve">Néant </t>
        </is>
      </c>
      <c r="O4916" t="inlineStr">
        <is>
          <t>NC</t>
        </is>
      </c>
      <c r="R4916" s="22"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2" t="n">
        <v>98000</v>
      </c>
      <c r="K4917" s="23"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2"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2" t="n">
        <v>96000</v>
      </c>
      <c r="K4918" t="inlineStr">
        <is>
          <t>2024-08-01</t>
        </is>
      </c>
      <c r="L4918" t="inlineStr">
        <is>
          <t>Appuis divers</t>
        </is>
      </c>
      <c r="R4918" s="22"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2" t="n">
        <v>-5252000</v>
      </c>
      <c r="O4919" t="inlineStr">
        <is>
          <t>SF Health</t>
        </is>
      </c>
      <c r="P4919" t="inlineStr">
        <is>
          <t>Obligation de développement social: art.15 de l'avenant 1 à la convention minière de Sabodala du 23 mars 2005</t>
        </is>
      </c>
      <c r="R4919" s="22"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2" t="n">
        <v>3470747</v>
      </c>
      <c r="O4920" t="inlineStr">
        <is>
          <t>SF General</t>
        </is>
      </c>
      <c r="P4920" t="inlineStr">
        <is>
          <t>Obligation de développement social: art.15 de l'avenant 1 à la convention minière de Sabodala du 23 mars 2005</t>
        </is>
      </c>
      <c r="R4920" s="22"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2" t="n">
        <v>3183997.19</v>
      </c>
      <c r="O4921" t="inlineStr">
        <is>
          <t>SF Health</t>
        </is>
      </c>
      <c r="P4921" t="inlineStr">
        <is>
          <t>Obligation de développement social: art.15 de l'avenant 1 à la convention minière de Sabodala du 23 mars 2005</t>
        </is>
      </c>
      <c r="R4921" s="22"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2" t="n">
        <v>4945502.81</v>
      </c>
      <c r="O4922" t="inlineStr">
        <is>
          <t>SF Health</t>
        </is>
      </c>
      <c r="P4922" t="inlineStr">
        <is>
          <t>Obligation de développement social: art.15 de l'avenant 1 à la convention minière de Sabodala du 23 mars 2005</t>
        </is>
      </c>
      <c r="R4922" s="22"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2" t="n">
        <v>-6764393</v>
      </c>
      <c r="O4923" t="inlineStr">
        <is>
          <t>SF Education</t>
        </is>
      </c>
      <c r="P4923" t="inlineStr">
        <is>
          <t>Obligation de développement social: art.15 de l'avenant 1 à la convention minière de Sabodala du 23 mars 2005</t>
        </is>
      </c>
      <c r="R4923" s="22"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2" t="n">
        <v>2029317</v>
      </c>
      <c r="O4924" t="inlineStr">
        <is>
          <t>SF Education</t>
        </is>
      </c>
      <c r="P4924" t="inlineStr">
        <is>
          <t>Obligation de développement social: art.15 de l'avenant 1 à la convention minière de Sabodala du 23 mars 2005</t>
        </is>
      </c>
      <c r="R4924" s="22"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2" t="n">
        <v>6764393</v>
      </c>
      <c r="O4925" t="inlineStr">
        <is>
          <t>SF Education</t>
        </is>
      </c>
      <c r="P4925" t="inlineStr">
        <is>
          <t>Obligation de développement social: art.15 de l'avenant 1 à la convention minière de Sabodala du 23 mars 2005</t>
        </is>
      </c>
      <c r="R4925" s="22"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2" t="n">
        <v>8874600</v>
      </c>
      <c r="O4926" t="inlineStr">
        <is>
          <t>SF Education</t>
        </is>
      </c>
      <c r="P4926" t="inlineStr">
        <is>
          <t>Obligation de développement social: art.15 de l'avenant 1 à la convention minière de Sabodala du 23 mars 2005</t>
        </is>
      </c>
      <c r="R4926" s="22"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2" t="n">
        <v>16028.19</v>
      </c>
      <c r="O4927" t="inlineStr">
        <is>
          <t>SF Livelihood (Income Generation)</t>
        </is>
      </c>
      <c r="P4927" t="inlineStr">
        <is>
          <t>Obligation de développement social: art.15 de l'avenant 1 à la convention minière de Sabodala du 23 mars 2005</t>
        </is>
      </c>
      <c r="R4927" s="22"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2" t="n">
        <v>95758.71000000001</v>
      </c>
      <c r="K4928" s="23"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2"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2" t="n">
        <v>1000000</v>
      </c>
      <c r="O4929" t="inlineStr">
        <is>
          <t>SF Health</t>
        </is>
      </c>
      <c r="P4929" t="inlineStr">
        <is>
          <t>Obligation de développement social: art.15 de l'avenant 1 à la convention minière de Sabodala du 23 mars 2005</t>
        </is>
      </c>
      <c r="R4929" s="22"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2" t="n">
        <v>1500000</v>
      </c>
      <c r="O4930" t="inlineStr">
        <is>
          <t>SF Health</t>
        </is>
      </c>
      <c r="P4930" t="inlineStr">
        <is>
          <t>Obligation de développement social: art.15 de l'avenant 1 à la convention minière de Sabodala du 23 mars 2005</t>
        </is>
      </c>
      <c r="R4930" s="22"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2" t="n">
        <v>500000</v>
      </c>
      <c r="O4931" t="inlineStr">
        <is>
          <t>SF Education</t>
        </is>
      </c>
      <c r="P4931" t="inlineStr">
        <is>
          <t>Obligation de développement social: art.15 de l'avenant 1 à la convention minière de Sabodala du 23 mars 2005</t>
        </is>
      </c>
      <c r="R4931" s="22"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2" t="n">
        <v>597954</v>
      </c>
      <c r="O4932" t="inlineStr">
        <is>
          <t>SF Education</t>
        </is>
      </c>
      <c r="P4932" t="inlineStr">
        <is>
          <t>Obligation de développement social: art.15 de l'avenant 1 à la convention minière de Sabodala du 23 mars 2005</t>
        </is>
      </c>
      <c r="R4932" s="22"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2" t="n">
        <v>1015506.11</v>
      </c>
      <c r="O4933" t="inlineStr">
        <is>
          <t>SF Livelihood (Income Generation)</t>
        </is>
      </c>
      <c r="P4933" t="inlineStr">
        <is>
          <t>Obligation de développement social: art.15 de l'avenant 1 à la convention minière de Sabodala du 23 mars 2005</t>
        </is>
      </c>
      <c r="R4933" s="22"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2" t="n">
        <v>7768630.17</v>
      </c>
      <c r="O4934" t="inlineStr">
        <is>
          <t>SF Livelihood (Income Generation)</t>
        </is>
      </c>
      <c r="P4934" t="inlineStr">
        <is>
          <t>Obligation de développement social: art.15 de l'avenant 1 à la convention minière de Sabodala du 23 mars 2005</t>
        </is>
      </c>
      <c r="R4934" s="22"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2" t="n">
        <v>14013995.55</v>
      </c>
      <c r="O4935" t="inlineStr">
        <is>
          <t>SF Livelihood (Income Generation)</t>
        </is>
      </c>
      <c r="P4935" t="inlineStr">
        <is>
          <t>Obligation de développement social: art.15 de l'avenant 1 à la convention minière de Sabodala du 23 mars 2005</t>
        </is>
      </c>
      <c r="R4935" s="22"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2" t="n">
        <v>3500000</v>
      </c>
      <c r="O4936" t="inlineStr">
        <is>
          <t>SF Health</t>
        </is>
      </c>
      <c r="P4936" t="inlineStr">
        <is>
          <t>Obligation de développement social: art.15 de l'avenant 1 à la convention minière de Sabodala du 23 mars 2005</t>
        </is>
      </c>
      <c r="R4936" s="22"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2" t="n">
        <v>30136.67</v>
      </c>
      <c r="O4937" t="inlineStr">
        <is>
          <t>SF Education</t>
        </is>
      </c>
      <c r="P4937" t="inlineStr">
        <is>
          <t>Obligation de développement social: art.15 de l'avenant 1 à la convention minière de Sabodala du 23 mars 2005</t>
        </is>
      </c>
      <c r="R4937" s="22"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2" t="n">
        <v>50231.56</v>
      </c>
      <c r="O4938" t="inlineStr">
        <is>
          <t>SF Education</t>
        </is>
      </c>
      <c r="P4938" t="inlineStr">
        <is>
          <t>Obligation de développement social: art.15 de l'avenant 1 à la convention minière de Sabodala du 23 mars 2005</t>
        </is>
      </c>
      <c r="R4938" s="22"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2" t="n">
        <v>73815.06</v>
      </c>
      <c r="O4939" t="inlineStr">
        <is>
          <t>SF Education</t>
        </is>
      </c>
      <c r="P4939" t="inlineStr">
        <is>
          <t>Obligation de développement social: art.15 de l'avenant 1 à la convention minière de Sabodala du 23 mars 2005</t>
        </is>
      </c>
      <c r="R4939" s="22"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2" t="n">
        <v>108220.62</v>
      </c>
      <c r="O4940" t="inlineStr">
        <is>
          <t>SF Education</t>
        </is>
      </c>
      <c r="P4940" t="inlineStr">
        <is>
          <t>Obligation de développement social: art.15 de l'avenant 1 à la convention minière de Sabodala du 23 mars 2005</t>
        </is>
      </c>
      <c r="R4940" s="22"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2" t="n">
        <v>122497.37</v>
      </c>
      <c r="O4941" t="inlineStr">
        <is>
          <t>SF Education</t>
        </is>
      </c>
      <c r="P4941" t="inlineStr">
        <is>
          <t>Obligation de développement social: art.15 de l'avenant 1 à la convention minière de Sabodala du 23 mars 2005</t>
        </is>
      </c>
      <c r="R4941" s="22"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2" t="n">
        <v>181091.43</v>
      </c>
      <c r="O4942" t="inlineStr">
        <is>
          <t>SF Education</t>
        </is>
      </c>
      <c r="P4942" t="inlineStr">
        <is>
          <t>Obligation de développement social: art.15 de l'avenant 1 à la convention minière de Sabodala du 23 mars 2005</t>
        </is>
      </c>
      <c r="R4942" s="22"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2" t="n">
        <v>249133.59</v>
      </c>
      <c r="O4943" t="inlineStr">
        <is>
          <t>SF Education</t>
        </is>
      </c>
      <c r="P4943" t="inlineStr">
        <is>
          <t>Obligation de développement social: art.15 de l'avenant 1 à la convention minière de Sabodala du 23 mars 2005</t>
        </is>
      </c>
      <c r="R4943" s="22"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2" t="n">
        <v>316791.26</v>
      </c>
      <c r="O4944" t="inlineStr">
        <is>
          <t>SF Education</t>
        </is>
      </c>
      <c r="P4944" t="inlineStr">
        <is>
          <t>Obligation de développement social: art.15 de l'avenant 1 à la convention minière de Sabodala du 23 mars 2005</t>
        </is>
      </c>
      <c r="R4944" s="22"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2" t="n">
        <v>377279.46</v>
      </c>
      <c r="O4945" t="inlineStr">
        <is>
          <t>SF Education</t>
        </is>
      </c>
      <c r="P4945" t="inlineStr">
        <is>
          <t>Obligation de développement social: art.15 de l'avenant 1 à la convention minière de Sabodala du 23 mars 2005</t>
        </is>
      </c>
      <c r="R4945" s="22"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2" t="n">
        <v>535160.5699999999</v>
      </c>
      <c r="O4946" t="inlineStr">
        <is>
          <t>SF Education</t>
        </is>
      </c>
      <c r="P4946" t="inlineStr">
        <is>
          <t>Obligation de développement social: art.15 de l'avenant 1 à la convention minière de Sabodala du 23 mars 2005</t>
        </is>
      </c>
      <c r="R4946" s="22"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2" t="n">
        <v>561401.52</v>
      </c>
      <c r="O4947" t="inlineStr">
        <is>
          <t>SF Education</t>
        </is>
      </c>
      <c r="P4947" t="inlineStr">
        <is>
          <t>Obligation de développement social: art.15 de l'avenant 1 à la convention minière de Sabodala du 23 mars 2005</t>
        </is>
      </c>
      <c r="R4947" s="22"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2" t="n">
        <v>95716.08</v>
      </c>
      <c r="K4948" s="23" t="n">
        <v>45462</v>
      </c>
      <c r="M4948" t="inlineStr">
        <is>
          <t>134191AA</t>
        </is>
      </c>
      <c r="N4948" t="inlineStr">
        <is>
          <t>N/A</t>
        </is>
      </c>
      <c r="O4948" t="inlineStr">
        <is>
          <t>N/A</t>
        </is>
      </c>
      <c r="P4948" t="inlineStr">
        <is>
          <t>Convention minère et Code minier (Fond Social et Fond d'appui au developpement local)</t>
        </is>
      </c>
      <c r="Q4948" t="inlineStr">
        <is>
          <t>NA</t>
        </is>
      </c>
      <c r="R4948" s="22"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2" t="n">
        <v>104725.72</v>
      </c>
      <c r="O4949" t="inlineStr">
        <is>
          <t>SF Education</t>
        </is>
      </c>
      <c r="P4949" t="inlineStr">
        <is>
          <t>Obligation de développement social: art.15 de l'avenant 1 à la convention minière de Sabodala du 23 mars 2005</t>
        </is>
      </c>
      <c r="R4949" s="22"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2" t="n">
        <v>126025.01</v>
      </c>
      <c r="O4950" t="inlineStr">
        <is>
          <t>SF Education</t>
        </is>
      </c>
      <c r="P4950" t="inlineStr">
        <is>
          <t>Obligation de développement social: art.15 de l'avenant 1 à la convention minière de Sabodala du 23 mars 2005</t>
        </is>
      </c>
      <c r="R4950" s="22"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2" t="n">
        <v>136222.13</v>
      </c>
      <c r="O4951" t="inlineStr">
        <is>
          <t>SF Education</t>
        </is>
      </c>
      <c r="P4951" t="inlineStr">
        <is>
          <t>Obligation de développement social: art.15 de l'avenant 1 à la convention minière de Sabodala du 23 mars 2005</t>
        </is>
      </c>
      <c r="R4951" s="22"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2" t="n">
        <v>221779.06</v>
      </c>
      <c r="O4952" t="inlineStr">
        <is>
          <t>SF Education</t>
        </is>
      </c>
      <c r="P4952" t="inlineStr">
        <is>
          <t>Obligation de développement social: art.15 de l'avenant 1 à la convention minière de Sabodala du 23 mars 2005</t>
        </is>
      </c>
      <c r="R4952" s="22"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2" t="n">
        <v>292624.91</v>
      </c>
      <c r="O4953" t="inlineStr">
        <is>
          <t>SF Education</t>
        </is>
      </c>
      <c r="P4953" t="inlineStr">
        <is>
          <t>Obligation de développement social: art.15 de l'avenant 1 à la convention minière de Sabodala du 23 mars 2005</t>
        </is>
      </c>
      <c r="R4953" s="22"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2" t="n">
        <v>306993.08</v>
      </c>
      <c r="O4954" t="inlineStr">
        <is>
          <t>SF Education</t>
        </is>
      </c>
      <c r="P4954" t="inlineStr">
        <is>
          <t>Obligation de développement social: art.15 de l'avenant 1 à la convention minière de Sabodala du 23 mars 2005</t>
        </is>
      </c>
      <c r="R4954" s="22"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2" t="n">
        <v>357304.14</v>
      </c>
      <c r="O4955" t="inlineStr">
        <is>
          <t>SF Education</t>
        </is>
      </c>
      <c r="P4955" t="inlineStr">
        <is>
          <t>Obligation de développement social: art.15 de l'avenant 1 à la convention minière de Sabodala du 23 mars 2005</t>
        </is>
      </c>
      <c r="R4955" s="22"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2" t="n">
        <v>539042.34</v>
      </c>
      <c r="O4956" t="inlineStr">
        <is>
          <t>SF Education</t>
        </is>
      </c>
      <c r="P4956" t="inlineStr">
        <is>
          <t>Obligation de développement social: art.15 de l'avenant 1 à la convention minière de Sabodala du 23 mars 2005</t>
        </is>
      </c>
      <c r="R4956" s="22"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2" t="n">
        <v>684837.63</v>
      </c>
      <c r="O4957" t="inlineStr">
        <is>
          <t>SF Education</t>
        </is>
      </c>
      <c r="P4957" t="inlineStr">
        <is>
          <t>Obligation de développement social: art.15 de l'avenant 1 à la convention minière de Sabodala du 23 mars 2005</t>
        </is>
      </c>
      <c r="R4957" s="22"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2" t="n">
        <v>796753.05</v>
      </c>
      <c r="O4958" t="inlineStr">
        <is>
          <t>SF Education</t>
        </is>
      </c>
      <c r="P4958" t="inlineStr">
        <is>
          <t>Obligation de développement social: art.15 de l'avenant 1 à la convention minière de Sabodala du 23 mars 2005</t>
        </is>
      </c>
      <c r="R4958" s="22"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2" t="n">
        <v>821397.04</v>
      </c>
      <c r="O4959" t="inlineStr">
        <is>
          <t>SF Education</t>
        </is>
      </c>
      <c r="P4959" t="inlineStr">
        <is>
          <t>Obligation de développement social: art.15 de l'avenant 1 à la convention minière de Sabodala du 23 mars 2005</t>
        </is>
      </c>
      <c r="R4959" s="22"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2" t="n">
        <v>862466.61</v>
      </c>
      <c r="O4960" t="inlineStr">
        <is>
          <t>SF Education</t>
        </is>
      </c>
      <c r="P4960" t="inlineStr">
        <is>
          <t>Obligation de développement social: art.15 de l'avenant 1 à la convention minière de Sabodala du 23 mars 2005</t>
        </is>
      </c>
      <c r="R4960" s="22"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2" t="n">
        <v>1437446.23</v>
      </c>
      <c r="O4961" t="inlineStr">
        <is>
          <t>SF Education</t>
        </is>
      </c>
      <c r="P4961" t="inlineStr">
        <is>
          <t>Obligation de développement social: art.15 de l'avenant 1 à la convention minière de Sabodala du 23 mars 2005</t>
        </is>
      </c>
      <c r="R4961" s="22"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2" t="n">
        <v>1511366.96</v>
      </c>
      <c r="O4962" t="inlineStr">
        <is>
          <t>SF Education</t>
        </is>
      </c>
      <c r="P4962" t="inlineStr">
        <is>
          <t>Obligation de développement social: art.15 de l'avenant 1 à la convention minière de Sabodala du 23 mars 2005</t>
        </is>
      </c>
      <c r="R4962" s="22"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2" t="n">
        <v>500000</v>
      </c>
      <c r="O4963" t="inlineStr">
        <is>
          <t>SF Sport&amp;Culture</t>
        </is>
      </c>
      <c r="P4963" t="inlineStr">
        <is>
          <t>Obligation de développement social: art.15 de l'avenant 1 à la convention minière de Sabodala du 23 mars 2005</t>
        </is>
      </c>
      <c r="R4963" s="22"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2" t="n">
        <v>95000</v>
      </c>
      <c r="K4964" s="23"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2"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2" t="n">
        <v>3470474</v>
      </c>
      <c r="O4965" t="inlineStr">
        <is>
          <t>SF General</t>
        </is>
      </c>
      <c r="P4965" t="inlineStr">
        <is>
          <t>Obligation de développement social: art.15 de l'avenant 1 à la convention minière de Sabodala du 23 mars 2005</t>
        </is>
      </c>
      <c r="R4965" s="22"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2" t="n">
        <v>2994930</v>
      </c>
      <c r="O4966" t="inlineStr">
        <is>
          <t>SF Water</t>
        </is>
      </c>
      <c r="P4966" t="inlineStr">
        <is>
          <t>Obligation de développement social: art.15 de l'avenant 1 à la convention minière de Sabodala du 23 mars 2005</t>
        </is>
      </c>
      <c r="R4966" s="22"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2" t="n">
        <v>698425</v>
      </c>
      <c r="O4967" t="inlineStr">
        <is>
          <t>SF Health</t>
        </is>
      </c>
      <c r="P4967" t="inlineStr">
        <is>
          <t>Obligation de développement social: art.15 de l'avenant 1 à la convention minière de Sabodala du 23 mars 2005</t>
        </is>
      </c>
      <c r="R4967" s="22"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2" t="n">
        <v>6000000</v>
      </c>
      <c r="O4968" t="inlineStr">
        <is>
          <t>SF Health</t>
        </is>
      </c>
      <c r="P4968" t="inlineStr">
        <is>
          <t>Obligation de développement social: art.15 de l'avenant 1 à la convention minière de Sabodala du 23 mars 2005</t>
        </is>
      </c>
      <c r="R4968" s="22"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2" t="n">
        <v>6725130</v>
      </c>
      <c r="O4969" t="inlineStr">
        <is>
          <t>SF Livelihood (Income Generation)</t>
        </is>
      </c>
      <c r="P4969" t="inlineStr">
        <is>
          <t>Obligation de développement social: art.15 de l'avenant 1 à la convention minière de Sabodala du 23 mars 2005</t>
        </is>
      </c>
      <c r="R4969" s="22"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2" t="n">
        <v>5495694</v>
      </c>
      <c r="O4970" t="inlineStr">
        <is>
          <t>SF Health</t>
        </is>
      </c>
      <c r="P4970" t="inlineStr">
        <is>
          <t>Obligation de développement social: art.15 de l'avenant 1 à la convention minière de Sabodala du 23 mars 2005</t>
        </is>
      </c>
      <c r="R4970" s="22"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2" t="n">
        <v>70721.56</v>
      </c>
      <c r="O4971" t="inlineStr">
        <is>
          <t>SF Sport&amp;Culture</t>
        </is>
      </c>
      <c r="P4971" t="inlineStr">
        <is>
          <t>Obligation de développement social: art.15 de l'avenant 1 à la convention minière de Sabodala du 23 mars 2005</t>
        </is>
      </c>
      <c r="R4971" s="22"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2" t="n">
        <v>91208.97</v>
      </c>
      <c r="O4972" t="inlineStr">
        <is>
          <t>SF Sport&amp;Culture</t>
        </is>
      </c>
      <c r="P4972" t="inlineStr">
        <is>
          <t>Obligation de développement social: art.15 de l'avenant 1 à la convention minière de Sabodala du 23 mars 2005</t>
        </is>
      </c>
      <c r="R4972" s="22"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2" t="n">
        <v>202059.97</v>
      </c>
      <c r="O4973" t="inlineStr">
        <is>
          <t>SF Sport&amp;Culture</t>
        </is>
      </c>
      <c r="P4973" t="inlineStr">
        <is>
          <t>Obligation de développement social: art.15 de l'avenant 1 à la convention minière de Sabodala du 23 mars 2005</t>
        </is>
      </c>
      <c r="R4973" s="22"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2" t="n">
        <v>380035.47</v>
      </c>
      <c r="O4974" t="inlineStr">
        <is>
          <t>SF Sport&amp;Culture</t>
        </is>
      </c>
      <c r="P4974" t="inlineStr">
        <is>
          <t>Obligation de développement social: art.15 de l'avenant 1 à la convention minière de Sabodala du 23 mars 2005</t>
        </is>
      </c>
      <c r="R4974" s="22"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2" t="n">
        <v>380035.47</v>
      </c>
      <c r="O4975" t="inlineStr">
        <is>
          <t>SF Sport&amp;Culture</t>
        </is>
      </c>
      <c r="P4975" t="inlineStr">
        <is>
          <t>Obligation de développement social: art.15 de l'avenant 1 à la convention minière de Sabodala du 23 mars 2005</t>
        </is>
      </c>
      <c r="R4975" s="22"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2" t="n">
        <v>969892.4</v>
      </c>
      <c r="O4976" t="inlineStr">
        <is>
          <t>SF Sport&amp;Culture</t>
        </is>
      </c>
      <c r="P4976" t="inlineStr">
        <is>
          <t>Obligation de développement social: art.15 de l'avenant 1 à la convention minière de Sabodala du 23 mars 2005</t>
        </is>
      </c>
      <c r="R4976" s="22"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2" t="n">
        <v>1576072.32</v>
      </c>
      <c r="O4977" t="inlineStr">
        <is>
          <t>SF Sport&amp;Culture</t>
        </is>
      </c>
      <c r="P4977" t="inlineStr">
        <is>
          <t>Obligation de développement social: art.15 de l'avenant 1 à la convention minière de Sabodala du 23 mars 2005</t>
        </is>
      </c>
      <c r="R4977" s="22"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2" t="n">
        <v>95000</v>
      </c>
      <c r="K4978" s="23"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2"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2" t="n">
        <v>500000</v>
      </c>
      <c r="O4979" t="inlineStr">
        <is>
          <t>SF Health</t>
        </is>
      </c>
      <c r="P4979" t="inlineStr">
        <is>
          <t>Obligation de développement social: art.15 de l'avenant 1 à la convention minière de Sabodala du 23 mars 2005</t>
        </is>
      </c>
      <c r="R4979" s="22"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2" t="n">
        <v>1000000</v>
      </c>
      <c r="O4980" t="inlineStr">
        <is>
          <t>SF Livelihood (Income Generation)</t>
        </is>
      </c>
      <c r="P4980" t="inlineStr">
        <is>
          <t>Obligation de développement social: art.15 de l'avenant 1 à la convention minière de Sabodala du 23 mars 2005</t>
        </is>
      </c>
      <c r="R4980" s="22"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2" t="n">
        <v>4303711</v>
      </c>
      <c r="O4981" t="inlineStr">
        <is>
          <t>SF Sport&amp;Culture</t>
        </is>
      </c>
      <c r="P4981" t="inlineStr">
        <is>
          <t>Obligation de développement social: art.15 de l'avenant 1 à la convention minière de Sabodala du 23 mars 2005</t>
        </is>
      </c>
      <c r="R4981" s="22"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2" t="n">
        <v>390000</v>
      </c>
      <c r="O4982" t="inlineStr">
        <is>
          <t>SF Health</t>
        </is>
      </c>
      <c r="P4982" t="inlineStr">
        <is>
          <t>Obligation de développement social: art.15 de l'avenant 1 à la convention minière de Sabodala du 23 mars 2005</t>
        </is>
      </c>
      <c r="R4982" s="22"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2" t="n">
        <v>7520000</v>
      </c>
      <c r="O4983" t="inlineStr">
        <is>
          <t>SF Water</t>
        </is>
      </c>
      <c r="P4983" t="inlineStr">
        <is>
          <t>Obligation de développement social: art.15 de l'avenant 1 à la convention minière de Sabodala du 23 mars 2005</t>
        </is>
      </c>
      <c r="R4983" s="22"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2" t="n">
        <v>7426</v>
      </c>
      <c r="K4984" t="inlineStr">
        <is>
          <t>Appuis divers</t>
        </is>
      </c>
      <c r="L4984" t="inlineStr">
        <is>
          <t>Appuis divers</t>
        </is>
      </c>
      <c r="M4984" t="inlineStr">
        <is>
          <t xml:space="preserve">Néant </t>
        </is>
      </c>
      <c r="N4984" t="inlineStr">
        <is>
          <t xml:space="preserve">Néant </t>
        </is>
      </c>
      <c r="O4984" t="inlineStr">
        <is>
          <t>Nc</t>
        </is>
      </c>
      <c r="R4984" s="22"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2" t="n">
        <v>5000000</v>
      </c>
      <c r="O4985" t="inlineStr">
        <is>
          <t>SF Health</t>
        </is>
      </c>
      <c r="P4985" t="inlineStr">
        <is>
          <t>Obligation de développement social: art.15 de l'avenant 1 à la convention minière de Sabodala du 23 mars 2005</t>
        </is>
      </c>
      <c r="R4985" s="22"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2" t="n">
        <v>1000000</v>
      </c>
      <c r="O4986" t="inlineStr">
        <is>
          <t>SF Livelihood (Income Generation)</t>
        </is>
      </c>
      <c r="P4986" t="inlineStr">
        <is>
          <t>Obligation de développement social: art.15 de l'avenant 1 à la convention minière de Sabodala du 23 mars 2005</t>
        </is>
      </c>
      <c r="R4986" s="22"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2" t="n">
        <v>94000</v>
      </c>
      <c r="K4987" s="23" t="n">
        <v>45455</v>
      </c>
      <c r="L4987" t="inlineStr">
        <is>
          <t>NEANT</t>
        </is>
      </c>
      <c r="M4987" t="n">
        <v>0</v>
      </c>
      <c r="N4987" s="22" t="n">
        <v>0</v>
      </c>
      <c r="O4987" t="inlineStr">
        <is>
          <t>NEANT</t>
        </is>
      </c>
      <c r="P4987" t="inlineStr">
        <is>
          <t>NEANT</t>
        </is>
      </c>
      <c r="Q4987" t="inlineStr">
        <is>
          <t>NEANT</t>
        </is>
      </c>
      <c r="R4987" s="22"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2" t="n">
        <v>425000</v>
      </c>
      <c r="O4988" t="inlineStr">
        <is>
          <t>SF General</t>
        </is>
      </c>
      <c r="P4988" t="inlineStr">
        <is>
          <t>Obligation de développement social: art.15 de l'avenant 1 à la convention minière de Sabodala du 23 mars 2005</t>
        </is>
      </c>
      <c r="R4988" s="22"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2" t="n">
        <v>92000</v>
      </c>
      <c r="K4989" s="23"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2"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2" t="n">
        <v>90741.31307354</v>
      </c>
      <c r="K4990" s="23"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2"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2" t="n">
        <v>90195.96000000001</v>
      </c>
      <c r="K4991" s="23"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2"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2" t="n">
        <v>90002.44</v>
      </c>
      <c r="O4992" t="inlineStr">
        <is>
          <t>SF General</t>
        </is>
      </c>
      <c r="P4992" t="inlineStr">
        <is>
          <t>Obligation de développement social: art.15 de l'avenant 1 à la convention minière de Sabodala du 23 mars 2005</t>
        </is>
      </c>
      <c r="R4992" s="22"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2" t="n">
        <v>1041500</v>
      </c>
      <c r="O4993" t="inlineStr">
        <is>
          <t>SF Water</t>
        </is>
      </c>
      <c r="P4993" t="inlineStr">
        <is>
          <t>Obligation de développement social: art.15 de l'avenant 1 à la convention minière de Sabodala du 23 mars 2005</t>
        </is>
      </c>
      <c r="R4993" s="22"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2" t="n">
        <v>8000</v>
      </c>
      <c r="O4994" t="inlineStr">
        <is>
          <t>SF Education</t>
        </is>
      </c>
      <c r="P4994" t="inlineStr">
        <is>
          <t>Obligation de développement social: art.15 de l'avenant 1 à la convention minière de Sabodala du 23 mars 2005</t>
        </is>
      </c>
      <c r="R4994" s="22"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2" t="n">
        <v>11400</v>
      </c>
      <c r="O4995" t="inlineStr">
        <is>
          <t>SF Education</t>
        </is>
      </c>
      <c r="P4995" t="inlineStr">
        <is>
          <t>Obligation de développement social: art.15 de l'avenant 1 à la convention minière de Sabodala du 23 mars 2005</t>
        </is>
      </c>
      <c r="R4995" s="22"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2" t="n">
        <v>4000</v>
      </c>
      <c r="O4996" t="inlineStr">
        <is>
          <t>SF Livelihood (Income Generation)</t>
        </is>
      </c>
      <c r="P4996" t="inlineStr">
        <is>
          <t>Obligation de développement social: art.15 de l'avenant 1 à la convention minière de Sabodala du 23 mars 2005</t>
        </is>
      </c>
      <c r="R4996" s="22"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2" t="n">
        <v>155982.01</v>
      </c>
      <c r="O4997" t="inlineStr">
        <is>
          <t>SF Sport&amp;Culture</t>
        </is>
      </c>
      <c r="P4997" t="inlineStr">
        <is>
          <t>Obligation de développement social: art.15 de l'avenant 1 à la convention minière de Sabodala du 23 mars 2005</t>
        </is>
      </c>
      <c r="R4997" s="22"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2" t="n">
        <v>249975.93</v>
      </c>
      <c r="O4998" t="inlineStr">
        <is>
          <t>SF Sport&amp;Culture</t>
        </is>
      </c>
      <c r="P4998" t="inlineStr">
        <is>
          <t>Obligation de développement social: art.15 de l'avenant 1 à la convention minière de Sabodala du 23 mars 2005</t>
        </is>
      </c>
      <c r="R4998" s="22"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2" t="n">
        <v>289971.61</v>
      </c>
      <c r="O4999" t="inlineStr">
        <is>
          <t>SF Sport&amp;Culture</t>
        </is>
      </c>
      <c r="P4999" t="inlineStr">
        <is>
          <t>Obligation de développement social: art.15 de l'avenant 1 à la convention minière de Sabodala du 23 mars 2005</t>
        </is>
      </c>
      <c r="R4999" s="22"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2" t="n">
        <v>719928.11</v>
      </c>
      <c r="O5000" t="inlineStr">
        <is>
          <t>SF Sport&amp;Culture</t>
        </is>
      </c>
      <c r="P5000" t="inlineStr">
        <is>
          <t>Obligation de développement social: art.15 de l'avenant 1 à la convention minière de Sabodala du 23 mars 2005</t>
        </is>
      </c>
      <c r="R5000" s="22"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2" t="n">
        <v>332770</v>
      </c>
      <c r="O5001" t="inlineStr">
        <is>
          <t>SF Water</t>
        </is>
      </c>
      <c r="P5001" t="inlineStr">
        <is>
          <t>Obligation de développement social: art.15 de l'avenant 1 à la convention minière de Sabodala du 23 mars 2005</t>
        </is>
      </c>
      <c r="R5001" s="22"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2" t="n">
        <v>2326528.7</v>
      </c>
      <c r="O5002" t="inlineStr">
        <is>
          <t>SF Health</t>
        </is>
      </c>
      <c r="P5002" t="inlineStr">
        <is>
          <t>Obligation de développement social: art.15 de l'avenant 1 à la convention minière de Sabodala du 23 mars 2005</t>
        </is>
      </c>
      <c r="R5002" s="22"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2" t="n">
        <v>29775.89</v>
      </c>
      <c r="O5003" t="inlineStr">
        <is>
          <t>SF Education</t>
        </is>
      </c>
      <c r="P5003" t="inlineStr">
        <is>
          <t>Obligation de développement social: art.15 de l'avenant 1 à la convention minière de Sabodala du 23 mars 2005</t>
        </is>
      </c>
      <c r="R5003" s="22"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2" t="n">
        <v>405340.5</v>
      </c>
      <c r="O5004" t="inlineStr">
        <is>
          <t>SF Education</t>
        </is>
      </c>
      <c r="P5004" t="inlineStr">
        <is>
          <t>Obligation de développement social: art.15 de l'avenant 1 à la convention minière de Sabodala du 23 mars 2005</t>
        </is>
      </c>
      <c r="R5004" s="22"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2" t="n">
        <v>608638.58</v>
      </c>
      <c r="O5005" t="inlineStr">
        <is>
          <t>SF Education</t>
        </is>
      </c>
      <c r="P5005" t="inlineStr">
        <is>
          <t>Obligation de développement social: art.15 de l'avenant 1 à la convention minière de Sabodala du 23 mars 2005</t>
        </is>
      </c>
      <c r="R5005" s="22"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2" t="n">
        <v>2367537</v>
      </c>
      <c r="O5006" t="inlineStr">
        <is>
          <t>SF Education</t>
        </is>
      </c>
      <c r="P5006" t="inlineStr">
        <is>
          <t>Obligation de développement social: art.15 de l'avenant 1 à la convention minière de Sabodala du 23 mars 2005</t>
        </is>
      </c>
      <c r="R5006" s="22"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2" t="n">
        <v>10353700</v>
      </c>
      <c r="O5007" t="inlineStr">
        <is>
          <t>SF Education</t>
        </is>
      </c>
      <c r="P5007" t="inlineStr">
        <is>
          <t>Obligation de développement social: art.15 de l'avenant 1 à la convention minière de Sabodala du 23 mars 2005</t>
        </is>
      </c>
      <c r="R5007" s="22"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2" t="n">
        <v>1395000</v>
      </c>
      <c r="O5008" t="inlineStr">
        <is>
          <t>SF Livelihood (Income Generation)</t>
        </is>
      </c>
      <c r="P5008" t="inlineStr">
        <is>
          <t>Obligation de développement social: art.15 de l'avenant 1 à la convention minière de Sabodala du 23 mars 2005</t>
        </is>
      </c>
      <c r="R5008" s="22"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2" t="n">
        <v>6052617</v>
      </c>
      <c r="O5009" t="inlineStr">
        <is>
          <t>SF Livelihood (Income Generation)</t>
        </is>
      </c>
      <c r="P5009" t="inlineStr">
        <is>
          <t>Obligation de développement social: art.15 de l'avenant 1 à la convention minière de Sabodala du 23 mars 2005</t>
        </is>
      </c>
      <c r="R5009" s="22"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2" t="n">
        <v>90000</v>
      </c>
      <c r="K5010" s="23"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2"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2" t="n">
        <v>90000</v>
      </c>
      <c r="K5011" s="23"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2"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2" t="n">
        <v>90000</v>
      </c>
      <c r="K5012" s="23"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2"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2" t="n">
        <v>90000</v>
      </c>
      <c r="K5013" s="23"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2"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2" t="n">
        <v>90000</v>
      </c>
      <c r="K5014" t="inlineStr">
        <is>
          <t>12/07/2023</t>
        </is>
      </c>
      <c r="L5014" t="inlineStr">
        <is>
          <t>Appuis divers</t>
        </is>
      </c>
      <c r="R5014" s="22"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2" t="n">
        <v>89998.28</v>
      </c>
      <c r="K5015" s="23"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2"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2" t="n">
        <v>85680</v>
      </c>
      <c r="O5016" t="inlineStr">
        <is>
          <t>Gora Payment</t>
        </is>
      </c>
      <c r="P5016" t="inlineStr">
        <is>
          <t>Obligation de développement social: art.15 de l'avenant 1 à la convention minière de Sabodala du 23 mars 2005</t>
        </is>
      </c>
      <c r="R5016" s="22"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2"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2"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2" t="n">
        <v>578412.4</v>
      </c>
      <c r="O5019" t="inlineStr">
        <is>
          <t>SF General</t>
        </is>
      </c>
      <c r="P5019" t="inlineStr">
        <is>
          <t>Obligation de développement social: art.15 de l'avenant 1 à la convention minière de Sabodala du 23 mars 2005</t>
        </is>
      </c>
      <c r="R5019" s="22"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2" t="n">
        <v>85000</v>
      </c>
      <c r="K5020" s="23"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2"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2" t="n">
        <v>4048614.6</v>
      </c>
      <c r="O5021" t="inlineStr">
        <is>
          <t>SF General</t>
        </is>
      </c>
      <c r="P5021" t="inlineStr">
        <is>
          <t>Obligation de développement social: art.15 de l'avenant 1 à la convention minière de Sabodala du 23 mars 2005</t>
        </is>
      </c>
      <c r="R5021" s="22"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2" t="n">
        <v>350000</v>
      </c>
      <c r="O5022" t="inlineStr">
        <is>
          <t>SF Livelihood (Income Generation)</t>
        </is>
      </c>
      <c r="P5022" t="inlineStr">
        <is>
          <t>Obligation de développement social: art.15 de l'avenant 1 à la convention minière de Sabodala du 23 mars 2005</t>
        </is>
      </c>
      <c r="R5022" s="22"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2" t="n">
        <v>5825789</v>
      </c>
      <c r="O5023" t="inlineStr">
        <is>
          <t>SF Health</t>
        </is>
      </c>
      <c r="P5023" t="inlineStr">
        <is>
          <t>Obligation de développement social: art.15 de l'avenant 1 à la convention minière de Sabodala du 23 mars 2005</t>
        </is>
      </c>
      <c r="R5023" s="22"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2" t="n">
        <v>5226528</v>
      </c>
      <c r="O5024" t="inlineStr">
        <is>
          <t>SF Education</t>
        </is>
      </c>
      <c r="P5024" t="inlineStr">
        <is>
          <t>Obligation de développement social: art.15 de l'avenant 1 à la convention minière de Sabodala du 23 mars 2005</t>
        </is>
      </c>
      <c r="R5024" s="22"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2" t="n">
        <v>1209787</v>
      </c>
      <c r="O5025" t="inlineStr">
        <is>
          <t>SF Livelihood (Income Generation)</t>
        </is>
      </c>
      <c r="P5025" t="inlineStr">
        <is>
          <t>Obligation de développement social: art.15 de l'avenant 1 à la convention minière de Sabodala du 23 mars 2005</t>
        </is>
      </c>
      <c r="R5025" s="22"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2" t="n">
        <v>500000</v>
      </c>
      <c r="O5026" t="inlineStr">
        <is>
          <t>SF Sport&amp;Culture</t>
        </is>
      </c>
      <c r="P5026" t="inlineStr">
        <is>
          <t>Obligation de développement social: art.15 de l'avenant 1 à la convention minière de Sabodala du 23 mars 2005</t>
        </is>
      </c>
      <c r="R5026" s="22"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2" t="n">
        <v>1031229</v>
      </c>
      <c r="O5027" t="inlineStr">
        <is>
          <t>SF Health</t>
        </is>
      </c>
      <c r="P5027" t="inlineStr">
        <is>
          <t>Obligation de développement social: art.15 de l'avenant 1 à la convention minière de Sabodala du 23 mars 2005</t>
        </is>
      </c>
      <c r="R5027" s="22"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2" t="n">
        <v>131000</v>
      </c>
      <c r="O5028" t="inlineStr">
        <is>
          <t>SF Livelihood (Income Generation)</t>
        </is>
      </c>
      <c r="P5028" t="inlineStr">
        <is>
          <t>Obligation de développement social: art.15 de l'avenant 1 à la convention minière de Sabodala du 23 mars 2005</t>
        </is>
      </c>
      <c r="R5028" s="22"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2" t="n">
        <v>-75000</v>
      </c>
      <c r="O5029" t="inlineStr">
        <is>
          <t>SF Education</t>
        </is>
      </c>
      <c r="P5029" t="inlineStr">
        <is>
          <t>Obligation de développement social: art.15 de l'avenant 1 à la convention minière de Sabodala du 23 mars 2005</t>
        </is>
      </c>
      <c r="R5029" s="22"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2" t="n">
        <v>-75000</v>
      </c>
      <c r="O5030" t="inlineStr">
        <is>
          <t>SF Education</t>
        </is>
      </c>
      <c r="P5030" t="inlineStr">
        <is>
          <t>Obligation de développement social: art.15 de l'avenant 1 à la convention minière de Sabodala du 23 mars 2005</t>
        </is>
      </c>
      <c r="R5030" s="22"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2" t="n">
        <v>-75000</v>
      </c>
      <c r="O5031" t="inlineStr">
        <is>
          <t>SF Education</t>
        </is>
      </c>
      <c r="P5031" t="inlineStr">
        <is>
          <t>Obligation de développement social: art.15 de l'avenant 1 à la convention minière de Sabodala du 23 mars 2005</t>
        </is>
      </c>
      <c r="R5031" s="22"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2" t="n">
        <v>1553000</v>
      </c>
      <c r="O5032" t="inlineStr">
        <is>
          <t>SF Education</t>
        </is>
      </c>
      <c r="P5032" t="inlineStr">
        <is>
          <t>Obligation de développement social: art.15 de l'avenant 1 à la convention minière de Sabodala du 23 mars 2005</t>
        </is>
      </c>
      <c r="R5032" s="22"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2" t="n">
        <v>85000</v>
      </c>
      <c r="K5033" t="inlineStr">
        <is>
          <t>28/12/2023</t>
        </is>
      </c>
      <c r="L5033" t="inlineStr">
        <is>
          <t>Appuis divers</t>
        </is>
      </c>
      <c r="R5033" s="22"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2" t="n">
        <v>1139607.35</v>
      </c>
      <c r="O5034" t="inlineStr">
        <is>
          <t>SF Education</t>
        </is>
      </c>
      <c r="P5034" t="inlineStr">
        <is>
          <t>Obligation de développement social: art.15 de l'avenant 1 à la convention minière de Sabodala du 23 mars 2005</t>
        </is>
      </c>
      <c r="R5034" s="22"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2" t="n">
        <v>3046500</v>
      </c>
      <c r="O5035" t="inlineStr">
        <is>
          <t>SF Water</t>
        </is>
      </c>
      <c r="P5035" t="inlineStr">
        <is>
          <t>Obligation de développement social: art.15 de l'avenant 1 à la convention minière de Sabodala du 23 mars 2005</t>
        </is>
      </c>
      <c r="R5035" s="22"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2" t="n">
        <v>-100000</v>
      </c>
      <c r="O5036" t="inlineStr">
        <is>
          <t>SF Education</t>
        </is>
      </c>
      <c r="P5036" t="inlineStr">
        <is>
          <t>Obligation de développement social: art.15 de l'avenant 1 à la convention minière de Sabodala du 23 mars 2005</t>
        </is>
      </c>
      <c r="R5036" s="22"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2" t="n">
        <v>-100000</v>
      </c>
      <c r="O5037" t="inlineStr">
        <is>
          <t>SF Education</t>
        </is>
      </c>
      <c r="P5037" t="inlineStr">
        <is>
          <t>Obligation de développement social: art.15 de l'avenant 1 à la convention minière de Sabodala du 23 mars 2005</t>
        </is>
      </c>
      <c r="R5037" s="22"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2" t="n">
        <v>400000</v>
      </c>
      <c r="O5038" t="inlineStr">
        <is>
          <t>SF Sport&amp;Culture</t>
        </is>
      </c>
      <c r="P5038" t="inlineStr">
        <is>
          <t>Obligation de développement social: art.15 de l'avenant 1 à la convention minière de Sabodala du 23 mars 2005</t>
        </is>
      </c>
      <c r="R5038" s="22"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2" t="n">
        <v>400000</v>
      </c>
      <c r="O5039" t="inlineStr">
        <is>
          <t>SF Sport&amp;Culture</t>
        </is>
      </c>
      <c r="P5039" t="inlineStr">
        <is>
          <t>Obligation de développement social: art.15 de l'avenant 1 à la convention minière de Sabodala du 23 mars 2005</t>
        </is>
      </c>
      <c r="R5039" s="22"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2" t="n">
        <v>2214000</v>
      </c>
      <c r="O5040" t="inlineStr">
        <is>
          <t>SF Water</t>
        </is>
      </c>
      <c r="P5040" t="inlineStr">
        <is>
          <t>Obligation de développement social: art.15 de l'avenant 1 à la convention minière de Sabodala du 23 mars 2005</t>
        </is>
      </c>
      <c r="R5040" s="22"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2" t="n">
        <v>12500000</v>
      </c>
      <c r="O5041" t="inlineStr">
        <is>
          <t>SF Education</t>
        </is>
      </c>
      <c r="P5041" t="inlineStr">
        <is>
          <t>Obligation de développement social: art.15 de l'avenant 1 à la convention minière de Sabodala du 23 mars 2005</t>
        </is>
      </c>
      <c r="R5041" s="22"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2" t="n">
        <v>1800000</v>
      </c>
      <c r="O5042" t="inlineStr">
        <is>
          <t>SF Education</t>
        </is>
      </c>
      <c r="P5042" t="inlineStr">
        <is>
          <t>Obligation de développement social: art.15 de l'avenant 1 à la convention minière de Sabodala du 23 mars 2005</t>
        </is>
      </c>
      <c r="R5042" s="22"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2" t="n">
        <v>1080000</v>
      </c>
      <c r="O5043" t="inlineStr">
        <is>
          <t>SF Education</t>
        </is>
      </c>
      <c r="P5043" t="inlineStr">
        <is>
          <t>Obligation de développement social: art.15 de l'avenant 1 à la convention minière de Sabodala du 23 mars 2005</t>
        </is>
      </c>
      <c r="R5043" s="22"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2" t="n">
        <v>12500000</v>
      </c>
      <c r="O5044" t="inlineStr">
        <is>
          <t>SF Education</t>
        </is>
      </c>
      <c r="P5044" t="inlineStr">
        <is>
          <t>Obligation de développement social: art.15 de l'avenant 1 à la convention minière de Sabodala du 23 mars 2005</t>
        </is>
      </c>
      <c r="R5044" s="22"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2" t="n">
        <v>2880000</v>
      </c>
      <c r="O5045" t="inlineStr">
        <is>
          <t>SF Education</t>
        </is>
      </c>
      <c r="P5045" t="inlineStr">
        <is>
          <t>Obligation de développement social: art.15 de l'avenant 1 à la convention minière de Sabodala du 23 mars 2005</t>
        </is>
      </c>
      <c r="R5045" s="22"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2" t="n">
        <v>12500000</v>
      </c>
      <c r="O5046" t="inlineStr">
        <is>
          <t>SF Education</t>
        </is>
      </c>
      <c r="P5046" t="inlineStr">
        <is>
          <t>Obligation de développement social: art.15 de l'avenant 1 à la convention minière de Sabodala du 23 mars 2005</t>
        </is>
      </c>
      <c r="R5046" s="22"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2" t="n">
        <v>2880000</v>
      </c>
      <c r="O5047" t="inlineStr">
        <is>
          <t>SF Education</t>
        </is>
      </c>
      <c r="P5047" t="inlineStr">
        <is>
          <t>Obligation de développement social: art.15 de l'avenant 1 à la convention minière de Sabodala du 23 mars 2005</t>
        </is>
      </c>
      <c r="R5047" s="22"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2" t="n">
        <v>180000</v>
      </c>
      <c r="O5048" t="inlineStr">
        <is>
          <t>SF Education</t>
        </is>
      </c>
      <c r="P5048" t="inlineStr">
        <is>
          <t>Obligation de développement social: art.15 de l'avenant 1 à la convention minière de Sabodala du 23 mars 2005</t>
        </is>
      </c>
      <c r="R5048" s="22"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2" t="n">
        <v>1300000</v>
      </c>
      <c r="O5049" t="inlineStr">
        <is>
          <t>SF Education</t>
        </is>
      </c>
      <c r="P5049" t="inlineStr">
        <is>
          <t>Obligation de développement social: art.15 de l'avenant 1 à la convention minière de Sabodala du 23 mars 2005</t>
        </is>
      </c>
      <c r="R5049" s="22"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2" t="n">
        <v>1400000</v>
      </c>
      <c r="O5050" t="inlineStr">
        <is>
          <t>SF Education</t>
        </is>
      </c>
      <c r="P5050" t="inlineStr">
        <is>
          <t>Obligation de développement social: art.15 de l'avenant 1 à la convention minière de Sabodala du 23 mars 2005</t>
        </is>
      </c>
      <c r="R5050" s="22"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2" t="n">
        <v>12500000</v>
      </c>
      <c r="O5051" t="inlineStr">
        <is>
          <t>SF Education</t>
        </is>
      </c>
      <c r="P5051" t="inlineStr">
        <is>
          <t>Obligation de développement social: art.15 de l'avenant 1 à la convention minière de Sabodala du 23 mars 2005</t>
        </is>
      </c>
      <c r="R5051" s="22"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2" t="n">
        <v>84000.00999999999</v>
      </c>
      <c r="K5052" s="23"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2"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2"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2" t="n">
        <v>44057</v>
      </c>
      <c r="K5054" t="inlineStr">
        <is>
          <t>Donation</t>
        </is>
      </c>
      <c r="L5054" t="inlineStr">
        <is>
          <t>Donation</t>
        </is>
      </c>
      <c r="M5054" t="inlineStr">
        <is>
          <t>Néant</t>
        </is>
      </c>
      <c r="N5054" t="inlineStr">
        <is>
          <t>Néant</t>
        </is>
      </c>
      <c r="O5054" t="inlineStr">
        <is>
          <t>NC</t>
        </is>
      </c>
      <c r="R5054" s="22"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2" t="n">
        <v>44076</v>
      </c>
      <c r="K5055" t="inlineStr">
        <is>
          <t>Donation</t>
        </is>
      </c>
      <c r="L5055" t="inlineStr">
        <is>
          <t>Donation</t>
        </is>
      </c>
      <c r="M5055" t="inlineStr">
        <is>
          <t>Néant</t>
        </is>
      </c>
      <c r="N5055" t="inlineStr">
        <is>
          <t>Néant</t>
        </is>
      </c>
      <c r="O5055" t="inlineStr">
        <is>
          <t>NC</t>
        </is>
      </c>
      <c r="R5055" s="22"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2" t="n">
        <v>82600</v>
      </c>
      <c r="K5056" s="23" t="n">
        <v>45175</v>
      </c>
      <c r="R5056" s="22"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2" t="n">
        <v>401707</v>
      </c>
      <c r="O5057" t="inlineStr">
        <is>
          <t>Jeunesse</t>
        </is>
      </c>
      <c r="P5057" t="inlineStr">
        <is>
          <t>Nc</t>
        </is>
      </c>
      <c r="R5057" s="22"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2" t="n">
        <v>907457</v>
      </c>
      <c r="O5058" t="inlineStr">
        <is>
          <t>Sante</t>
        </is>
      </c>
      <c r="P5058" t="inlineStr">
        <is>
          <t>Nc</t>
        </is>
      </c>
      <c r="R5058" s="22"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2" t="n">
        <v>1961760</v>
      </c>
      <c r="O5059" t="inlineStr">
        <is>
          <t>Agriculture</t>
        </is>
      </c>
      <c r="P5059" t="inlineStr">
        <is>
          <t>Nc</t>
        </is>
      </c>
      <c r="R5059" s="22"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2" t="n">
        <v>847174</v>
      </c>
      <c r="O5060" t="inlineStr">
        <is>
          <t>Sante</t>
        </is>
      </c>
      <c r="P5060" t="inlineStr">
        <is>
          <t>Nc</t>
        </is>
      </c>
      <c r="R5060" s="22"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2" t="n">
        <v>728105</v>
      </c>
      <c r="O5061" t="inlineStr">
        <is>
          <t>Etucation</t>
        </is>
      </c>
      <c r="P5061" t="inlineStr">
        <is>
          <t>Nc</t>
        </is>
      </c>
      <c r="R5061" s="22"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2" t="n">
        <v>6240144.2</v>
      </c>
      <c r="O5062" t="inlineStr">
        <is>
          <t>Sport</t>
        </is>
      </c>
      <c r="P5062" t="inlineStr">
        <is>
          <t>Nc</t>
        </is>
      </c>
      <c r="R5062" s="22"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2" t="n">
        <v>6240144.2</v>
      </c>
      <c r="O5063" t="inlineStr">
        <is>
          <t>Sport</t>
        </is>
      </c>
      <c r="P5063" t="inlineStr">
        <is>
          <t>Nc</t>
        </is>
      </c>
      <c r="R5063" s="22"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2" t="n">
        <v>9360216.300000001</v>
      </c>
      <c r="O5064" t="inlineStr">
        <is>
          <t>Sport</t>
        </is>
      </c>
      <c r="P5064" t="inlineStr">
        <is>
          <t>Nc</t>
        </is>
      </c>
      <c r="R5064" s="22"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2" t="n">
        <v>7635302.2</v>
      </c>
      <c r="O5065" t="inlineStr">
        <is>
          <t>Gouvernance</t>
        </is>
      </c>
      <c r="P5065" t="inlineStr">
        <is>
          <t>Nc</t>
        </is>
      </c>
      <c r="R5065" s="22"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2" t="n">
        <v>2737600</v>
      </c>
      <c r="O5066" t="inlineStr">
        <is>
          <t>Gouvernance</t>
        </is>
      </c>
      <c r="P5066" t="inlineStr">
        <is>
          <t>Nc</t>
        </is>
      </c>
      <c r="R5066" s="22"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2" t="n">
        <v>425000</v>
      </c>
      <c r="O5067" t="inlineStr">
        <is>
          <t>Gouvernance</t>
        </is>
      </c>
      <c r="P5067" t="inlineStr">
        <is>
          <t>Nc</t>
        </is>
      </c>
      <c r="R5067" s="22"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2" t="n">
        <v>80000</v>
      </c>
      <c r="K5068" t="inlineStr">
        <is>
          <t>2024-01-09</t>
        </is>
      </c>
      <c r="L5068" t="inlineStr">
        <is>
          <t>Appuis divers</t>
        </is>
      </c>
      <c r="R5068" s="22"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2" t="n">
        <v>80000</v>
      </c>
      <c r="K5069" s="23" t="n">
        <v>44937</v>
      </c>
      <c r="R5069" s="22"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2" t="n">
        <v>80000</v>
      </c>
      <c r="K5070" t="inlineStr">
        <is>
          <t>15/03/2023</t>
        </is>
      </c>
      <c r="L5070" t="inlineStr">
        <is>
          <t>Appuis divers</t>
        </is>
      </c>
      <c r="R5070" s="22"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2" t="n">
        <v>80000</v>
      </c>
      <c r="K5071" t="inlineStr">
        <is>
          <t>14/08/2023</t>
        </is>
      </c>
      <c r="L5071" t="inlineStr">
        <is>
          <t>Appuis divers</t>
        </is>
      </c>
      <c r="R5071" s="22"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2" t="n">
        <v>317438</v>
      </c>
      <c r="O5072" t="inlineStr">
        <is>
          <t>Jeunesse</t>
        </is>
      </c>
      <c r="P5072" t="inlineStr">
        <is>
          <t>Nc</t>
        </is>
      </c>
      <c r="R5072" s="22"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2" t="n">
        <v>78001.74000000001</v>
      </c>
      <c r="K5073" s="23"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2"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2" t="n">
        <v>78001.74000000001</v>
      </c>
      <c r="K5074" s="23"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2"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2" t="n">
        <v>78001.74000000001</v>
      </c>
      <c r="K5075" s="23"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2"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2" t="n">
        <v>425000</v>
      </c>
      <c r="K5076" s="23" t="n">
        <v>44218</v>
      </c>
      <c r="L5076" t="inlineStr">
        <is>
          <t>Gouvernance</t>
        </is>
      </c>
      <c r="M5076" t="inlineStr">
        <is>
          <t>N/A</t>
        </is>
      </c>
      <c r="N5076" t="inlineStr">
        <is>
          <t>N/A</t>
        </is>
      </c>
      <c r="O5076" t="inlineStr">
        <is>
          <t>N/A</t>
        </is>
      </c>
      <c r="P5076" t="inlineStr">
        <is>
          <t>Nc</t>
        </is>
      </c>
      <c r="R5076" s="22"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2" t="n">
        <v>7000000</v>
      </c>
      <c r="O5077" t="inlineStr">
        <is>
          <t>Sante</t>
        </is>
      </c>
      <c r="P5077" t="inlineStr">
        <is>
          <t>Nc</t>
        </is>
      </c>
      <c r="R5077" s="22"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2" t="n">
        <v>3000000</v>
      </c>
      <c r="O5078" t="inlineStr">
        <is>
          <t>Sante</t>
        </is>
      </c>
      <c r="P5078" t="inlineStr">
        <is>
          <t>Nc</t>
        </is>
      </c>
      <c r="R5078" s="22"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2" t="n">
        <v>2099923</v>
      </c>
      <c r="O5079" t="inlineStr">
        <is>
          <t>Education</t>
        </is>
      </c>
      <c r="P5079" t="inlineStr">
        <is>
          <t>Nc</t>
        </is>
      </c>
      <c r="R5079" s="22"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2" t="n">
        <v>4199845</v>
      </c>
      <c r="O5080" t="inlineStr">
        <is>
          <t>Education</t>
        </is>
      </c>
      <c r="P5080" t="inlineStr">
        <is>
          <t>Nc</t>
        </is>
      </c>
      <c r="R5080" s="22"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2" t="n">
        <v>6999742</v>
      </c>
      <c r="O5081" t="inlineStr">
        <is>
          <t>Education</t>
        </is>
      </c>
      <c r="P5081" t="inlineStr">
        <is>
          <t>Nc</t>
        </is>
      </c>
      <c r="R5081" s="22"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2" t="n">
        <v>2163913</v>
      </c>
      <c r="O5082" t="inlineStr">
        <is>
          <t>Education</t>
        </is>
      </c>
      <c r="P5082" t="inlineStr">
        <is>
          <t>Nc</t>
        </is>
      </c>
      <c r="R5082" s="22"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2" t="n">
        <v>4327828</v>
      </c>
      <c r="O5083" t="inlineStr">
        <is>
          <t>Education</t>
        </is>
      </c>
      <c r="P5083" t="inlineStr">
        <is>
          <t>Nc</t>
        </is>
      </c>
      <c r="R5083" s="22"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2" t="n">
        <v>7213046</v>
      </c>
      <c r="O5084" t="inlineStr">
        <is>
          <t>Education</t>
        </is>
      </c>
      <c r="P5084" t="inlineStr">
        <is>
          <t>Nc</t>
        </is>
      </c>
      <c r="R5084" s="22"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2" t="n">
        <v>1812088</v>
      </c>
      <c r="P5085" t="inlineStr">
        <is>
          <t>Nc</t>
        </is>
      </c>
      <c r="R5085" s="22"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2" t="n">
        <v>6900000</v>
      </c>
      <c r="O5086" t="inlineStr">
        <is>
          <t>Education</t>
        </is>
      </c>
      <c r="P5086" t="inlineStr">
        <is>
          <t>Nc</t>
        </is>
      </c>
      <c r="R5086" s="22"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2" t="n">
        <v>9900000</v>
      </c>
      <c r="O5087" t="inlineStr">
        <is>
          <t>Gouvernance</t>
        </is>
      </c>
      <c r="P5087" t="inlineStr">
        <is>
          <t>Nc</t>
        </is>
      </c>
      <c r="R5087" s="22"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2" t="n">
        <v>10000000</v>
      </c>
      <c r="O5088" t="inlineStr">
        <is>
          <t>Gouvernance</t>
        </is>
      </c>
      <c r="P5088" t="inlineStr">
        <is>
          <t>Nc</t>
        </is>
      </c>
      <c r="R5088" s="22"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2" t="n">
        <v>1500000</v>
      </c>
      <c r="O5089" t="inlineStr">
        <is>
          <t>Sport</t>
        </is>
      </c>
      <c r="P5089" t="inlineStr">
        <is>
          <t>Nc</t>
        </is>
      </c>
      <c r="R5089" s="22"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2" t="n">
        <v>10612893</v>
      </c>
      <c r="O5090" t="inlineStr">
        <is>
          <t>Elevage</t>
        </is>
      </c>
      <c r="P5090" t="inlineStr">
        <is>
          <t>Nc</t>
        </is>
      </c>
      <c r="R5090" s="22"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2" t="n">
        <v>2500000</v>
      </c>
      <c r="O5091" t="inlineStr">
        <is>
          <t>Sport</t>
        </is>
      </c>
      <c r="P5091" t="inlineStr">
        <is>
          <t>Nc</t>
        </is>
      </c>
      <c r="R5091" s="22"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2" t="n">
        <v>2500000</v>
      </c>
      <c r="O5092" t="inlineStr">
        <is>
          <t>Sport</t>
        </is>
      </c>
      <c r="P5092" t="inlineStr">
        <is>
          <t>Nc</t>
        </is>
      </c>
      <c r="R5092" s="22"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2" t="n">
        <v>10936830</v>
      </c>
      <c r="O5093" t="inlineStr">
        <is>
          <t>Transport</t>
        </is>
      </c>
      <c r="P5093" t="inlineStr">
        <is>
          <t>Nc</t>
        </is>
      </c>
      <c r="R5093" s="22"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2" t="n">
        <v>4620000</v>
      </c>
      <c r="O5094" t="inlineStr">
        <is>
          <t>Education</t>
        </is>
      </c>
      <c r="P5094" t="inlineStr">
        <is>
          <t>Nc</t>
        </is>
      </c>
      <c r="R5094" s="22"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2" t="n">
        <v>6900000</v>
      </c>
      <c r="O5095" t="inlineStr">
        <is>
          <t>Education</t>
        </is>
      </c>
      <c r="P5095" t="inlineStr">
        <is>
          <t>Nc</t>
        </is>
      </c>
      <c r="R5095" s="22"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2" t="n">
        <v>78001.74000000001</v>
      </c>
      <c r="K5096" s="23"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2"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2" t="n">
        <v>78001.74000000001</v>
      </c>
      <c r="K5097" s="23"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2"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2" t="n">
        <v>78001.74000000001</v>
      </c>
      <c r="K5098" s="23"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2"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2" t="n">
        <v>78001.74000000001</v>
      </c>
      <c r="K5099" s="23"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2"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2" t="n">
        <v>77500</v>
      </c>
      <c r="K5100" s="23"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2"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2" t="n">
        <v>77500</v>
      </c>
      <c r="K5101" t="inlineStr">
        <is>
          <t>10/08/2023</t>
        </is>
      </c>
      <c r="L5101" t="inlineStr">
        <is>
          <t>Appuis divers</t>
        </is>
      </c>
      <c r="R5101" s="22"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2" t="n">
        <v>75000</v>
      </c>
      <c r="K5102" s="23"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2"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2" t="n">
        <v>75000</v>
      </c>
      <c r="K5103" t="inlineStr">
        <is>
          <t>2024-04-11</t>
        </is>
      </c>
      <c r="L5103" t="inlineStr">
        <is>
          <t>Appuis divers</t>
        </is>
      </c>
      <c r="R5103" s="22"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2" t="n">
        <v>75000</v>
      </c>
      <c r="K5104" s="23" t="n">
        <v>45424</v>
      </c>
      <c r="R5104" s="22"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2" t="n">
        <v>18000000</v>
      </c>
      <c r="O5105" t="inlineStr">
        <is>
          <t>Education</t>
        </is>
      </c>
      <c r="P5105" t="inlineStr">
        <is>
          <t>Nc</t>
        </is>
      </c>
      <c r="R5105" s="22"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2" t="n">
        <v>4000000</v>
      </c>
      <c r="O5106" t="inlineStr">
        <is>
          <t>Sport</t>
        </is>
      </c>
      <c r="P5106" t="inlineStr">
        <is>
          <t>Nc</t>
        </is>
      </c>
      <c r="R5106" s="22"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2" t="n">
        <v>7000000</v>
      </c>
      <c r="O5107" t="inlineStr">
        <is>
          <t>Sante</t>
        </is>
      </c>
      <c r="P5107" t="inlineStr">
        <is>
          <t>Nc</t>
        </is>
      </c>
      <c r="R5107" s="22"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2" t="n">
        <v>75000</v>
      </c>
      <c r="K5108" s="23" t="n">
        <v>45517</v>
      </c>
      <c r="L5108" t="inlineStr">
        <is>
          <t>SUBENVTIONS</t>
        </is>
      </c>
      <c r="R5108" s="22"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2" t="n">
        <v>490000</v>
      </c>
      <c r="O5109" t="inlineStr">
        <is>
          <t>Formation</t>
        </is>
      </c>
      <c r="P5109" t="inlineStr">
        <is>
          <t>Nc</t>
        </is>
      </c>
      <c r="R5109" s="22"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2" t="n">
        <v>760000</v>
      </c>
      <c r="O5110" t="inlineStr">
        <is>
          <t>Formation</t>
        </is>
      </c>
      <c r="P5110" t="inlineStr">
        <is>
          <t>Nc</t>
        </is>
      </c>
      <c r="R5110" s="22"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2" t="n">
        <v>200000</v>
      </c>
      <c r="O5111" t="inlineStr">
        <is>
          <t>Gouvernance</t>
        </is>
      </c>
      <c r="P5111" t="inlineStr">
        <is>
          <t>Nc</t>
        </is>
      </c>
      <c r="R5111" s="22"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2" t="n">
        <v>300000</v>
      </c>
      <c r="O5112" t="inlineStr">
        <is>
          <t>Gouvernance</t>
        </is>
      </c>
      <c r="P5112" t="inlineStr">
        <is>
          <t>Nc</t>
        </is>
      </c>
      <c r="R5112" s="22"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2" t="n">
        <v>300000</v>
      </c>
      <c r="O5113" t="inlineStr">
        <is>
          <t>Gouvernance</t>
        </is>
      </c>
      <c r="P5113" t="inlineStr">
        <is>
          <t>Nc</t>
        </is>
      </c>
      <c r="R5113" s="22"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2" t="n">
        <v>1700000</v>
      </c>
      <c r="K5114" s="23" t="n">
        <v>44464</v>
      </c>
      <c r="L5114" t="inlineStr">
        <is>
          <t>Sport</t>
        </is>
      </c>
      <c r="M5114" t="inlineStr">
        <is>
          <t>N/A</t>
        </is>
      </c>
      <c r="N5114" t="inlineStr">
        <is>
          <t>N/A</t>
        </is>
      </c>
      <c r="O5114" t="inlineStr">
        <is>
          <t>N/A</t>
        </is>
      </c>
      <c r="P5114" t="inlineStr">
        <is>
          <t>Nc</t>
        </is>
      </c>
      <c r="R5114" s="22"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2" t="n">
        <v>1800000</v>
      </c>
      <c r="K5115" s="23" t="n">
        <v>44464</v>
      </c>
      <c r="L5115" t="inlineStr">
        <is>
          <t>Sport</t>
        </is>
      </c>
      <c r="M5115" t="inlineStr">
        <is>
          <t>N/A</t>
        </is>
      </c>
      <c r="N5115" t="inlineStr">
        <is>
          <t>N/A</t>
        </is>
      </c>
      <c r="O5115" t="inlineStr">
        <is>
          <t>N/A</t>
        </is>
      </c>
      <c r="P5115" t="inlineStr">
        <is>
          <t>Nc</t>
        </is>
      </c>
      <c r="R5115" s="22"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2" t="n">
        <v>1900000</v>
      </c>
      <c r="K5116" s="23" t="n">
        <v>44464</v>
      </c>
      <c r="L5116" t="inlineStr">
        <is>
          <t>Sport</t>
        </is>
      </c>
      <c r="M5116" t="inlineStr">
        <is>
          <t>N/A</t>
        </is>
      </c>
      <c r="N5116" t="inlineStr">
        <is>
          <t>N/A</t>
        </is>
      </c>
      <c r="O5116" t="inlineStr">
        <is>
          <t>N/A</t>
        </is>
      </c>
      <c r="P5116" t="inlineStr">
        <is>
          <t>Nc</t>
        </is>
      </c>
      <c r="R5116" s="22"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2" t="n">
        <v>2000000</v>
      </c>
      <c r="K5117" s="23" t="n">
        <v>44464</v>
      </c>
      <c r="L5117" t="inlineStr">
        <is>
          <t>Aviculture</t>
        </is>
      </c>
      <c r="M5117" t="inlineStr">
        <is>
          <t>N/A</t>
        </is>
      </c>
      <c r="N5117" t="inlineStr">
        <is>
          <t>N/A</t>
        </is>
      </c>
      <c r="O5117" t="inlineStr">
        <is>
          <t>N/A</t>
        </is>
      </c>
      <c r="P5117" t="inlineStr">
        <is>
          <t>Nc</t>
        </is>
      </c>
      <c r="R5117" s="22"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2" t="n">
        <v>2600000</v>
      </c>
      <c r="K5118" s="23" t="n">
        <v>44464</v>
      </c>
      <c r="L5118" t="inlineStr">
        <is>
          <t>Sport</t>
        </is>
      </c>
      <c r="M5118" t="inlineStr">
        <is>
          <t>N/A</t>
        </is>
      </c>
      <c r="N5118" t="inlineStr">
        <is>
          <t>N/A</t>
        </is>
      </c>
      <c r="O5118" t="inlineStr">
        <is>
          <t>N/A</t>
        </is>
      </c>
      <c r="P5118" t="inlineStr">
        <is>
          <t>Nc</t>
        </is>
      </c>
      <c r="R5118" s="22"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2" t="n">
        <v>3500000</v>
      </c>
      <c r="K5119" s="23" t="n">
        <v>44464</v>
      </c>
      <c r="L5119" t="inlineStr">
        <is>
          <t>Sport</t>
        </is>
      </c>
      <c r="M5119" t="inlineStr">
        <is>
          <t>N/A</t>
        </is>
      </c>
      <c r="N5119" t="inlineStr">
        <is>
          <t>N/A</t>
        </is>
      </c>
      <c r="O5119" t="inlineStr">
        <is>
          <t>N/A</t>
        </is>
      </c>
      <c r="P5119" t="inlineStr">
        <is>
          <t>Nc</t>
        </is>
      </c>
      <c r="R5119" s="22"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2" t="n">
        <v>75000</v>
      </c>
      <c r="K5120" s="23" t="n">
        <v>45137</v>
      </c>
      <c r="L5120" t="inlineStr">
        <is>
          <t>Appui divers</t>
        </is>
      </c>
      <c r="M5120" t="inlineStr">
        <is>
          <t>N/A</t>
        </is>
      </c>
      <c r="N5120" t="inlineStr">
        <is>
          <t>N/A</t>
        </is>
      </c>
      <c r="O5120" t="inlineStr">
        <is>
          <t>N/A</t>
        </is>
      </c>
      <c r="R5120" s="22"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2" t="n">
        <v>7682704</v>
      </c>
      <c r="O5121" t="inlineStr">
        <is>
          <t>Education</t>
        </is>
      </c>
      <c r="P5121" t="inlineStr">
        <is>
          <t>Nc</t>
        </is>
      </c>
      <c r="R5121" s="22"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2" t="n">
        <v>6352197</v>
      </c>
      <c r="O5122" t="inlineStr">
        <is>
          <t>Education</t>
        </is>
      </c>
      <c r="P5122" t="inlineStr">
        <is>
          <t>Nc</t>
        </is>
      </c>
      <c r="R5122" s="22"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2" t="n">
        <v>6502112</v>
      </c>
      <c r="O5123" t="inlineStr">
        <is>
          <t>Sante</t>
        </is>
      </c>
      <c r="P5123" t="inlineStr">
        <is>
          <t>Nc</t>
        </is>
      </c>
      <c r="R5123" s="22"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2" t="n">
        <v>12434172</v>
      </c>
      <c r="O5124" t="inlineStr">
        <is>
          <t>Education</t>
        </is>
      </c>
      <c r="P5124" t="inlineStr">
        <is>
          <t>Nc</t>
        </is>
      </c>
      <c r="R5124" s="22"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2" t="n">
        <v>15749951</v>
      </c>
      <c r="O5125" t="inlineStr">
        <is>
          <t>Education</t>
        </is>
      </c>
      <c r="P5125" t="inlineStr">
        <is>
          <t>Nc</t>
        </is>
      </c>
      <c r="R5125" s="22"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2" t="n">
        <v>10207714</v>
      </c>
      <c r="O5126" t="inlineStr">
        <is>
          <t>Education</t>
        </is>
      </c>
      <c r="P5126" t="inlineStr">
        <is>
          <t>Nc</t>
        </is>
      </c>
      <c r="R5126" s="22"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2" t="n">
        <v>5260219</v>
      </c>
      <c r="O5127" t="inlineStr">
        <is>
          <t>Sante</t>
        </is>
      </c>
      <c r="P5127" t="inlineStr">
        <is>
          <t>Nc</t>
        </is>
      </c>
      <c r="R5127" s="22"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2" t="n">
        <v>18175030</v>
      </c>
      <c r="O5128" t="inlineStr">
        <is>
          <t>Jeunesse</t>
        </is>
      </c>
      <c r="P5128" t="inlineStr">
        <is>
          <t>Nc</t>
        </is>
      </c>
      <c r="R5128" s="22"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2" t="n">
        <v>4847853</v>
      </c>
      <c r="O5129" t="inlineStr">
        <is>
          <t>Sante</t>
        </is>
      </c>
      <c r="P5129" t="inlineStr">
        <is>
          <t>Nc</t>
        </is>
      </c>
      <c r="R5129" s="22"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2" t="n">
        <v>9858172</v>
      </c>
      <c r="O5130" t="inlineStr">
        <is>
          <t>Sante</t>
        </is>
      </c>
      <c r="P5130" t="inlineStr">
        <is>
          <t>Nc</t>
        </is>
      </c>
      <c r="R5130" s="22"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2" t="n">
        <v>6900000</v>
      </c>
      <c r="O5131" t="inlineStr">
        <is>
          <t>Education</t>
        </is>
      </c>
      <c r="P5131" t="inlineStr">
        <is>
          <t>Nc</t>
        </is>
      </c>
      <c r="R5131" s="22"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2" t="n">
        <v>6900000</v>
      </c>
      <c r="O5132" t="inlineStr">
        <is>
          <t>Education</t>
        </is>
      </c>
      <c r="P5132" t="inlineStr">
        <is>
          <t>Nc</t>
        </is>
      </c>
      <c r="R5132" s="22"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2" t="n">
        <v>10584069</v>
      </c>
      <c r="O5133" t="inlineStr">
        <is>
          <t>Hydraulique</t>
        </is>
      </c>
      <c r="P5133" t="inlineStr">
        <is>
          <t>Nc</t>
        </is>
      </c>
      <c r="R5133" s="22"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2" t="n">
        <v>7600000</v>
      </c>
      <c r="O5134" t="inlineStr">
        <is>
          <t>Jeunesse</t>
        </is>
      </c>
      <c r="P5134" t="inlineStr">
        <is>
          <t>Nc</t>
        </is>
      </c>
      <c r="R5134" s="22"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2" t="n">
        <v>4772394</v>
      </c>
      <c r="O5135" t="inlineStr">
        <is>
          <t>Education</t>
        </is>
      </c>
      <c r="P5135" t="inlineStr">
        <is>
          <t>Nc</t>
        </is>
      </c>
      <c r="R5135" s="22"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2" t="n">
        <v>2699999</v>
      </c>
      <c r="O5136" t="inlineStr">
        <is>
          <t>Gouvernance</t>
        </is>
      </c>
      <c r="P5136" t="inlineStr">
        <is>
          <t>Nc</t>
        </is>
      </c>
      <c r="R5136" s="22"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2" t="n">
        <v>4000000</v>
      </c>
      <c r="O5137" t="inlineStr">
        <is>
          <t>Sante</t>
        </is>
      </c>
      <c r="P5137" t="inlineStr">
        <is>
          <t>Nc</t>
        </is>
      </c>
      <c r="R5137" s="22"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2" t="n">
        <v>9240000</v>
      </c>
      <c r="O5138" t="inlineStr">
        <is>
          <t>Education</t>
        </is>
      </c>
      <c r="P5138" t="inlineStr">
        <is>
          <t>Nc</t>
        </is>
      </c>
      <c r="R5138" s="22"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2" t="n">
        <v>75000</v>
      </c>
      <c r="K5139" t="inlineStr">
        <is>
          <t>18/Apr/23</t>
        </is>
      </c>
      <c r="M5139" t="inlineStr">
        <is>
          <t>Religieux</t>
        </is>
      </c>
      <c r="R5139" s="22"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2" t="n">
        <v>75000</v>
      </c>
      <c r="O5140" t="inlineStr">
        <is>
          <t>SF General</t>
        </is>
      </c>
      <c r="P5140" t="inlineStr">
        <is>
          <t>Obligation de développement social: art.15 de l'avenant 1 à la convention minière de Sabodala du 23 mars 2005</t>
        </is>
      </c>
      <c r="R5140" s="22"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2" t="n">
        <v>2700000</v>
      </c>
      <c r="K5141" t="inlineStr">
        <is>
          <t>Nc</t>
        </is>
      </c>
      <c r="L5141" t="inlineStr">
        <is>
          <t>AGRICULTURE</t>
        </is>
      </c>
      <c r="M5141" t="inlineStr">
        <is>
          <t>N/A</t>
        </is>
      </c>
      <c r="N5141" t="inlineStr">
        <is>
          <t>N/A</t>
        </is>
      </c>
      <c r="O5141" t="inlineStr">
        <is>
          <t>N/A</t>
        </is>
      </c>
      <c r="P5141" t="inlineStr">
        <is>
          <t>Nc</t>
        </is>
      </c>
      <c r="R5141" s="22"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2" t="n">
        <v>4125000</v>
      </c>
      <c r="K5142" t="inlineStr">
        <is>
          <t>Nc</t>
        </is>
      </c>
      <c r="L5142" t="inlineStr">
        <is>
          <t>AGRICULTURE</t>
        </is>
      </c>
      <c r="M5142" t="inlineStr">
        <is>
          <t>N/A</t>
        </is>
      </c>
      <c r="N5142" t="inlineStr">
        <is>
          <t>N/A</t>
        </is>
      </c>
      <c r="O5142" t="inlineStr">
        <is>
          <t>N/A</t>
        </is>
      </c>
      <c r="P5142" t="inlineStr">
        <is>
          <t>Nc</t>
        </is>
      </c>
      <c r="R5142" s="22"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2"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2"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2"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2" t="n">
        <v>44159</v>
      </c>
      <c r="K5146" t="inlineStr">
        <is>
          <t>APPUI DIVERS</t>
        </is>
      </c>
      <c r="L5146" t="inlineStr">
        <is>
          <t>FRAIS REMB DEPENSE DECES BARA BA</t>
        </is>
      </c>
      <c r="M5146" t="inlineStr">
        <is>
          <t xml:space="preserve">Néant </t>
        </is>
      </c>
      <c r="N5146" t="inlineStr">
        <is>
          <t xml:space="preserve">Néant </t>
        </is>
      </c>
      <c r="O5146" t="inlineStr">
        <is>
          <t>NC</t>
        </is>
      </c>
      <c r="R5146" s="22"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2" t="n">
        <v>1931400</v>
      </c>
      <c r="K5147" t="inlineStr">
        <is>
          <t>Nc</t>
        </is>
      </c>
      <c r="L5147" t="inlineStr">
        <is>
          <t>Capacitation des femmes</t>
        </is>
      </c>
      <c r="M5147" t="inlineStr">
        <is>
          <t>N/A</t>
        </is>
      </c>
      <c r="N5147" t="inlineStr">
        <is>
          <t>N/A</t>
        </is>
      </c>
      <c r="O5147" t="inlineStr">
        <is>
          <t>N/A</t>
        </is>
      </c>
      <c r="P5147" t="inlineStr">
        <is>
          <t>Nc</t>
        </is>
      </c>
      <c r="R5147" s="22"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2" t="n">
        <v>2384650</v>
      </c>
      <c r="K5148" t="inlineStr">
        <is>
          <t>Nc</t>
        </is>
      </c>
      <c r="L5148" t="inlineStr">
        <is>
          <t>Capacitation des femmes</t>
        </is>
      </c>
      <c r="M5148" t="inlineStr">
        <is>
          <t>N/A</t>
        </is>
      </c>
      <c r="N5148" t="inlineStr">
        <is>
          <t>N/A</t>
        </is>
      </c>
      <c r="O5148" t="inlineStr">
        <is>
          <t>N/A</t>
        </is>
      </c>
      <c r="P5148" t="inlineStr">
        <is>
          <t>Nc</t>
        </is>
      </c>
      <c r="R5148" s="22"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2" t="n">
        <v>1454250</v>
      </c>
      <c r="K5149" t="inlineStr">
        <is>
          <t>Nc</t>
        </is>
      </c>
      <c r="L5149" t="inlineStr">
        <is>
          <t>Capacitation des femmes</t>
        </is>
      </c>
      <c r="M5149" t="inlineStr">
        <is>
          <t>N/A</t>
        </is>
      </c>
      <c r="N5149" t="inlineStr">
        <is>
          <t>N/A</t>
        </is>
      </c>
      <c r="O5149" t="inlineStr">
        <is>
          <t>N/A</t>
        </is>
      </c>
      <c r="P5149" t="inlineStr">
        <is>
          <t>Nc</t>
        </is>
      </c>
      <c r="R5149" s="22"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2" t="n">
        <v>477150</v>
      </c>
      <c r="K5150" t="inlineStr">
        <is>
          <t>Nc</t>
        </is>
      </c>
      <c r="L5150" t="inlineStr">
        <is>
          <t>Capacitation des femmes</t>
        </is>
      </c>
      <c r="M5150" t="inlineStr">
        <is>
          <t>N/A</t>
        </is>
      </c>
      <c r="N5150" t="inlineStr">
        <is>
          <t>N/A</t>
        </is>
      </c>
      <c r="O5150" t="inlineStr">
        <is>
          <t>N/A</t>
        </is>
      </c>
      <c r="P5150" t="inlineStr">
        <is>
          <t>Nc</t>
        </is>
      </c>
      <c r="R5150" s="22"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2" t="n">
        <v>559650</v>
      </c>
      <c r="K5151" t="inlineStr">
        <is>
          <t>Nc</t>
        </is>
      </c>
      <c r="L5151" t="inlineStr">
        <is>
          <t>Capacitation des femmes</t>
        </is>
      </c>
      <c r="M5151" t="inlineStr">
        <is>
          <t>N/A</t>
        </is>
      </c>
      <c r="N5151" t="inlineStr">
        <is>
          <t>N/A</t>
        </is>
      </c>
      <c r="O5151" t="inlineStr">
        <is>
          <t>N/A</t>
        </is>
      </c>
      <c r="P5151" t="inlineStr">
        <is>
          <t>Nc</t>
        </is>
      </c>
      <c r="R5151" s="22"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2" t="n">
        <v>477150</v>
      </c>
      <c r="K5152" t="inlineStr">
        <is>
          <t>Nc</t>
        </is>
      </c>
      <c r="L5152" t="inlineStr">
        <is>
          <t>Capacitation des femmes</t>
        </is>
      </c>
      <c r="M5152" t="inlineStr">
        <is>
          <t>N/A</t>
        </is>
      </c>
      <c r="N5152" t="inlineStr">
        <is>
          <t>N/A</t>
        </is>
      </c>
      <c r="O5152" t="inlineStr">
        <is>
          <t>N/A</t>
        </is>
      </c>
      <c r="P5152" t="inlineStr">
        <is>
          <t>Nc</t>
        </is>
      </c>
      <c r="R5152" s="22"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2" t="n">
        <v>400000</v>
      </c>
      <c r="K5153" t="inlineStr">
        <is>
          <t>Nc</t>
        </is>
      </c>
      <c r="L5153" t="inlineStr">
        <is>
          <t>CULTURE</t>
        </is>
      </c>
      <c r="M5153" t="inlineStr">
        <is>
          <t>N/A</t>
        </is>
      </c>
      <c r="N5153" t="inlineStr">
        <is>
          <t>N/A</t>
        </is>
      </c>
      <c r="O5153" t="inlineStr">
        <is>
          <t>N/A</t>
        </is>
      </c>
      <c r="P5153" t="inlineStr">
        <is>
          <t>Nc</t>
        </is>
      </c>
      <c r="R5153" s="22"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2" t="n">
        <v>1850000</v>
      </c>
      <c r="K5154" t="inlineStr">
        <is>
          <t>Nc</t>
        </is>
      </c>
      <c r="L5154" t="inlineStr">
        <is>
          <t>EDUCATION</t>
        </is>
      </c>
      <c r="M5154" t="inlineStr">
        <is>
          <t>N/A</t>
        </is>
      </c>
      <c r="N5154" t="inlineStr">
        <is>
          <t>N/A</t>
        </is>
      </c>
      <c r="O5154" t="inlineStr">
        <is>
          <t>N/A</t>
        </is>
      </c>
      <c r="P5154" t="inlineStr">
        <is>
          <t>Nc</t>
        </is>
      </c>
      <c r="R5154" s="22"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2" t="n">
        <v>660900</v>
      </c>
      <c r="K5155" t="inlineStr">
        <is>
          <t>Nc</t>
        </is>
      </c>
      <c r="L5155" t="inlineStr">
        <is>
          <t>EDUCATION</t>
        </is>
      </c>
      <c r="M5155" t="inlineStr">
        <is>
          <t>N/A</t>
        </is>
      </c>
      <c r="N5155" t="inlineStr">
        <is>
          <t>N/A</t>
        </is>
      </c>
      <c r="O5155" t="inlineStr">
        <is>
          <t>N/A</t>
        </is>
      </c>
      <c r="P5155" t="inlineStr">
        <is>
          <t>Nc</t>
        </is>
      </c>
      <c r="R5155" s="22"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2" t="n">
        <v>434233.333333333</v>
      </c>
      <c r="K5156" t="inlineStr">
        <is>
          <t>Nc</t>
        </is>
      </c>
      <c r="L5156" t="inlineStr">
        <is>
          <t>EDUCATION</t>
        </is>
      </c>
      <c r="M5156" t="inlineStr">
        <is>
          <t>N/A</t>
        </is>
      </c>
      <c r="N5156" t="inlineStr">
        <is>
          <t>N/A</t>
        </is>
      </c>
      <c r="O5156" t="inlineStr">
        <is>
          <t>N/A</t>
        </is>
      </c>
      <c r="P5156" t="inlineStr">
        <is>
          <t>Nc</t>
        </is>
      </c>
      <c r="R5156" s="22"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2" t="n">
        <v>225000</v>
      </c>
      <c r="K5157" t="inlineStr">
        <is>
          <t>Nc</t>
        </is>
      </c>
      <c r="L5157" t="inlineStr">
        <is>
          <t>EDUCATION</t>
        </is>
      </c>
      <c r="M5157" t="inlineStr">
        <is>
          <t>N/A</t>
        </is>
      </c>
      <c r="N5157" t="inlineStr">
        <is>
          <t>N/A</t>
        </is>
      </c>
      <c r="O5157" t="inlineStr">
        <is>
          <t>N/A</t>
        </is>
      </c>
      <c r="P5157" t="inlineStr">
        <is>
          <t>Nc</t>
        </is>
      </c>
      <c r="R5157" s="22"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2" t="n">
        <v>2900625</v>
      </c>
      <c r="K5158" t="inlineStr">
        <is>
          <t>Nc</t>
        </is>
      </c>
      <c r="L5158" t="inlineStr">
        <is>
          <t>HYDRAULIQUE</t>
        </is>
      </c>
      <c r="M5158" t="inlineStr">
        <is>
          <t>N/A</t>
        </is>
      </c>
      <c r="N5158" t="inlineStr">
        <is>
          <t>N/A</t>
        </is>
      </c>
      <c r="O5158" t="inlineStr">
        <is>
          <t>N/A</t>
        </is>
      </c>
      <c r="P5158" t="inlineStr">
        <is>
          <t>Nc</t>
        </is>
      </c>
      <c r="R5158" s="22"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2" t="n">
        <v>4100000</v>
      </c>
      <c r="K5159" t="inlineStr">
        <is>
          <t>Nc</t>
        </is>
      </c>
      <c r="L5159" t="inlineStr">
        <is>
          <t>SANTE</t>
        </is>
      </c>
      <c r="M5159" t="inlineStr">
        <is>
          <t>N/A</t>
        </is>
      </c>
      <c r="N5159" t="inlineStr">
        <is>
          <t>N/A</t>
        </is>
      </c>
      <c r="O5159" t="inlineStr">
        <is>
          <t>N/A</t>
        </is>
      </c>
      <c r="P5159" t="inlineStr">
        <is>
          <t>Nc</t>
        </is>
      </c>
      <c r="R5159" s="22"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2" t="n">
        <v>13442946</v>
      </c>
      <c r="K5160" t="inlineStr">
        <is>
          <t>Nc</t>
        </is>
      </c>
      <c r="L5160" t="inlineStr">
        <is>
          <t>SANTE</t>
        </is>
      </c>
      <c r="M5160" t="inlineStr">
        <is>
          <t>N/A</t>
        </is>
      </c>
      <c r="N5160" t="inlineStr">
        <is>
          <t>N/A</t>
        </is>
      </c>
      <c r="O5160" t="inlineStr">
        <is>
          <t>N/A</t>
        </is>
      </c>
      <c r="P5160" t="inlineStr">
        <is>
          <t>Nc</t>
        </is>
      </c>
      <c r="R5160" s="22"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2" t="n">
        <v>1446000</v>
      </c>
      <c r="K5161" t="inlineStr">
        <is>
          <t>Nc</t>
        </is>
      </c>
      <c r="L5161" t="inlineStr">
        <is>
          <t>SPORT</t>
        </is>
      </c>
      <c r="M5161" t="inlineStr">
        <is>
          <t>N/A</t>
        </is>
      </c>
      <c r="N5161" t="inlineStr">
        <is>
          <t>N/A</t>
        </is>
      </c>
      <c r="O5161" t="inlineStr">
        <is>
          <t>N/A</t>
        </is>
      </c>
      <c r="P5161" t="inlineStr">
        <is>
          <t>Nc</t>
        </is>
      </c>
      <c r="R5161" s="22"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2" t="n">
        <v>3000000</v>
      </c>
      <c r="K5162" t="inlineStr">
        <is>
          <t>Nc</t>
        </is>
      </c>
      <c r="L5162" t="inlineStr">
        <is>
          <t>SPORT</t>
        </is>
      </c>
      <c r="M5162" t="inlineStr">
        <is>
          <t>N/A</t>
        </is>
      </c>
      <c r="N5162" t="inlineStr">
        <is>
          <t>N/A</t>
        </is>
      </c>
      <c r="O5162" t="inlineStr">
        <is>
          <t>N/A</t>
        </is>
      </c>
      <c r="P5162" t="inlineStr">
        <is>
          <t>Nc</t>
        </is>
      </c>
      <c r="R5162" s="22"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2" t="n">
        <v>1446000</v>
      </c>
      <c r="K5163" t="inlineStr">
        <is>
          <t>Nc</t>
        </is>
      </c>
      <c r="L5163" t="inlineStr">
        <is>
          <t>SPORT</t>
        </is>
      </c>
      <c r="M5163" t="inlineStr">
        <is>
          <t>N/A</t>
        </is>
      </c>
      <c r="N5163" t="inlineStr">
        <is>
          <t>N/A</t>
        </is>
      </c>
      <c r="O5163" t="inlineStr">
        <is>
          <t>N/A</t>
        </is>
      </c>
      <c r="P5163" t="inlineStr">
        <is>
          <t>Nc</t>
        </is>
      </c>
      <c r="R5163" s="22"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2" t="n">
        <v>1446000</v>
      </c>
      <c r="K5164" t="inlineStr">
        <is>
          <t>Nc</t>
        </is>
      </c>
      <c r="L5164" t="inlineStr">
        <is>
          <t>SPORT</t>
        </is>
      </c>
      <c r="M5164" t="inlineStr">
        <is>
          <t>N/A</t>
        </is>
      </c>
      <c r="N5164" t="inlineStr">
        <is>
          <t>N/A</t>
        </is>
      </c>
      <c r="O5164" t="inlineStr">
        <is>
          <t>N/A</t>
        </is>
      </c>
      <c r="P5164" t="inlineStr">
        <is>
          <t>Nc</t>
        </is>
      </c>
      <c r="R5164" s="22"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2" t="n">
        <v>1446000</v>
      </c>
      <c r="K5165" t="inlineStr">
        <is>
          <t>Nc</t>
        </is>
      </c>
      <c r="L5165" t="inlineStr">
        <is>
          <t>SPORT</t>
        </is>
      </c>
      <c r="M5165" t="inlineStr">
        <is>
          <t>N/A</t>
        </is>
      </c>
      <c r="N5165" t="inlineStr">
        <is>
          <t>N/A</t>
        </is>
      </c>
      <c r="O5165" t="inlineStr">
        <is>
          <t>N/A</t>
        </is>
      </c>
      <c r="P5165" t="inlineStr">
        <is>
          <t>Nc</t>
        </is>
      </c>
      <c r="R5165" s="22"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2" t="n">
        <v>6352000</v>
      </c>
      <c r="K5166" t="inlineStr">
        <is>
          <t>Nc</t>
        </is>
      </c>
      <c r="L5166" t="inlineStr">
        <is>
          <t>EDUCATION</t>
        </is>
      </c>
      <c r="M5166" t="inlineStr">
        <is>
          <t>N/A</t>
        </is>
      </c>
      <c r="N5166" t="inlineStr">
        <is>
          <t>N/A</t>
        </is>
      </c>
      <c r="O5166" t="inlineStr">
        <is>
          <t>N/A</t>
        </is>
      </c>
      <c r="P5166" t="inlineStr">
        <is>
          <t>Nc</t>
        </is>
      </c>
      <c r="R5166" s="22"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2" t="n">
        <v>74999.47</v>
      </c>
      <c r="K5167" s="23"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2"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2" t="n">
        <v>18500000</v>
      </c>
      <c r="K5168" t="inlineStr">
        <is>
          <t>Nc</t>
        </is>
      </c>
      <c r="L5168" t="inlineStr">
        <is>
          <t>HYDRAULIQUE</t>
        </is>
      </c>
      <c r="M5168" t="inlineStr">
        <is>
          <t>N/A</t>
        </is>
      </c>
      <c r="N5168" t="inlineStr">
        <is>
          <t>N/A</t>
        </is>
      </c>
      <c r="O5168" t="inlineStr">
        <is>
          <t>N/A</t>
        </is>
      </c>
      <c r="P5168" t="inlineStr">
        <is>
          <t>Nc</t>
        </is>
      </c>
      <c r="R5168" s="22"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2" t="n">
        <v>5887514.66666667</v>
      </c>
      <c r="K5169" t="inlineStr">
        <is>
          <t>Nc</t>
        </is>
      </c>
      <c r="L5169" t="inlineStr">
        <is>
          <t>CAPACITATION DES FEMMES</t>
        </is>
      </c>
      <c r="M5169" t="inlineStr">
        <is>
          <t>N/A</t>
        </is>
      </c>
      <c r="N5169" t="inlineStr">
        <is>
          <t>N/A</t>
        </is>
      </c>
      <c r="O5169" t="inlineStr">
        <is>
          <t>N/A</t>
        </is>
      </c>
      <c r="P5169" t="inlineStr">
        <is>
          <t>Nc</t>
        </is>
      </c>
      <c r="R5169" s="22"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2" t="n">
        <v>27500000</v>
      </c>
      <c r="K5170" t="inlineStr">
        <is>
          <t>Nc</t>
        </is>
      </c>
      <c r="L5170" t="inlineStr">
        <is>
          <t>HYDRAULIQUE</t>
        </is>
      </c>
      <c r="M5170" t="inlineStr">
        <is>
          <t>N/A</t>
        </is>
      </c>
      <c r="N5170" t="inlineStr">
        <is>
          <t>N/A</t>
        </is>
      </c>
      <c r="O5170" t="inlineStr">
        <is>
          <t>N/A</t>
        </is>
      </c>
      <c r="P5170" t="inlineStr">
        <is>
          <t>Nc</t>
        </is>
      </c>
      <c r="R5170" s="22"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2" t="n">
        <v>74997.47</v>
      </c>
      <c r="K5171" s="23"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2"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2" t="n">
        <v>27857250</v>
      </c>
      <c r="K5172" t="inlineStr">
        <is>
          <t>Nc</t>
        </is>
      </c>
      <c r="L5172" t="inlineStr">
        <is>
          <t>HYDRAULIQUE</t>
        </is>
      </c>
      <c r="M5172" t="inlineStr">
        <is>
          <t>N/A</t>
        </is>
      </c>
      <c r="N5172" t="inlineStr">
        <is>
          <t>N/A</t>
        </is>
      </c>
      <c r="O5172" t="inlineStr">
        <is>
          <t>N/A</t>
        </is>
      </c>
      <c r="P5172" t="inlineStr">
        <is>
          <t>Nc</t>
        </is>
      </c>
      <c r="R5172" s="22"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2" t="n">
        <v>2126600</v>
      </c>
      <c r="K5173" t="inlineStr">
        <is>
          <t>Nc</t>
        </is>
      </c>
      <c r="L5173" t="inlineStr">
        <is>
          <t>EDUCATION</t>
        </is>
      </c>
      <c r="M5173" t="inlineStr">
        <is>
          <t>N/A</t>
        </is>
      </c>
      <c r="N5173" t="inlineStr">
        <is>
          <t>N/A</t>
        </is>
      </c>
      <c r="O5173" t="inlineStr">
        <is>
          <t>N/A</t>
        </is>
      </c>
      <c r="P5173" t="inlineStr">
        <is>
          <t>Nc</t>
        </is>
      </c>
      <c r="R5173" s="22"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2" t="n">
        <v>4200000</v>
      </c>
      <c r="K5174" t="inlineStr">
        <is>
          <t>Nc</t>
        </is>
      </c>
      <c r="L5174" t="inlineStr">
        <is>
          <t>EDUCATION</t>
        </is>
      </c>
      <c r="M5174" t="inlineStr">
        <is>
          <t>N/A</t>
        </is>
      </c>
      <c r="N5174" t="inlineStr">
        <is>
          <t>N/A</t>
        </is>
      </c>
      <c r="O5174" t="inlineStr">
        <is>
          <t>N/A</t>
        </is>
      </c>
      <c r="P5174" t="inlineStr">
        <is>
          <t>Nc</t>
        </is>
      </c>
      <c r="R5174" s="22"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2" t="n">
        <v>23546301</v>
      </c>
      <c r="K5175" t="inlineStr">
        <is>
          <t>Nc</t>
        </is>
      </c>
      <c r="L5175" t="inlineStr">
        <is>
          <t>EDUCATION</t>
        </is>
      </c>
      <c r="M5175" t="inlineStr">
        <is>
          <t>N/A</t>
        </is>
      </c>
      <c r="N5175" t="inlineStr">
        <is>
          <t>N/A</t>
        </is>
      </c>
      <c r="O5175" t="inlineStr">
        <is>
          <t>N/A</t>
        </is>
      </c>
      <c r="P5175" t="inlineStr">
        <is>
          <t>Nc</t>
        </is>
      </c>
      <c r="R5175" s="22"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2" t="n">
        <v>5109000</v>
      </c>
      <c r="K5176" t="inlineStr">
        <is>
          <t>Nc</t>
        </is>
      </c>
      <c r="L5176" t="inlineStr">
        <is>
          <t>SANTE</t>
        </is>
      </c>
      <c r="M5176" t="inlineStr">
        <is>
          <t>N/A</t>
        </is>
      </c>
      <c r="N5176" t="inlineStr">
        <is>
          <t>N/A</t>
        </is>
      </c>
      <c r="O5176" t="inlineStr">
        <is>
          <t>N/A</t>
        </is>
      </c>
      <c r="P5176" t="inlineStr">
        <is>
          <t>Nc</t>
        </is>
      </c>
      <c r="R5176" s="22"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2" t="n">
        <v>3952780</v>
      </c>
      <c r="K5177" t="inlineStr">
        <is>
          <t>Nc</t>
        </is>
      </c>
      <c r="L5177" t="inlineStr">
        <is>
          <t>CULTURE</t>
        </is>
      </c>
      <c r="M5177" t="inlineStr">
        <is>
          <t>N/A</t>
        </is>
      </c>
      <c r="N5177" t="inlineStr">
        <is>
          <t>N/A</t>
        </is>
      </c>
      <c r="O5177" t="inlineStr">
        <is>
          <t>N/A</t>
        </is>
      </c>
      <c r="P5177" t="inlineStr">
        <is>
          <t>Nc</t>
        </is>
      </c>
      <c r="R5177" s="22"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2" t="n">
        <v>2436075</v>
      </c>
      <c r="K5178" t="inlineStr">
        <is>
          <t>Nc</t>
        </is>
      </c>
      <c r="L5178" t="inlineStr">
        <is>
          <t>AGRICULTURE</t>
        </is>
      </c>
      <c r="M5178" t="inlineStr">
        <is>
          <t>N/A</t>
        </is>
      </c>
      <c r="N5178" t="inlineStr">
        <is>
          <t>N/A</t>
        </is>
      </c>
      <c r="O5178" t="inlineStr">
        <is>
          <t>N/A</t>
        </is>
      </c>
      <c r="P5178" t="inlineStr">
        <is>
          <t>Nc</t>
        </is>
      </c>
      <c r="R5178" s="22"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2" t="n">
        <v>21250000</v>
      </c>
      <c r="K5179" t="inlineStr">
        <is>
          <t>Nc</t>
        </is>
      </c>
      <c r="L5179" t="inlineStr">
        <is>
          <t>HYDRAULIQUE</t>
        </is>
      </c>
      <c r="M5179" t="inlineStr">
        <is>
          <t>N/A</t>
        </is>
      </c>
      <c r="N5179" t="inlineStr">
        <is>
          <t>N/A</t>
        </is>
      </c>
      <c r="O5179" t="inlineStr">
        <is>
          <t>N/A</t>
        </is>
      </c>
      <c r="P5179" t="inlineStr">
        <is>
          <t>Nc</t>
        </is>
      </c>
      <c r="R5179" s="22"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2" t="n">
        <v>6684215</v>
      </c>
      <c r="K5180" t="inlineStr">
        <is>
          <t>Nc</t>
        </is>
      </c>
      <c r="L5180" t="inlineStr">
        <is>
          <t>CAPACITATION DES FEMMES</t>
        </is>
      </c>
      <c r="M5180" t="inlineStr">
        <is>
          <t>N/A</t>
        </is>
      </c>
      <c r="N5180" t="inlineStr">
        <is>
          <t>N/A</t>
        </is>
      </c>
      <c r="O5180" t="inlineStr">
        <is>
          <t>N/A</t>
        </is>
      </c>
      <c r="P5180" t="inlineStr">
        <is>
          <t>Nc</t>
        </is>
      </c>
      <c r="R5180" s="22"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2" t="n">
        <v>74997.03999999999</v>
      </c>
      <c r="K5181" s="23"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2"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2" t="n">
        <v>3461000</v>
      </c>
      <c r="K5182" t="inlineStr">
        <is>
          <t>Nc</t>
        </is>
      </c>
      <c r="L5182" t="inlineStr">
        <is>
          <t>EDUCATION</t>
        </is>
      </c>
      <c r="M5182" t="inlineStr">
        <is>
          <t>N/A</t>
        </is>
      </c>
      <c r="N5182" t="inlineStr">
        <is>
          <t>N/A</t>
        </is>
      </c>
      <c r="O5182" t="inlineStr">
        <is>
          <t>N/A</t>
        </is>
      </c>
      <c r="P5182" t="inlineStr">
        <is>
          <t>Nc</t>
        </is>
      </c>
      <c r="R5182" s="22"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2" t="n">
        <v>42500000</v>
      </c>
      <c r="K5183" t="inlineStr">
        <is>
          <t>Nc</t>
        </is>
      </c>
      <c r="L5183" t="inlineStr">
        <is>
          <t>HYDRAULIQUE</t>
        </is>
      </c>
      <c r="M5183" t="inlineStr">
        <is>
          <t>N/A</t>
        </is>
      </c>
      <c r="N5183" t="inlineStr">
        <is>
          <t>N/A</t>
        </is>
      </c>
      <c r="O5183" t="inlineStr">
        <is>
          <t>N/A</t>
        </is>
      </c>
      <c r="P5183" t="inlineStr">
        <is>
          <t>Nc</t>
        </is>
      </c>
      <c r="R5183" s="22"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2" t="n">
        <v>29898603</v>
      </c>
      <c r="K5184" t="inlineStr">
        <is>
          <t>Nc</t>
        </is>
      </c>
      <c r="L5184" t="inlineStr">
        <is>
          <t>EDUCATION</t>
        </is>
      </c>
      <c r="M5184" t="inlineStr">
        <is>
          <t>N/A</t>
        </is>
      </c>
      <c r="N5184" t="inlineStr">
        <is>
          <t>N/A</t>
        </is>
      </c>
      <c r="O5184" t="inlineStr">
        <is>
          <t>N/A</t>
        </is>
      </c>
      <c r="P5184" t="inlineStr">
        <is>
          <t>Nc</t>
        </is>
      </c>
      <c r="R5184" s="22"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2" t="n">
        <v>73500</v>
      </c>
      <c r="K5185" s="23"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2"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2" t="n">
        <v>72000</v>
      </c>
      <c r="K5186" t="inlineStr">
        <is>
          <t>2024-06-10</t>
        </is>
      </c>
      <c r="L5186" t="inlineStr">
        <is>
          <t>Appuis divers</t>
        </is>
      </c>
      <c r="R5186" s="22"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2" t="n">
        <v>3821667</v>
      </c>
      <c r="K5187" t="inlineStr">
        <is>
          <t>Nc</t>
        </is>
      </c>
      <c r="L5187" t="inlineStr">
        <is>
          <t>CAPACITATION DES FEMMES</t>
        </is>
      </c>
      <c r="M5187" t="inlineStr">
        <is>
          <t>N/A</t>
        </is>
      </c>
      <c r="N5187" t="inlineStr">
        <is>
          <t>N/A</t>
        </is>
      </c>
      <c r="O5187" t="inlineStr">
        <is>
          <t>N/A</t>
        </is>
      </c>
      <c r="P5187" t="inlineStr">
        <is>
          <t>Nc</t>
        </is>
      </c>
      <c r="R5187" s="22"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2" t="n">
        <v>72000</v>
      </c>
      <c r="K5188" t="inlineStr">
        <is>
          <t>2024-08-01</t>
        </is>
      </c>
      <c r="L5188" t="inlineStr">
        <is>
          <t>Appuis divers</t>
        </is>
      </c>
      <c r="R5188" s="22"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2" t="n">
        <v>71123.38565634</v>
      </c>
      <c r="K5189" s="23"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2"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2" t="n">
        <v>787721</v>
      </c>
      <c r="K5190" t="inlineStr">
        <is>
          <t>Nc</t>
        </is>
      </c>
      <c r="L5190" t="inlineStr">
        <is>
          <t>CAPACITE DES FEMMES</t>
        </is>
      </c>
      <c r="M5190" t="inlineStr">
        <is>
          <t>N/A</t>
        </is>
      </c>
      <c r="N5190" t="inlineStr">
        <is>
          <t>N/A</t>
        </is>
      </c>
      <c r="O5190" t="inlineStr">
        <is>
          <t>N/A</t>
        </is>
      </c>
      <c r="P5190" t="inlineStr">
        <is>
          <t>Nc</t>
        </is>
      </c>
      <c r="R5190" s="22"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2" t="n">
        <v>52279</v>
      </c>
      <c r="K5191" t="inlineStr">
        <is>
          <t>Nc</t>
        </is>
      </c>
      <c r="L5191" t="inlineStr">
        <is>
          <t>CAPACITE DES FEMMES</t>
        </is>
      </c>
      <c r="M5191" t="inlineStr">
        <is>
          <t>N/A</t>
        </is>
      </c>
      <c r="N5191" t="inlineStr">
        <is>
          <t>N/A</t>
        </is>
      </c>
      <c r="O5191" t="inlineStr">
        <is>
          <t>N/A</t>
        </is>
      </c>
      <c r="P5191" t="inlineStr">
        <is>
          <t>Nc</t>
        </is>
      </c>
      <c r="R5191" s="22"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2" t="n">
        <v>1540398</v>
      </c>
      <c r="K5192" t="inlineStr">
        <is>
          <t>Nc</t>
        </is>
      </c>
      <c r="L5192" t="inlineStr">
        <is>
          <t>CAPACITE DES FEMMES</t>
        </is>
      </c>
      <c r="M5192" t="inlineStr">
        <is>
          <t>N/A</t>
        </is>
      </c>
      <c r="N5192" t="inlineStr">
        <is>
          <t>N/A</t>
        </is>
      </c>
      <c r="O5192" t="inlineStr">
        <is>
          <t>N/A</t>
        </is>
      </c>
      <c r="P5192" t="inlineStr">
        <is>
          <t>Nc</t>
        </is>
      </c>
      <c r="R5192" s="22"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2" t="n">
        <v>267675</v>
      </c>
      <c r="K5193" t="inlineStr">
        <is>
          <t>Nc</t>
        </is>
      </c>
      <c r="L5193" t="inlineStr">
        <is>
          <t>CAPACITE DES FEMMES</t>
        </is>
      </c>
      <c r="M5193" t="inlineStr">
        <is>
          <t>N/A</t>
        </is>
      </c>
      <c r="N5193" t="inlineStr">
        <is>
          <t>N/A</t>
        </is>
      </c>
      <c r="O5193" t="inlineStr">
        <is>
          <t>N/A</t>
        </is>
      </c>
      <c r="P5193" t="inlineStr">
        <is>
          <t>Nc</t>
        </is>
      </c>
      <c r="R5193" s="22"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2" t="n">
        <v>3394350</v>
      </c>
      <c r="K5194" t="inlineStr">
        <is>
          <t>Nc</t>
        </is>
      </c>
      <c r="L5194" t="inlineStr">
        <is>
          <t>CULTURE</t>
        </is>
      </c>
      <c r="M5194" t="inlineStr">
        <is>
          <t>N/A</t>
        </is>
      </c>
      <c r="N5194" t="inlineStr">
        <is>
          <t>N/A</t>
        </is>
      </c>
      <c r="O5194" t="inlineStr">
        <is>
          <t>N/A</t>
        </is>
      </c>
      <c r="P5194" t="inlineStr">
        <is>
          <t>Nc</t>
        </is>
      </c>
      <c r="R5194" s="22"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2" t="n">
        <v>2331043</v>
      </c>
      <c r="K5195" t="inlineStr">
        <is>
          <t>Nc</t>
        </is>
      </c>
      <c r="L5195" t="inlineStr">
        <is>
          <t>EDUCATION</t>
        </is>
      </c>
      <c r="M5195" t="inlineStr">
        <is>
          <t>N/A</t>
        </is>
      </c>
      <c r="N5195" t="inlineStr">
        <is>
          <t>N/A</t>
        </is>
      </c>
      <c r="O5195" t="inlineStr">
        <is>
          <t>N/A</t>
        </is>
      </c>
      <c r="P5195" t="inlineStr">
        <is>
          <t>Nc</t>
        </is>
      </c>
      <c r="R5195" s="22"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2" t="n">
        <v>2625000</v>
      </c>
      <c r="K5196" t="inlineStr">
        <is>
          <t>Nc</t>
        </is>
      </c>
      <c r="L5196" t="inlineStr">
        <is>
          <t>EDUCATION</t>
        </is>
      </c>
      <c r="M5196" t="inlineStr">
        <is>
          <t>N/A</t>
        </is>
      </c>
      <c r="N5196" t="inlineStr">
        <is>
          <t>N/A</t>
        </is>
      </c>
      <c r="O5196" t="inlineStr">
        <is>
          <t>N/A</t>
        </is>
      </c>
      <c r="P5196" t="inlineStr">
        <is>
          <t>Nc</t>
        </is>
      </c>
      <c r="R5196" s="22"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2" t="n">
        <v>8491000</v>
      </c>
      <c r="K5197" t="inlineStr">
        <is>
          <t>Nc</t>
        </is>
      </c>
      <c r="L5197" t="inlineStr">
        <is>
          <t>HYDRAULIQUE</t>
        </is>
      </c>
      <c r="M5197" t="inlineStr">
        <is>
          <t>N/A</t>
        </is>
      </c>
      <c r="N5197" t="inlineStr">
        <is>
          <t>N/A</t>
        </is>
      </c>
      <c r="O5197" t="inlineStr">
        <is>
          <t>N/A</t>
        </is>
      </c>
      <c r="P5197" t="inlineStr">
        <is>
          <t>Nc</t>
        </is>
      </c>
      <c r="R5197" s="22"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2" t="n">
        <v>8491000</v>
      </c>
      <c r="K5198" t="inlineStr">
        <is>
          <t>Nc</t>
        </is>
      </c>
      <c r="L5198" t="inlineStr">
        <is>
          <t>HYDRAULIQUE</t>
        </is>
      </c>
      <c r="M5198" t="inlineStr">
        <is>
          <t>N/A</t>
        </is>
      </c>
      <c r="N5198" t="inlineStr">
        <is>
          <t>N/A</t>
        </is>
      </c>
      <c r="O5198" t="inlineStr">
        <is>
          <t>N/A</t>
        </is>
      </c>
      <c r="P5198" t="inlineStr">
        <is>
          <t>Nc</t>
        </is>
      </c>
      <c r="R5198" s="22"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2" t="n">
        <v>95000</v>
      </c>
      <c r="K5199" t="inlineStr">
        <is>
          <t>Nc</t>
        </is>
      </c>
      <c r="L5199" t="inlineStr">
        <is>
          <t>HYDRAULIQUE</t>
        </is>
      </c>
      <c r="M5199" t="inlineStr">
        <is>
          <t>N/A</t>
        </is>
      </c>
      <c r="N5199" t="inlineStr">
        <is>
          <t>N/A</t>
        </is>
      </c>
      <c r="O5199" t="inlineStr">
        <is>
          <t>N/A</t>
        </is>
      </c>
      <c r="P5199" t="inlineStr">
        <is>
          <t>Nc</t>
        </is>
      </c>
      <c r="R5199" s="22"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2" t="n">
        <v>1300000</v>
      </c>
      <c r="K5200" t="inlineStr">
        <is>
          <t>Nc</t>
        </is>
      </c>
      <c r="L5200" t="inlineStr">
        <is>
          <t>HYDRAULIQUE</t>
        </is>
      </c>
      <c r="M5200" t="inlineStr">
        <is>
          <t>N/A</t>
        </is>
      </c>
      <c r="N5200" t="inlineStr">
        <is>
          <t>N/A</t>
        </is>
      </c>
      <c r="O5200" t="inlineStr">
        <is>
          <t>N/A</t>
        </is>
      </c>
      <c r="P5200" t="inlineStr">
        <is>
          <t>Nc</t>
        </is>
      </c>
      <c r="R5200" s="22"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2" t="n">
        <v>200000</v>
      </c>
      <c r="K5201" t="inlineStr">
        <is>
          <t>Nc</t>
        </is>
      </c>
      <c r="L5201" t="inlineStr">
        <is>
          <t>SANTE</t>
        </is>
      </c>
      <c r="M5201" t="inlineStr">
        <is>
          <t>N/A</t>
        </is>
      </c>
      <c r="N5201" t="inlineStr">
        <is>
          <t>N/A</t>
        </is>
      </c>
      <c r="O5201" t="inlineStr">
        <is>
          <t>N/A</t>
        </is>
      </c>
      <c r="P5201" t="inlineStr">
        <is>
          <t>Nc</t>
        </is>
      </c>
      <c r="R5201" s="22"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2" t="n">
        <v>200000</v>
      </c>
      <c r="K5202" t="inlineStr">
        <is>
          <t>Nc</t>
        </is>
      </c>
      <c r="L5202" t="inlineStr">
        <is>
          <t>SANTE</t>
        </is>
      </c>
      <c r="M5202" t="inlineStr">
        <is>
          <t>N/A</t>
        </is>
      </c>
      <c r="N5202" t="inlineStr">
        <is>
          <t>N/A</t>
        </is>
      </c>
      <c r="O5202" t="inlineStr">
        <is>
          <t>N/A</t>
        </is>
      </c>
      <c r="P5202" t="inlineStr">
        <is>
          <t>Nc</t>
        </is>
      </c>
      <c r="R5202" s="22"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2" t="n">
        <v>200000</v>
      </c>
      <c r="K5203" t="inlineStr">
        <is>
          <t>Nc</t>
        </is>
      </c>
      <c r="L5203" t="inlineStr">
        <is>
          <t>SANTE</t>
        </is>
      </c>
      <c r="M5203" t="inlineStr">
        <is>
          <t>N/A</t>
        </is>
      </c>
      <c r="N5203" t="inlineStr">
        <is>
          <t>N/A</t>
        </is>
      </c>
      <c r="O5203" t="inlineStr">
        <is>
          <t>N/A</t>
        </is>
      </c>
      <c r="P5203" t="inlineStr">
        <is>
          <t>Nc</t>
        </is>
      </c>
      <c r="R5203" s="22"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2" t="n">
        <v>200000</v>
      </c>
      <c r="K5204" t="inlineStr">
        <is>
          <t>Nc</t>
        </is>
      </c>
      <c r="L5204" t="inlineStr">
        <is>
          <t>SANTE</t>
        </is>
      </c>
      <c r="M5204" t="inlineStr">
        <is>
          <t>N/A</t>
        </is>
      </c>
      <c r="N5204" t="inlineStr">
        <is>
          <t>N/A</t>
        </is>
      </c>
      <c r="O5204" t="inlineStr">
        <is>
          <t>N/A</t>
        </is>
      </c>
      <c r="P5204" t="inlineStr">
        <is>
          <t>Nc</t>
        </is>
      </c>
      <c r="R5204" s="22"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2" t="n">
        <v>1678721</v>
      </c>
      <c r="K5205" t="inlineStr">
        <is>
          <t>Nc</t>
        </is>
      </c>
      <c r="L5205" t="inlineStr">
        <is>
          <t>SANTE</t>
        </is>
      </c>
      <c r="M5205" t="inlineStr">
        <is>
          <t>N/A</t>
        </is>
      </c>
      <c r="N5205" t="inlineStr">
        <is>
          <t>N/A</t>
        </is>
      </c>
      <c r="O5205" t="inlineStr">
        <is>
          <t>N/A</t>
        </is>
      </c>
      <c r="P5205" t="inlineStr">
        <is>
          <t>Nc</t>
        </is>
      </c>
      <c r="R5205" s="22"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2" t="n">
        <v>200000</v>
      </c>
      <c r="K5206" t="inlineStr">
        <is>
          <t>Nc</t>
        </is>
      </c>
      <c r="L5206" t="inlineStr">
        <is>
          <t>SANTE</t>
        </is>
      </c>
      <c r="M5206" t="inlineStr">
        <is>
          <t>N/A</t>
        </is>
      </c>
      <c r="N5206" t="inlineStr">
        <is>
          <t>N/A</t>
        </is>
      </c>
      <c r="O5206" t="inlineStr">
        <is>
          <t>N/A</t>
        </is>
      </c>
      <c r="P5206" t="inlineStr">
        <is>
          <t>Nc</t>
        </is>
      </c>
      <c r="R5206" s="22"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2" t="n">
        <v>44165</v>
      </c>
      <c r="K5207" t="inlineStr">
        <is>
          <t>NC</t>
        </is>
      </c>
      <c r="L5207" t="inlineStr">
        <is>
          <t>NC</t>
        </is>
      </c>
      <c r="M5207" t="inlineStr">
        <is>
          <t xml:space="preserve">Néant </t>
        </is>
      </c>
      <c r="N5207" t="inlineStr">
        <is>
          <t xml:space="preserve">Néant </t>
        </is>
      </c>
      <c r="O5207" t="inlineStr">
        <is>
          <t>NC</t>
        </is>
      </c>
      <c r="R5207" s="22"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2" t="n">
        <v>1416000</v>
      </c>
      <c r="O5208" t="inlineStr">
        <is>
          <t>Sante</t>
        </is>
      </c>
      <c r="P5208" t="inlineStr">
        <is>
          <t>Nc</t>
        </is>
      </c>
      <c r="R5208" s="22"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2" t="n">
        <v>1716000</v>
      </c>
      <c r="O5209" t="inlineStr">
        <is>
          <t>Education</t>
        </is>
      </c>
      <c r="P5209" t="inlineStr">
        <is>
          <t>Nc</t>
        </is>
      </c>
      <c r="R5209" s="22"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2" t="n">
        <v>2475500</v>
      </c>
      <c r="O5210" t="inlineStr">
        <is>
          <t>Education</t>
        </is>
      </c>
      <c r="P5210" t="inlineStr">
        <is>
          <t>Nc</t>
        </is>
      </c>
      <c r="R5210" s="22"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2" t="n">
        <v>1716000</v>
      </c>
      <c r="O5211" t="inlineStr">
        <is>
          <t>Education</t>
        </is>
      </c>
      <c r="P5211" t="inlineStr">
        <is>
          <t>Nc</t>
        </is>
      </c>
      <c r="R5211" s="22"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2" t="n">
        <v>7000000</v>
      </c>
      <c r="O5212" t="inlineStr">
        <is>
          <t>Hydraulique</t>
        </is>
      </c>
      <c r="P5212" t="inlineStr">
        <is>
          <t>Nc</t>
        </is>
      </c>
      <c r="R5212" s="22"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2" t="n">
        <v>1716000</v>
      </c>
      <c r="O5213" t="inlineStr">
        <is>
          <t>Education</t>
        </is>
      </c>
      <c r="P5213" t="inlineStr">
        <is>
          <t>Nc</t>
        </is>
      </c>
      <c r="R5213" s="22"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2" t="n">
        <v>1716000</v>
      </c>
      <c r="O5214" t="inlineStr">
        <is>
          <t>Education</t>
        </is>
      </c>
      <c r="P5214" t="inlineStr">
        <is>
          <t>Nc</t>
        </is>
      </c>
      <c r="R5214" s="22"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2" t="n">
        <v>1716000</v>
      </c>
      <c r="O5215" t="inlineStr">
        <is>
          <t>Education</t>
        </is>
      </c>
      <c r="P5215" t="inlineStr">
        <is>
          <t>Nc</t>
        </is>
      </c>
      <c r="R5215" s="22"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2" t="n">
        <v>2400000</v>
      </c>
      <c r="O5216" t="inlineStr">
        <is>
          <t>Sante</t>
        </is>
      </c>
      <c r="P5216" t="inlineStr">
        <is>
          <t>Nc</t>
        </is>
      </c>
      <c r="R5216" s="22"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2" t="n">
        <v>1716000</v>
      </c>
      <c r="O5217" t="inlineStr">
        <is>
          <t>Education</t>
        </is>
      </c>
      <c r="P5217" t="inlineStr">
        <is>
          <t>Nc</t>
        </is>
      </c>
      <c r="R5217" s="22"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2" t="n">
        <v>1716000</v>
      </c>
      <c r="O5218" t="inlineStr">
        <is>
          <t>Education</t>
        </is>
      </c>
      <c r="P5218" t="inlineStr">
        <is>
          <t>Nc</t>
        </is>
      </c>
      <c r="R5218" s="22"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2" t="n">
        <v>1708500</v>
      </c>
      <c r="O5219" t="inlineStr">
        <is>
          <t>Agriculture</t>
        </is>
      </c>
      <c r="P5219" t="inlineStr">
        <is>
          <t>Nc</t>
        </is>
      </c>
      <c r="R5219" s="22"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2" t="n">
        <v>1281250</v>
      </c>
      <c r="O5220" t="inlineStr">
        <is>
          <t>Education</t>
        </is>
      </c>
      <c r="P5220" t="inlineStr">
        <is>
          <t>Nc</t>
        </is>
      </c>
      <c r="R5220" s="22"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2" t="n">
        <v>70590.00835182</v>
      </c>
      <c r="K5221" s="23" t="n">
        <v>45349</v>
      </c>
      <c r="M5221" t="inlineStr">
        <is>
          <t>Ventilateur</t>
        </is>
      </c>
      <c r="P5221" t="inlineStr">
        <is>
          <t>Convention minère et Code minier (Fond Social et Fond d'appui au developpement local)</t>
        </is>
      </c>
      <c r="R5221" s="22"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2" t="n">
        <v>70000</v>
      </c>
      <c r="K5222" s="23" t="n">
        <v>45300</v>
      </c>
      <c r="R5222" s="22"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2" t="n">
        <v>70000</v>
      </c>
      <c r="K5223" s="23" t="n">
        <v>45335</v>
      </c>
      <c r="R5223" s="22"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2" t="n">
        <v>70000</v>
      </c>
      <c r="K5224" s="23" t="n">
        <v>45365</v>
      </c>
      <c r="R5224" s="22"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2" t="n">
        <v>70000</v>
      </c>
      <c r="K5225" s="23" t="n">
        <v>45386</v>
      </c>
      <c r="R5225" s="22"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2" t="n">
        <v>70000</v>
      </c>
      <c r="K5226" s="23" t="n">
        <v>45420</v>
      </c>
      <c r="R5226" s="22"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2" t="n">
        <v>70000</v>
      </c>
      <c r="K5227" s="23" t="n">
        <v>45646</v>
      </c>
      <c r="L5227" t="inlineStr">
        <is>
          <t>DONS</t>
        </is>
      </c>
      <c r="R5227" s="22"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2" t="n">
        <v>70000</v>
      </c>
      <c r="K5228" t="inlineStr">
        <is>
          <t>04/08/2023</t>
        </is>
      </c>
      <c r="L5228" t="inlineStr">
        <is>
          <t>Appuis divers</t>
        </is>
      </c>
      <c r="R5228" s="22"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2" t="n">
        <v>70000</v>
      </c>
      <c r="K5229" t="inlineStr">
        <is>
          <t>11/12/2023</t>
        </is>
      </c>
      <c r="L5229" t="inlineStr">
        <is>
          <t>Appuis divers</t>
        </is>
      </c>
      <c r="R5229" s="22"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2"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2"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2"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2" t="n">
        <v>44050</v>
      </c>
      <c r="K5233" t="inlineStr">
        <is>
          <t>APPUI DIVERS</t>
        </is>
      </c>
      <c r="L5233" t="inlineStr">
        <is>
          <t>APPUI DIVERS</t>
        </is>
      </c>
      <c r="M5233" t="inlineStr">
        <is>
          <t xml:space="preserve">Néant </t>
        </is>
      </c>
      <c r="N5233" t="inlineStr">
        <is>
          <t xml:space="preserve">Néant </t>
        </is>
      </c>
      <c r="O5233" t="inlineStr">
        <is>
          <t>NC</t>
        </is>
      </c>
      <c r="R5233" s="22"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2" t="n">
        <v>44057</v>
      </c>
      <c r="K5234" t="inlineStr">
        <is>
          <t>APPUI DIVERS</t>
        </is>
      </c>
      <c r="L5234" t="inlineStr">
        <is>
          <t>APPUI DIVERS</t>
        </is>
      </c>
      <c r="M5234" t="inlineStr">
        <is>
          <t xml:space="preserve">Néant </t>
        </is>
      </c>
      <c r="N5234" t="inlineStr">
        <is>
          <t xml:space="preserve">Néant </t>
        </is>
      </c>
      <c r="O5234" t="inlineStr">
        <is>
          <t>NC</t>
        </is>
      </c>
      <c r="R5234" s="22"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2"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2" t="n">
        <v>44063</v>
      </c>
      <c r="K5236" t="inlineStr">
        <is>
          <t>APPUI DIVERS</t>
        </is>
      </c>
      <c r="L5236" t="inlineStr">
        <is>
          <t>APPUI DIVERS</t>
        </is>
      </c>
      <c r="M5236" t="inlineStr">
        <is>
          <t xml:space="preserve">Néant </t>
        </is>
      </c>
      <c r="N5236" t="inlineStr">
        <is>
          <t xml:space="preserve">Néant </t>
        </is>
      </c>
      <c r="O5236" t="inlineStr">
        <is>
          <t>NC</t>
        </is>
      </c>
      <c r="R5236" s="22"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2" t="n">
        <v>44070</v>
      </c>
      <c r="K5237" t="inlineStr">
        <is>
          <t>APPUI DIVERS</t>
        </is>
      </c>
      <c r="L5237" t="inlineStr">
        <is>
          <t>APPUI DIVERS</t>
        </is>
      </c>
      <c r="M5237" t="inlineStr">
        <is>
          <t xml:space="preserve">Néant </t>
        </is>
      </c>
      <c r="N5237" t="inlineStr">
        <is>
          <t xml:space="preserve">Néant </t>
        </is>
      </c>
      <c r="O5237" t="inlineStr">
        <is>
          <t>NC</t>
        </is>
      </c>
      <c r="R5237" s="22"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2"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2"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2"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2" t="n">
        <v>44081</v>
      </c>
      <c r="K5241" t="inlineStr">
        <is>
          <t>APPUI DIVERS</t>
        </is>
      </c>
      <c r="L5241" t="inlineStr">
        <is>
          <t>APPUI DIVERS</t>
        </is>
      </c>
      <c r="M5241" t="inlineStr">
        <is>
          <t xml:space="preserve">Néant </t>
        </is>
      </c>
      <c r="N5241" t="inlineStr">
        <is>
          <t xml:space="preserve">Néant </t>
        </is>
      </c>
      <c r="O5241" t="inlineStr">
        <is>
          <t>NC</t>
        </is>
      </c>
      <c r="R5241" s="22"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2" t="n">
        <v>44104</v>
      </c>
      <c r="K5242" t="inlineStr">
        <is>
          <t>APPUI DIVERS</t>
        </is>
      </c>
      <c r="L5242" t="inlineStr">
        <is>
          <t>APPUI DIVERS</t>
        </is>
      </c>
      <c r="M5242" t="inlineStr">
        <is>
          <t xml:space="preserve">Néant </t>
        </is>
      </c>
      <c r="N5242" t="inlineStr">
        <is>
          <t xml:space="preserve">Néant </t>
        </is>
      </c>
      <c r="O5242" t="inlineStr">
        <is>
          <t>NC</t>
        </is>
      </c>
      <c r="R5242" s="22"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2"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2" t="n">
        <v>68537.95</v>
      </c>
      <c r="K5244" s="23" t="n">
        <v>44985</v>
      </c>
      <c r="L5244" t="inlineStr">
        <is>
          <t>Appui divers</t>
        </is>
      </c>
      <c r="M5244" t="inlineStr">
        <is>
          <t>N/A</t>
        </is>
      </c>
      <c r="N5244" t="inlineStr">
        <is>
          <t>N/A</t>
        </is>
      </c>
      <c r="O5244" t="inlineStr">
        <is>
          <t>N/A</t>
        </is>
      </c>
      <c r="R5244" s="22"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2" t="n">
        <v>67750</v>
      </c>
      <c r="O5245" t="inlineStr">
        <is>
          <t>SF General</t>
        </is>
      </c>
      <c r="P5245" t="inlineStr">
        <is>
          <t>Obligation de développement social: art.15 de l'avenant 1 à la convention minière de Sabodala du 23 mars 2005</t>
        </is>
      </c>
      <c r="R5245" s="22"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2" t="n">
        <v>44165</v>
      </c>
      <c r="K5246" t="inlineStr">
        <is>
          <t>NC</t>
        </is>
      </c>
      <c r="L5246" t="inlineStr">
        <is>
          <t>NC</t>
        </is>
      </c>
      <c r="M5246" t="inlineStr">
        <is>
          <t xml:space="preserve">Néant </t>
        </is>
      </c>
      <c r="N5246" t="inlineStr">
        <is>
          <t xml:space="preserve">Néant </t>
        </is>
      </c>
      <c r="O5246" t="inlineStr">
        <is>
          <t>NC</t>
        </is>
      </c>
      <c r="R5246" s="22"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2"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2" t="n">
        <v>44165</v>
      </c>
      <c r="K5248" t="inlineStr">
        <is>
          <t>NC</t>
        </is>
      </c>
      <c r="L5248" t="inlineStr">
        <is>
          <t>NC</t>
        </is>
      </c>
      <c r="M5248" t="inlineStr">
        <is>
          <t xml:space="preserve">Néant </t>
        </is>
      </c>
      <c r="N5248" t="inlineStr">
        <is>
          <t xml:space="preserve">Néant </t>
        </is>
      </c>
      <c r="O5248" t="inlineStr">
        <is>
          <t>NC</t>
        </is>
      </c>
      <c r="R5248" s="22"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2" t="n">
        <v>44165</v>
      </c>
      <c r="K5249" t="inlineStr">
        <is>
          <t>NC</t>
        </is>
      </c>
      <c r="L5249" t="inlineStr">
        <is>
          <t>NC</t>
        </is>
      </c>
      <c r="M5249" t="inlineStr">
        <is>
          <t xml:space="preserve">Néant </t>
        </is>
      </c>
      <c r="N5249" t="inlineStr">
        <is>
          <t xml:space="preserve">Néant </t>
        </is>
      </c>
      <c r="O5249" t="inlineStr">
        <is>
          <t>NC</t>
        </is>
      </c>
      <c r="R5249" s="22"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2" t="n">
        <v>44165</v>
      </c>
      <c r="K5250" t="inlineStr">
        <is>
          <t>NC</t>
        </is>
      </c>
      <c r="L5250" t="inlineStr">
        <is>
          <t>NC</t>
        </is>
      </c>
      <c r="M5250" t="inlineStr">
        <is>
          <t xml:space="preserve">Néant </t>
        </is>
      </c>
      <c r="N5250" t="inlineStr">
        <is>
          <t xml:space="preserve">Néant </t>
        </is>
      </c>
      <c r="O5250" t="inlineStr">
        <is>
          <t>NC</t>
        </is>
      </c>
      <c r="R5250" s="22"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2" t="n">
        <v>44165</v>
      </c>
      <c r="K5251" t="inlineStr">
        <is>
          <t>NC</t>
        </is>
      </c>
      <c r="L5251" t="inlineStr">
        <is>
          <t>NC</t>
        </is>
      </c>
      <c r="M5251" t="inlineStr">
        <is>
          <t xml:space="preserve">Néant </t>
        </is>
      </c>
      <c r="N5251" t="inlineStr">
        <is>
          <t xml:space="preserve">Néant </t>
        </is>
      </c>
      <c r="O5251" t="inlineStr">
        <is>
          <t>NC</t>
        </is>
      </c>
      <c r="R5251" s="22"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2" t="n">
        <v>66002.07000000001</v>
      </c>
      <c r="K5252" s="23"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2"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2" t="n">
        <v>66002.07000000001</v>
      </c>
      <c r="K5253" s="23" t="n">
        <v>45429</v>
      </c>
      <c r="M5253" t="inlineStr">
        <is>
          <t>Carburant pour mission</t>
        </is>
      </c>
      <c r="P5253" t="inlineStr">
        <is>
          <t>Convention minère et Code minier (Fond Social et Fond d'appui au developpement local)</t>
        </is>
      </c>
      <c r="R5253" s="22"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2" t="n">
        <v>66000.5</v>
      </c>
      <c r="K5254" s="23" t="n">
        <v>45450</v>
      </c>
      <c r="M5254" t="inlineStr">
        <is>
          <t>Carburant pour mission(2jours)</t>
        </is>
      </c>
      <c r="P5254" t="inlineStr">
        <is>
          <t>Convention minère et Code minier (Fond Social et Fond d'appui au developpement local)</t>
        </is>
      </c>
      <c r="R5254" s="22"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2" t="n">
        <v>44165</v>
      </c>
      <c r="K5255" t="inlineStr">
        <is>
          <t>NC</t>
        </is>
      </c>
      <c r="L5255" t="inlineStr">
        <is>
          <t>NC</t>
        </is>
      </c>
      <c r="M5255" t="inlineStr">
        <is>
          <t xml:space="preserve">Néant </t>
        </is>
      </c>
      <c r="N5255" t="inlineStr">
        <is>
          <t xml:space="preserve">Néant </t>
        </is>
      </c>
      <c r="O5255" t="inlineStr">
        <is>
          <t>NC</t>
        </is>
      </c>
      <c r="R5255" s="22"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2" t="n">
        <v>65000</v>
      </c>
      <c r="K5256" t="inlineStr">
        <is>
          <t>2024-07-22</t>
        </is>
      </c>
      <c r="L5256" t="inlineStr">
        <is>
          <t>Appuis divers</t>
        </is>
      </c>
      <c r="R5256" s="22"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2"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2" t="n">
        <v>44084</v>
      </c>
      <c r="K5258" t="inlineStr">
        <is>
          <t>Donation</t>
        </is>
      </c>
      <c r="L5258" t="inlineStr">
        <is>
          <t>Donation</t>
        </is>
      </c>
      <c r="M5258" t="inlineStr">
        <is>
          <t>Néant</t>
        </is>
      </c>
      <c r="N5258" t="inlineStr">
        <is>
          <t>Néant</t>
        </is>
      </c>
      <c r="O5258" t="inlineStr">
        <is>
          <t>NC</t>
        </is>
      </c>
      <c r="R5258" s="22"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2" t="n">
        <v>64481</v>
      </c>
      <c r="K5259" t="inlineStr">
        <is>
          <t>2024-09-14</t>
        </is>
      </c>
      <c r="L5259" t="inlineStr">
        <is>
          <t>Appuis divers</t>
        </is>
      </c>
      <c r="R5259" s="22"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2" t="n">
        <v>63158</v>
      </c>
      <c r="K5260" s="23" t="n">
        <v>45366</v>
      </c>
      <c r="R5260" s="22"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2" t="n">
        <v>63158</v>
      </c>
      <c r="K5261" s="23" t="n">
        <v>45366</v>
      </c>
      <c r="R5261" s="22"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2"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2" t="n">
        <v>63158</v>
      </c>
      <c r="K5263" s="23" t="n">
        <v>45366</v>
      </c>
      <c r="R5263" s="22"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2" t="n">
        <v>63158</v>
      </c>
      <c r="K5264" s="23" t="n">
        <v>45366</v>
      </c>
      <c r="R5264" s="22"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2" t="n">
        <v>63158</v>
      </c>
      <c r="K5265" s="23" t="n">
        <v>45386</v>
      </c>
      <c r="R5265" s="22"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2" t="n">
        <v>63158</v>
      </c>
      <c r="K5266" s="23" t="n">
        <v>45386</v>
      </c>
      <c r="R5266" s="22"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2" t="n">
        <v>63158</v>
      </c>
      <c r="K5267" s="23" t="n">
        <v>45386</v>
      </c>
      <c r="R5267" s="22"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2" t="n">
        <v>63158</v>
      </c>
      <c r="K5268" s="23" t="n">
        <v>45386</v>
      </c>
      <c r="R5268" s="22"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2"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2"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2" t="n">
        <v>63158</v>
      </c>
      <c r="K5271" s="23" t="n">
        <v>45456</v>
      </c>
      <c r="R5271" s="22"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2"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2"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2" t="n">
        <v>63158</v>
      </c>
      <c r="K5274" s="23" t="n">
        <v>45456</v>
      </c>
      <c r="R5274" s="22"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2" t="n">
        <v>63158</v>
      </c>
      <c r="K5275" s="23" t="n">
        <v>45456</v>
      </c>
      <c r="R5275" s="22"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2"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2" t="n">
        <v>63158</v>
      </c>
      <c r="K5277" s="23" t="n">
        <v>45456</v>
      </c>
      <c r="R5277" s="22"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2" t="n">
        <v>63157.89</v>
      </c>
      <c r="K5278" s="23" t="n">
        <v>45420</v>
      </c>
      <c r="R5278" s="22"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2"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2" t="n">
        <v>63157.89</v>
      </c>
      <c r="K5280" s="23" t="n">
        <v>45420</v>
      </c>
      <c r="R5280" s="22"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2" t="n">
        <v>63157.89</v>
      </c>
      <c r="K5281" s="23" t="n">
        <v>45420</v>
      </c>
      <c r="R5281" s="22"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2" t="n">
        <v>63157.89</v>
      </c>
      <c r="K5282" s="23" t="n">
        <v>45420</v>
      </c>
      <c r="R5282" s="22"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2"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2"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2"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2" t="n">
        <v>60753.15</v>
      </c>
      <c r="K5286" s="23"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2"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2" t="n">
        <v>60000</v>
      </c>
      <c r="K5287" s="23"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2"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2"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2" t="n">
        <v>60000</v>
      </c>
      <c r="K5289" t="inlineStr">
        <is>
          <t>2024-03-01</t>
        </is>
      </c>
      <c r="L5289" t="inlineStr">
        <is>
          <t>Appuis divers</t>
        </is>
      </c>
      <c r="R5289" s="22"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2" t="n">
        <v>60000</v>
      </c>
      <c r="K5290" t="inlineStr">
        <is>
          <t>2024-04-25</t>
        </is>
      </c>
      <c r="L5290" t="inlineStr">
        <is>
          <t>Appuis divers</t>
        </is>
      </c>
      <c r="R5290" s="22"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2" t="n">
        <v>60000</v>
      </c>
      <c r="K5291" t="inlineStr">
        <is>
          <t>2024-06-30</t>
        </is>
      </c>
      <c r="L5291" t="inlineStr">
        <is>
          <t>Appuis divers</t>
        </is>
      </c>
      <c r="R5291" s="22"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2" t="n">
        <v>60000</v>
      </c>
      <c r="K5292" t="inlineStr">
        <is>
          <t>2024-07-22</t>
        </is>
      </c>
      <c r="L5292" t="inlineStr">
        <is>
          <t>Appuis divers</t>
        </is>
      </c>
      <c r="R5292" s="22"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2" t="n">
        <v>60000</v>
      </c>
      <c r="K5293" t="inlineStr">
        <is>
          <t>2024-08-13</t>
        </is>
      </c>
      <c r="L5293" t="inlineStr">
        <is>
          <t>Appuis divers</t>
        </is>
      </c>
      <c r="R5293" s="22"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2"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2"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2" t="n">
        <v>60000</v>
      </c>
      <c r="K5296" s="23" t="n">
        <v>45235</v>
      </c>
      <c r="L5296" t="inlineStr">
        <is>
          <t>Donation</t>
        </is>
      </c>
      <c r="M5296" t="inlineStr">
        <is>
          <t>NA</t>
        </is>
      </c>
      <c r="N5296" t="inlineStr">
        <is>
          <t>NA</t>
        </is>
      </c>
      <c r="O5296" t="inlineStr">
        <is>
          <t>NA</t>
        </is>
      </c>
      <c r="P5296" t="inlineStr">
        <is>
          <t>NA</t>
        </is>
      </c>
      <c r="Q5296" t="inlineStr">
        <is>
          <t>NA</t>
        </is>
      </c>
      <c r="R5296" s="22"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2"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2" t="n">
        <v>60000</v>
      </c>
      <c r="K5298" t="inlineStr">
        <is>
          <t>08/03/2023</t>
        </is>
      </c>
      <c r="L5298" t="inlineStr">
        <is>
          <t>Appuis divers</t>
        </is>
      </c>
      <c r="R5298" s="22"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2"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2"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2"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2"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2"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2"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2"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2"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2"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2"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2"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2"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2"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2"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2"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2"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2"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2"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2"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2"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2"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2"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2"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2"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2" t="n">
        <v>60000</v>
      </c>
      <c r="K5323" t="inlineStr">
        <is>
          <t>28/03/2023</t>
        </is>
      </c>
      <c r="L5323" t="inlineStr">
        <is>
          <t>Appuis divers</t>
        </is>
      </c>
      <c r="R5323" s="22"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2"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2"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2"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2"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2"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2"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2"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2"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2"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2"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2"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2"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2"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2"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2"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2"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2"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2"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2"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2"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2"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2"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2"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2"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2"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2"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2"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2"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2"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2"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2"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2"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2"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2"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2"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2"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2"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2"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2"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2"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2"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2"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2"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2"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2"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2"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2"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2"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2"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2"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2"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2"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2"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2"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2"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2"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2"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2"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2"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2"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2"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2"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2"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2"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2"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2"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2"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2"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2"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2"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2"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2"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2"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2"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2"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2"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2"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2"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2"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2"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2"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2"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2"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2"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2"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2"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2"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2"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2"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2"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2"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2" t="n">
        <v>60000</v>
      </c>
      <c r="K5415" t="inlineStr">
        <is>
          <t>20/04/2023</t>
        </is>
      </c>
      <c r="L5415" t="inlineStr">
        <is>
          <t>Appuis divers</t>
        </is>
      </c>
      <c r="R5415" s="22"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2"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2"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2"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2"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2"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2" t="n">
        <v>60000</v>
      </c>
      <c r="K5421" t="inlineStr">
        <is>
          <t>17/11/2023</t>
        </is>
      </c>
      <c r="L5421" t="inlineStr">
        <is>
          <t>Appuis divers</t>
        </is>
      </c>
      <c r="R5421" s="22"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2"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2"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2"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2"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2"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2"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2"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2" t="n">
        <v>60000</v>
      </c>
      <c r="K5429" t="inlineStr">
        <is>
          <t>31/12/2023</t>
        </is>
      </c>
      <c r="L5429" t="inlineStr">
        <is>
          <t>Appuis divers</t>
        </is>
      </c>
      <c r="R5429" s="22"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2"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2"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2"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2"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2"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2"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2"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2"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2"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2"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2"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2"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2"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2"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2"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2"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2"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2"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2"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2"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2"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2"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2"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2"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2"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2"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2"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2"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2"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2"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2"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2"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2"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2"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2"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2"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2"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2"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2"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2"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2"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2"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2"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2"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2"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2"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2"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2"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2"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2"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2"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2"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2"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2"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2"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2"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2"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2"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2"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2"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2"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2"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2"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2"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2"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2" t="n">
        <v>44168</v>
      </c>
      <c r="K5495" t="inlineStr">
        <is>
          <t>Donation</t>
        </is>
      </c>
      <c r="L5495" t="inlineStr">
        <is>
          <t>Donation</t>
        </is>
      </c>
      <c r="M5495" t="inlineStr">
        <is>
          <t>Néant</t>
        </is>
      </c>
      <c r="N5495" t="inlineStr">
        <is>
          <t>Néant</t>
        </is>
      </c>
      <c r="O5495" t="inlineStr">
        <is>
          <t>NC</t>
        </is>
      </c>
      <c r="R5495" s="22"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2"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2" t="n">
        <v>58500</v>
      </c>
      <c r="K5497" s="23" t="n">
        <v>45205</v>
      </c>
      <c r="M5497" t="inlineStr">
        <is>
          <t>Appuis divers</t>
        </is>
      </c>
      <c r="R5497" s="22"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2"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2"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2"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2" t="n">
        <v>58000</v>
      </c>
      <c r="K5501" s="23" t="n">
        <v>44966</v>
      </c>
      <c r="R5501" s="22"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2"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2"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2"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2"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2"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2"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2"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2"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2"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2"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2"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2"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2"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2" t="n">
        <v>58000</v>
      </c>
      <c r="K5515" t="inlineStr">
        <is>
          <t>06/07/2023</t>
        </is>
      </c>
      <c r="L5515" t="inlineStr">
        <is>
          <t>Appuis divers</t>
        </is>
      </c>
      <c r="R5515" s="22"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2"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2" t="n">
        <v>56500</v>
      </c>
      <c r="K5517" t="inlineStr">
        <is>
          <t>13/12/2023</t>
        </is>
      </c>
      <c r="L5517" t="inlineStr">
        <is>
          <t>Appuis divers</t>
        </is>
      </c>
      <c r="R5517" s="22"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2"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2"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2"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2"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2" t="n">
        <v>56432.02</v>
      </c>
      <c r="K5522" s="23"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2"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2"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2"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2"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2"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2"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2" t="n">
        <v>56000</v>
      </c>
      <c r="K5528" s="23" t="n">
        <v>45034</v>
      </c>
      <c r="L5528" t="inlineStr">
        <is>
          <t>Appui divers</t>
        </is>
      </c>
      <c r="M5528" t="inlineStr">
        <is>
          <t>N/A</t>
        </is>
      </c>
      <c r="N5528" t="inlineStr">
        <is>
          <t>N/A</t>
        </is>
      </c>
      <c r="O5528" t="inlineStr">
        <is>
          <t>N/A</t>
        </is>
      </c>
      <c r="R5528" s="22"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2"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2"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2"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2"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2"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2" t="n">
        <v>55999.58</v>
      </c>
      <c r="O5534" t="inlineStr">
        <is>
          <t>SF General</t>
        </is>
      </c>
      <c r="P5534" t="inlineStr">
        <is>
          <t>Obligation de développement social: art.15 de l'avenant 1 à la convention minière de Sabodala du 23 mars 2005</t>
        </is>
      </c>
      <c r="R5534" s="22"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2"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2"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2"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2"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2" t="n">
        <v>55000</v>
      </c>
      <c r="O5539" t="inlineStr">
        <is>
          <t>SF General</t>
        </is>
      </c>
      <c r="P5539" t="inlineStr">
        <is>
          <t>Obligation de développement social: art.15 de l'avenant 1 à la convention minière de Sabodala du 23 mars 2005</t>
        </is>
      </c>
      <c r="R5539" s="22"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2"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2"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2"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2" t="n">
        <v>43942</v>
      </c>
      <c r="K5543" t="inlineStr">
        <is>
          <t>Donation</t>
        </is>
      </c>
      <c r="L5543" t="inlineStr">
        <is>
          <t>Donation</t>
        </is>
      </c>
      <c r="M5543" t="inlineStr">
        <is>
          <t>Néant</t>
        </is>
      </c>
      <c r="N5543" t="inlineStr">
        <is>
          <t>Néant</t>
        </is>
      </c>
      <c r="O5543" t="inlineStr">
        <is>
          <t>NC</t>
        </is>
      </c>
      <c r="R5543" s="22"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2" t="n">
        <v>43986</v>
      </c>
      <c r="K5544" t="inlineStr">
        <is>
          <t>Donation</t>
        </is>
      </c>
      <c r="L5544" t="inlineStr">
        <is>
          <t>Donation</t>
        </is>
      </c>
      <c r="M5544" t="inlineStr">
        <is>
          <t>Néant</t>
        </is>
      </c>
      <c r="N5544" t="inlineStr">
        <is>
          <t>Néant</t>
        </is>
      </c>
      <c r="O5544" t="inlineStr">
        <is>
          <t>NC</t>
        </is>
      </c>
      <c r="R5544" s="22"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2" t="n">
        <v>43986</v>
      </c>
      <c r="K5545" t="inlineStr">
        <is>
          <t>Donation</t>
        </is>
      </c>
      <c r="L5545" t="inlineStr">
        <is>
          <t>Donation</t>
        </is>
      </c>
      <c r="M5545" t="inlineStr">
        <is>
          <t>Néant</t>
        </is>
      </c>
      <c r="N5545" t="inlineStr">
        <is>
          <t>Néant</t>
        </is>
      </c>
      <c r="O5545" t="inlineStr">
        <is>
          <t>NC</t>
        </is>
      </c>
      <c r="R5545" s="22"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2" t="n">
        <v>54500</v>
      </c>
      <c r="K5546" s="23"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2"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2"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2"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2"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2" t="n">
        <v>54002.8</v>
      </c>
      <c r="K5550" s="23"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2"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2" t="n">
        <v>54001.28</v>
      </c>
      <c r="K5551" s="23"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2"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2"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2"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2" t="n">
        <v>52498.49</v>
      </c>
      <c r="K5554" s="23"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2"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2"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2"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2"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2"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2"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2"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2"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2"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2"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2" t="n">
        <v>50647.79</v>
      </c>
      <c r="K5564" s="23" t="n">
        <v>45220</v>
      </c>
      <c r="L5564" t="inlineStr">
        <is>
          <t>Donation</t>
        </is>
      </c>
      <c r="M5564" t="inlineStr">
        <is>
          <t>NA</t>
        </is>
      </c>
      <c r="N5564" t="inlineStr">
        <is>
          <t>NA</t>
        </is>
      </c>
      <c r="O5564" t="inlineStr">
        <is>
          <t>NA</t>
        </is>
      </c>
      <c r="P5564" t="inlineStr">
        <is>
          <t>NA</t>
        </is>
      </c>
      <c r="Q5564" t="inlineStr">
        <is>
          <t>NA</t>
        </is>
      </c>
      <c r="R5564" s="22"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2" t="n">
        <v>50173</v>
      </c>
      <c r="K5565" s="23" t="n">
        <v>45380</v>
      </c>
      <c r="L5565" t="inlineStr">
        <is>
          <t>NEANT</t>
        </is>
      </c>
      <c r="M5565" t="n">
        <v>0</v>
      </c>
      <c r="N5565" s="22" t="n">
        <v>0</v>
      </c>
      <c r="O5565" t="inlineStr">
        <is>
          <t>NEANT</t>
        </is>
      </c>
      <c r="P5565" t="inlineStr">
        <is>
          <t>NEANT</t>
        </is>
      </c>
      <c r="Q5565" t="inlineStr">
        <is>
          <t>NEANT</t>
        </is>
      </c>
      <c r="R5565" s="22"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2"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2"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2"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2" t="n">
        <v>50000</v>
      </c>
      <c r="K5569" s="23"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2"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2" t="n">
        <v>50000</v>
      </c>
      <c r="K5570" t="inlineStr">
        <is>
          <t>2024-01-09</t>
        </is>
      </c>
      <c r="L5570" t="inlineStr">
        <is>
          <t>Appuis divers</t>
        </is>
      </c>
      <c r="R5570" s="22"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2" t="n">
        <v>50000</v>
      </c>
      <c r="K5571" t="inlineStr">
        <is>
          <t>2024-03-01</t>
        </is>
      </c>
      <c r="L5571" t="inlineStr">
        <is>
          <t>Appuis divers</t>
        </is>
      </c>
      <c r="R5571" s="22"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2" t="n">
        <v>50000</v>
      </c>
      <c r="K5572" t="inlineStr">
        <is>
          <t>2024-03-01</t>
        </is>
      </c>
      <c r="L5572" t="inlineStr">
        <is>
          <t>Appuis divers</t>
        </is>
      </c>
      <c r="R5572" s="22"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2"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2" t="n">
        <v>50000</v>
      </c>
      <c r="K5574" t="inlineStr">
        <is>
          <t>2024-05-31</t>
        </is>
      </c>
      <c r="L5574" t="inlineStr">
        <is>
          <t>Appuis divers</t>
        </is>
      </c>
      <c r="R5574" s="22"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2"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2"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2"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2" t="n">
        <v>50000</v>
      </c>
      <c r="K5578" t="inlineStr">
        <is>
          <t>2024-05-31</t>
        </is>
      </c>
      <c r="L5578" t="inlineStr">
        <is>
          <t>Appuis divers</t>
        </is>
      </c>
      <c r="R5578" s="22"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2"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2"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2" t="n">
        <v>50000</v>
      </c>
      <c r="K5581" s="23" t="n">
        <v>45394</v>
      </c>
      <c r="R5581" s="22"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2"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2" t="n">
        <v>50000</v>
      </c>
      <c r="K5583" s="23" t="n">
        <v>45415</v>
      </c>
      <c r="R5583" s="22"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2"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2" t="n">
        <v>50000</v>
      </c>
      <c r="K5585" s="23" t="n">
        <v>45482</v>
      </c>
      <c r="R5585" s="22"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2"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2"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2"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2"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2"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2"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2"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2"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2"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2"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2" t="n">
        <v>50000</v>
      </c>
      <c r="K5596" s="23" t="n">
        <v>45607</v>
      </c>
      <c r="R5596" s="22"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2"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2"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2"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2"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2"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2"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2"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2"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2" t="n">
        <v>50000</v>
      </c>
      <c r="K5605" s="23" t="n">
        <v>45624</v>
      </c>
      <c r="L5605" t="inlineStr">
        <is>
          <t>SUBENVTIONS</t>
        </is>
      </c>
      <c r="R5605" s="22"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2"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2"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2"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2"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2" t="n">
        <v>50000</v>
      </c>
      <c r="K5610" s="23" t="n">
        <v>45646</v>
      </c>
      <c r="L5610" t="inlineStr">
        <is>
          <t>DONS</t>
        </is>
      </c>
      <c r="R5610" s="22"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2"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2"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2" t="n">
        <v>50000</v>
      </c>
      <c r="K5613" s="23" t="n">
        <v>45400</v>
      </c>
      <c r="L5613" t="inlineStr">
        <is>
          <t>DONS</t>
        </is>
      </c>
      <c r="R5613" s="22"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2"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2"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2"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2"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2"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2"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2"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2" t="n">
        <v>50000</v>
      </c>
      <c r="K5621" t="inlineStr">
        <is>
          <t>13/Apr/23</t>
        </is>
      </c>
      <c r="M5621" t="inlineStr">
        <is>
          <t>Religieux</t>
        </is>
      </c>
      <c r="R5621" s="22"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2"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2" t="n">
        <v>50000</v>
      </c>
      <c r="K5623" t="inlineStr">
        <is>
          <t>10/Jul/23</t>
        </is>
      </c>
      <c r="M5623" t="inlineStr">
        <is>
          <t>Appuis divers</t>
        </is>
      </c>
      <c r="R5623" s="22"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2"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2" t="n">
        <v>50000</v>
      </c>
      <c r="K5625" s="23" t="n">
        <v>45170</v>
      </c>
      <c r="M5625" t="inlineStr">
        <is>
          <t>Appuis divers</t>
        </is>
      </c>
      <c r="R5625" s="22"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2"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2"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2" t="n">
        <v>50000</v>
      </c>
      <c r="K5628" s="23" t="n">
        <v>45182</v>
      </c>
      <c r="R5628" s="22"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2"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2" t="n">
        <v>50000</v>
      </c>
      <c r="K5630" s="23" t="n">
        <v>45048</v>
      </c>
      <c r="R5630" s="22"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2"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2"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2"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2"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2"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2"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2"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2" t="n">
        <v>50000</v>
      </c>
      <c r="K5638" t="inlineStr">
        <is>
          <t>09/02/2023</t>
        </is>
      </c>
      <c r="L5638" t="inlineStr">
        <is>
          <t>Appuis divers</t>
        </is>
      </c>
      <c r="R5638" s="22"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2"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2"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2"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2" t="n">
        <v>50000</v>
      </c>
      <c r="K5642" t="inlineStr">
        <is>
          <t>22/02/2023</t>
        </is>
      </c>
      <c r="L5642" t="inlineStr">
        <is>
          <t>Appuis divers</t>
        </is>
      </c>
      <c r="R5642" s="22"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2"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2"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2" t="n">
        <v>50000</v>
      </c>
      <c r="K5645" t="inlineStr">
        <is>
          <t>14/03/2023</t>
        </is>
      </c>
      <c r="L5645" t="inlineStr">
        <is>
          <t>Appuis divers</t>
        </is>
      </c>
      <c r="R5645" s="22"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2"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2"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2" t="n">
        <v>50000</v>
      </c>
      <c r="K5648" t="inlineStr">
        <is>
          <t>24/04/2023</t>
        </is>
      </c>
      <c r="L5648" t="inlineStr">
        <is>
          <t>Appuis divers</t>
        </is>
      </c>
      <c r="R5648" s="22"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2"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2"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2" t="n">
        <v>50000</v>
      </c>
      <c r="K5651" t="inlineStr">
        <is>
          <t>24/04/2023</t>
        </is>
      </c>
      <c r="L5651" t="inlineStr">
        <is>
          <t>Appuis divers</t>
        </is>
      </c>
      <c r="R5651" s="22"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2"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2"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2"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2"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2"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2"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2"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2"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2"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2"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2"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2"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2"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2"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2"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2"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2"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2" t="n">
        <v>50000</v>
      </c>
      <c r="K5669" t="inlineStr">
        <is>
          <t>25/09/2023</t>
        </is>
      </c>
      <c r="L5669" t="inlineStr">
        <is>
          <t>Appuis divers</t>
        </is>
      </c>
      <c r="R5669" s="22"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2" t="n">
        <v>50000</v>
      </c>
      <c r="K5670" t="inlineStr">
        <is>
          <t>25/09/2023</t>
        </is>
      </c>
      <c r="L5670" t="inlineStr">
        <is>
          <t>Appuis divers</t>
        </is>
      </c>
      <c r="R5670" s="22"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2"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2"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2"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2"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2"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2"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2"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2"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2"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2"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2"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2"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2"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2"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2"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2"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2"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2"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2"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2"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2"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2"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2"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2"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2"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2"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2"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2"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2"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2"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2"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2"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2"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2"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2"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2"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2"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2"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2"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2"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2"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2"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2"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2"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2"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2"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2"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2"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2"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2"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2"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2"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2"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2"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2"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2"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2"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2"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2"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2"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2"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2"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2"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2"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2"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2"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2"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2"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2"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2"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2"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2"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2"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2"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2"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2"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2"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2"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2"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2"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2"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2"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2"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2"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2"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2"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2"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2"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2"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2"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2"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2"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2"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2"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2"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2"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2"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2"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2"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2"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2"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2"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2"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2"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2"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2"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2"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2"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2"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2"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2"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2"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2"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2"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2"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2" t="n">
        <v>50000</v>
      </c>
      <c r="O5786" t="inlineStr">
        <is>
          <t>SF General</t>
        </is>
      </c>
      <c r="P5786" t="inlineStr">
        <is>
          <t>Obligation de développement social: art.15 de l'avenant 1 à la convention minière de Sabodala du 23 mars 2005</t>
        </is>
      </c>
      <c r="R5786" s="22"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2"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2"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2"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2"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2"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2" t="n">
        <v>43859</v>
      </c>
      <c r="K5792" t="inlineStr">
        <is>
          <t>Donation</t>
        </is>
      </c>
      <c r="L5792" t="inlineStr">
        <is>
          <t>Donation</t>
        </is>
      </c>
      <c r="M5792" t="inlineStr">
        <is>
          <t>Néant</t>
        </is>
      </c>
      <c r="N5792" t="inlineStr">
        <is>
          <t>Néant</t>
        </is>
      </c>
      <c r="O5792" t="inlineStr">
        <is>
          <t>NC</t>
        </is>
      </c>
      <c r="R5792" s="22"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2" t="n">
        <v>44098</v>
      </c>
      <c r="K5793" t="inlineStr">
        <is>
          <t>Donation</t>
        </is>
      </c>
      <c r="L5793" t="inlineStr">
        <is>
          <t>Donation</t>
        </is>
      </c>
      <c r="M5793" t="inlineStr">
        <is>
          <t>Néant</t>
        </is>
      </c>
      <c r="N5793" t="inlineStr">
        <is>
          <t>Néant</t>
        </is>
      </c>
      <c r="O5793" t="inlineStr">
        <is>
          <t>NC</t>
        </is>
      </c>
      <c r="R5793" s="22"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2" t="n">
        <v>43860</v>
      </c>
      <c r="K5794" t="inlineStr">
        <is>
          <t>APPUI DIVERS</t>
        </is>
      </c>
      <c r="L5794" t="inlineStr">
        <is>
          <t>PRISE EN CHARG FILLE CHEF VILLAG FOTH</t>
        </is>
      </c>
      <c r="M5794" t="inlineStr">
        <is>
          <t xml:space="preserve">Néant </t>
        </is>
      </c>
      <c r="N5794" t="inlineStr">
        <is>
          <t xml:space="preserve">Néant </t>
        </is>
      </c>
      <c r="O5794" t="inlineStr">
        <is>
          <t>NC</t>
        </is>
      </c>
      <c r="R5794" s="22"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2" t="n">
        <v>44117</v>
      </c>
      <c r="K5795" t="inlineStr">
        <is>
          <t>APPUI DIVERS</t>
        </is>
      </c>
      <c r="L5795" t="inlineStr">
        <is>
          <t>SUBVENTION  MENSUELLE SEPT</t>
        </is>
      </c>
      <c r="M5795" t="inlineStr">
        <is>
          <t xml:space="preserve">Néant </t>
        </is>
      </c>
      <c r="N5795" t="inlineStr">
        <is>
          <t xml:space="preserve">Néant </t>
        </is>
      </c>
      <c r="O5795" t="inlineStr">
        <is>
          <t>NC</t>
        </is>
      </c>
      <c r="R5795" s="22"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2" t="n">
        <v>49998.02</v>
      </c>
      <c r="K5796" s="23"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2"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2" t="n">
        <v>49997.43</v>
      </c>
      <c r="K5797" s="23"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2"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2" t="n">
        <v>48002.47</v>
      </c>
      <c r="K5798" s="23"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2"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2" t="n">
        <v>47997.9</v>
      </c>
      <c r="K5799" s="23"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2"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2" t="n">
        <v>46202.76</v>
      </c>
      <c r="K5800" s="23"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2"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2" t="n">
        <v>45500</v>
      </c>
      <c r="K5801" t="inlineStr">
        <is>
          <t>31/12/2023</t>
        </is>
      </c>
      <c r="L5801" t="inlineStr">
        <is>
          <t>Appuis divers</t>
        </is>
      </c>
      <c r="R5801" s="22"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2" t="n">
        <v>45001</v>
      </c>
      <c r="K5802" s="23"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2"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2" t="n">
        <v>45000.96</v>
      </c>
      <c r="K5803" s="23"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2"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2" t="n">
        <v>44700</v>
      </c>
      <c r="O5804" t="inlineStr">
        <is>
          <t>SF General</t>
        </is>
      </c>
      <c r="P5804" t="inlineStr">
        <is>
          <t>Obligation de développement social: art.15 de l'avenant 1 à la convention minière de Sabodala du 23 mars 2005</t>
        </is>
      </c>
      <c r="R5804" s="22"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2" t="n">
        <v>44200</v>
      </c>
      <c r="K5805" t="inlineStr">
        <is>
          <t>28/12/2023</t>
        </is>
      </c>
      <c r="L5805" t="inlineStr">
        <is>
          <t>Appuis divers</t>
        </is>
      </c>
      <c r="R5805" s="22"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2" t="n">
        <v>43750.41</v>
      </c>
      <c r="O5806" t="inlineStr">
        <is>
          <t>SF General</t>
        </is>
      </c>
      <c r="P5806" t="inlineStr">
        <is>
          <t>Obligation de développement social: art.15 de l'avenant 1 à la convention minière de Sabodala du 23 mars 2005</t>
        </is>
      </c>
      <c r="R5806" s="22"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2" t="n">
        <v>43750.41</v>
      </c>
      <c r="O5807" t="inlineStr">
        <is>
          <t>SF General</t>
        </is>
      </c>
      <c r="P5807" t="inlineStr">
        <is>
          <t>Obligation de développement social: art.15 de l'avenant 1 à la convention minière de Sabodala du 23 mars 2005</t>
        </is>
      </c>
      <c r="R5807" s="22"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2" t="n">
        <v>42900</v>
      </c>
      <c r="K5808" t="inlineStr">
        <is>
          <t>02/03/2023</t>
        </is>
      </c>
      <c r="L5808" t="inlineStr">
        <is>
          <t>Appuis divers</t>
        </is>
      </c>
      <c r="R5808" s="22"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2"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2"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2"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2"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2"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2"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2"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2"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2"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2"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2"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2"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2"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2" t="n">
        <v>40000</v>
      </c>
      <c r="K5822" s="23" t="n">
        <v>45408</v>
      </c>
      <c r="L5822" t="inlineStr">
        <is>
          <t>NEANT</t>
        </is>
      </c>
      <c r="M5822" t="n">
        <v>0</v>
      </c>
      <c r="N5822" s="22" t="n">
        <v>0</v>
      </c>
      <c r="O5822" t="inlineStr">
        <is>
          <t>NEANT</t>
        </is>
      </c>
      <c r="P5822" t="inlineStr">
        <is>
          <t>NEANT</t>
        </is>
      </c>
      <c r="Q5822" t="inlineStr">
        <is>
          <t>NEANT</t>
        </is>
      </c>
      <c r="R5822" s="22"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2"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2"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2"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2"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2"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2"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2"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2"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2" t="n">
        <v>40000</v>
      </c>
      <c r="K5831" t="inlineStr">
        <is>
          <t>2024-02-03</t>
        </is>
      </c>
      <c r="L5831" t="inlineStr">
        <is>
          <t>Appuis divers</t>
        </is>
      </c>
      <c r="R5831" s="22"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2"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2"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2"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2"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2" t="n">
        <v>40000</v>
      </c>
      <c r="K5836" t="inlineStr">
        <is>
          <t>2024-04-11</t>
        </is>
      </c>
      <c r="L5836" t="inlineStr">
        <is>
          <t>Appuis divers</t>
        </is>
      </c>
      <c r="R5836" s="22"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2" t="n">
        <v>40000</v>
      </c>
      <c r="K5837" t="inlineStr">
        <is>
          <t>2024-04-08</t>
        </is>
      </c>
      <c r="L5837" t="inlineStr">
        <is>
          <t>Appuis divers</t>
        </is>
      </c>
      <c r="R5837" s="22"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2" t="n">
        <v>40000</v>
      </c>
      <c r="K5838" t="inlineStr">
        <is>
          <t>2024-12-09</t>
        </is>
      </c>
      <c r="L5838" t="inlineStr">
        <is>
          <t>Appuis divers</t>
        </is>
      </c>
      <c r="R5838" s="22"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2" t="n">
        <v>40000</v>
      </c>
      <c r="K5839" t="inlineStr">
        <is>
          <t>31/12/2023</t>
        </is>
      </c>
      <c r="L5839" t="inlineStr">
        <is>
          <t>Appuis divers</t>
        </is>
      </c>
      <c r="R5839" s="22"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2" t="n">
        <v>40000</v>
      </c>
      <c r="K5840" s="23" t="n">
        <v>44736</v>
      </c>
      <c r="L5840" t="inlineStr">
        <is>
          <t>SF General</t>
        </is>
      </c>
      <c r="R5840" s="22"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2" t="n">
        <v>43888</v>
      </c>
      <c r="K5841" t="inlineStr">
        <is>
          <t>Donation</t>
        </is>
      </c>
      <c r="L5841" t="inlineStr">
        <is>
          <t>Donation</t>
        </is>
      </c>
      <c r="M5841" t="inlineStr">
        <is>
          <t>Néant</t>
        </is>
      </c>
      <c r="N5841" t="inlineStr">
        <is>
          <t>Néant</t>
        </is>
      </c>
      <c r="O5841" t="inlineStr">
        <is>
          <t>NC</t>
        </is>
      </c>
      <c r="R5841" s="22"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2" t="n">
        <v>44084</v>
      </c>
      <c r="K5842" t="inlineStr">
        <is>
          <t>Donation</t>
        </is>
      </c>
      <c r="L5842" t="inlineStr">
        <is>
          <t>Donation</t>
        </is>
      </c>
      <c r="M5842" t="inlineStr">
        <is>
          <t>Néant</t>
        </is>
      </c>
      <c r="N5842" t="inlineStr">
        <is>
          <t>Néant</t>
        </is>
      </c>
      <c r="O5842" t="inlineStr">
        <is>
          <t>NC</t>
        </is>
      </c>
      <c r="R5842" s="22"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2" t="n">
        <v>39997.41</v>
      </c>
      <c r="K5843" s="23" t="n">
        <v>45429</v>
      </c>
      <c r="M5843" t="inlineStr">
        <is>
          <t>Prise en charge chauffeurSDDR (4jours)</t>
        </is>
      </c>
      <c r="P5843" t="inlineStr">
        <is>
          <t>Convention minère et Code minier (Fond Social et Fond d'appui au developpement local)</t>
        </is>
      </c>
      <c r="R5843" s="22"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2" t="n">
        <v>38997.84</v>
      </c>
      <c r="K5844" s="23"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2"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2" t="n">
        <v>38112.49</v>
      </c>
      <c r="K5845" s="23"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2"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2" t="n">
        <v>37501.84</v>
      </c>
      <c r="K5846" s="23"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2"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2" t="n">
        <v>37499.55</v>
      </c>
      <c r="O5847" t="inlineStr">
        <is>
          <t>SF General</t>
        </is>
      </c>
      <c r="P5847" t="inlineStr">
        <is>
          <t>Obligation de développement social: art.15 de l'avenant 1 à la convention minière de Sabodala du 23 mars 2005</t>
        </is>
      </c>
      <c r="R5847" s="22"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2" t="n">
        <v>37499.55</v>
      </c>
      <c r="O5848" t="inlineStr">
        <is>
          <t>SF General</t>
        </is>
      </c>
      <c r="P5848" t="inlineStr">
        <is>
          <t>Obligation de développement social: art.15 de l'avenant 1 à la convention minière de Sabodala du 23 mars 2005</t>
        </is>
      </c>
      <c r="R5848" s="22"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2" t="n">
        <v>36001.19</v>
      </c>
      <c r="K5849" s="23"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2"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2"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2" t="n">
        <v>33859.84</v>
      </c>
      <c r="K5851" s="23"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2"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2"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2" t="n">
        <v>32999.57</v>
      </c>
      <c r="K5853" s="23"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2"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2" t="n">
        <v>32400</v>
      </c>
      <c r="K5854" t="inlineStr">
        <is>
          <t>08/06/2023</t>
        </is>
      </c>
      <c r="L5854" t="inlineStr">
        <is>
          <t>Appuis divers</t>
        </is>
      </c>
      <c r="R5854" s="22"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2" t="n">
        <v>32399.26</v>
      </c>
      <c r="K5855" s="23"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2"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2"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2"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2"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2"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2"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2"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2"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2"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2" t="n">
        <v>7336</v>
      </c>
      <c r="K5864" t="inlineStr">
        <is>
          <t>Appuis divers</t>
        </is>
      </c>
      <c r="L5864" t="inlineStr">
        <is>
          <t>Appuis divers</t>
        </is>
      </c>
      <c r="M5864" t="inlineStr">
        <is>
          <t xml:space="preserve">Néant </t>
        </is>
      </c>
      <c r="N5864" t="inlineStr">
        <is>
          <t xml:space="preserve">Néant </t>
        </is>
      </c>
      <c r="O5864" t="inlineStr">
        <is>
          <t>Nc</t>
        </is>
      </c>
      <c r="R5864" s="22"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2" t="n">
        <v>30002.14</v>
      </c>
      <c r="K5865" s="23" t="n">
        <v>45034</v>
      </c>
      <c r="L5865" t="inlineStr">
        <is>
          <t>Appui divers</t>
        </is>
      </c>
      <c r="M5865" t="inlineStr">
        <is>
          <t>N/A</t>
        </is>
      </c>
      <c r="N5865" t="inlineStr">
        <is>
          <t>N/A</t>
        </is>
      </c>
      <c r="O5865" t="inlineStr">
        <is>
          <t>N/A</t>
        </is>
      </c>
      <c r="R5865" s="22"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2"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2"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2" t="n">
        <v>30001.02</v>
      </c>
      <c r="K5868" s="23"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2"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2" t="n">
        <v>30000.99</v>
      </c>
      <c r="K5869" s="23"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2"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2" t="n">
        <v>30000.78</v>
      </c>
      <c r="K5870" s="23"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2"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2" t="n">
        <v>30000.15</v>
      </c>
      <c r="K5872" s="23"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2"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2" t="n">
        <v>30000</v>
      </c>
      <c r="K5873" t="inlineStr">
        <is>
          <t>22/Jun/23</t>
        </is>
      </c>
      <c r="M5873" t="inlineStr">
        <is>
          <t>Capacitation des femmes</t>
        </is>
      </c>
      <c r="R5873" s="22"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2" t="n">
        <v>30000</v>
      </c>
      <c r="K5874" t="inlineStr">
        <is>
          <t>14/08/2023</t>
        </is>
      </c>
      <c r="L5874" t="inlineStr">
        <is>
          <t>Appuis divers</t>
        </is>
      </c>
      <c r="R5874" s="22"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2"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2"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2" t="n">
        <v>29997.41</v>
      </c>
      <c r="K5877" s="23" t="n">
        <v>45522</v>
      </c>
      <c r="M5877" t="inlineStr">
        <is>
          <t>Gomme</t>
        </is>
      </c>
      <c r="N5877" t="inlineStr">
        <is>
          <t>N/A</t>
        </is>
      </c>
      <c r="O5877" t="inlineStr">
        <is>
          <t>N/A</t>
        </is>
      </c>
      <c r="P5877" t="inlineStr">
        <is>
          <t>Convention minère et Code minier (Fond Social et Fond d'appui au developpement local)</t>
        </is>
      </c>
      <c r="Q5877" t="inlineStr">
        <is>
          <t>NA</t>
        </is>
      </c>
      <c r="R5877" s="22"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2" t="n">
        <v>29997.41</v>
      </c>
      <c r="K5878" s="23" t="n">
        <v>45522</v>
      </c>
      <c r="M5878" t="inlineStr">
        <is>
          <t>Raclette</t>
        </is>
      </c>
      <c r="N5878" t="inlineStr">
        <is>
          <t>N/A</t>
        </is>
      </c>
      <c r="O5878" t="inlineStr">
        <is>
          <t>N/A</t>
        </is>
      </c>
      <c r="P5878" t="inlineStr">
        <is>
          <t>Convention minère et Code minier (Fond Social et Fond d'appui au developpement local)</t>
        </is>
      </c>
      <c r="Q5878" t="inlineStr">
        <is>
          <t>NA</t>
        </is>
      </c>
      <c r="R5878" s="22"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2" t="n">
        <v>1400000</v>
      </c>
      <c r="K5879" s="23"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2"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2" t="n">
        <v>180000</v>
      </c>
      <c r="K5880" s="23"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2"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2" t="n">
        <v>1300000</v>
      </c>
      <c r="K5881" s="23"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2"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2" t="n">
        <v>7500000</v>
      </c>
      <c r="K5882" s="23"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2"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2" t="n">
        <v>5000000</v>
      </c>
      <c r="K5883" s="23"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2"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2" t="n">
        <v>2000000</v>
      </c>
      <c r="K5884" s="23"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2"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2" t="n">
        <v>3943109</v>
      </c>
      <c r="K5885" s="23"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2"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2" t="n">
        <v>3254814</v>
      </c>
      <c r="K5886" s="23"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2"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2" t="n">
        <v>4937378</v>
      </c>
      <c r="K5887" s="23"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2"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2" t="n">
        <v>3927070</v>
      </c>
      <c r="K5888" s="23"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2"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2" t="n">
        <v>5667637</v>
      </c>
      <c r="K5889" s="23"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2"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2" t="n">
        <v>1020175</v>
      </c>
      <c r="K5890" s="23"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2"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2" t="n">
        <v>2346200</v>
      </c>
      <c r="K5891" s="23"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2"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2" t="n">
        <v>2757636</v>
      </c>
      <c r="K5892" s="23"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2"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2" t="n">
        <v>3217242</v>
      </c>
      <c r="K5893" s="23"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2"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2" t="n">
        <v>100000</v>
      </c>
      <c r="K5894" s="23"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2"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2" t="n">
        <v>100000</v>
      </c>
      <c r="K5895" s="23"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2"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2" t="n">
        <v>100000</v>
      </c>
      <c r="K5896" s="23"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2"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2" t="n">
        <v>100000</v>
      </c>
      <c r="K5897" s="23"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2"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2" t="n">
        <v>100000</v>
      </c>
      <c r="K5898" s="23"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2"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2" t="n">
        <v>100000</v>
      </c>
      <c r="K5899" s="23"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2"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2" t="n">
        <v>100000</v>
      </c>
      <c r="K5900" s="23"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2"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2" t="n">
        <v>100000</v>
      </c>
      <c r="K5901" s="23"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2"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2" t="n">
        <v>100000</v>
      </c>
      <c r="K5902" s="23"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2"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2" t="n">
        <v>100000</v>
      </c>
      <c r="K5903" s="23"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2"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2" t="n">
        <v>100000</v>
      </c>
      <c r="K5904" s="23"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2"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2" t="n">
        <v>100000</v>
      </c>
      <c r="K5905" s="23"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2"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2" t="n">
        <v>100000</v>
      </c>
      <c r="K5906" s="23"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2"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2" t="n">
        <v>100000</v>
      </c>
      <c r="K5907" s="23"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2"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2" t="n">
        <v>100000</v>
      </c>
      <c r="K5908" s="23"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2"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2" t="n">
        <v>100000</v>
      </c>
      <c r="K5909" s="23"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2"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2" t="n">
        <v>100000</v>
      </c>
      <c r="K5910" s="23"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2"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2" t="n">
        <v>100000</v>
      </c>
      <c r="K5911" s="23"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2"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2" t="n">
        <v>100000</v>
      </c>
      <c r="K5912" s="23"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2"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2" t="n">
        <v>100000</v>
      </c>
      <c r="K5913" s="23"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2"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2" t="n">
        <v>100000</v>
      </c>
      <c r="K5914" s="23"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2"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2" t="n">
        <v>100000</v>
      </c>
      <c r="K5915" s="23"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2"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2" t="n">
        <v>100000</v>
      </c>
      <c r="K5916" s="23"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2"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2" t="n">
        <v>100000</v>
      </c>
      <c r="K5917" s="23"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2"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2" t="n">
        <v>100000</v>
      </c>
      <c r="K5918" s="23"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2"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2" t="n">
        <v>100000</v>
      </c>
      <c r="K5919" s="23"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2"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2" t="n">
        <v>100000</v>
      </c>
      <c r="K5920" s="23"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2"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2" t="n">
        <v>100000</v>
      </c>
      <c r="K5921" s="23"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2"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2" t="n">
        <v>100000</v>
      </c>
      <c r="K5922" s="23"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2"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2" t="n">
        <v>100000</v>
      </c>
      <c r="K5923" s="23"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2"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2" t="n">
        <v>100000</v>
      </c>
      <c r="K5924" s="23"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2"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2" t="n">
        <v>100000</v>
      </c>
      <c r="K5925" s="23"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2"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2" t="n">
        <v>100000</v>
      </c>
      <c r="K5926" s="23"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2"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2" t="n">
        <v>100000</v>
      </c>
      <c r="K5927" s="23"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2"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2" t="n">
        <v>100000</v>
      </c>
      <c r="K5928" s="23"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2"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2" t="n">
        <v>100000</v>
      </c>
      <c r="K5929" s="23"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2"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2" t="n">
        <v>100000</v>
      </c>
      <c r="K5930" s="23"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2"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2" t="n">
        <v>100000</v>
      </c>
      <c r="K5931" s="23"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2"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2" t="n">
        <v>100000</v>
      </c>
      <c r="K5932" s="23"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2"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2" t="n">
        <v>100000</v>
      </c>
      <c r="K5933" s="23"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2"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2" t="n">
        <v>100000</v>
      </c>
      <c r="K5934" s="23"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2"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2" t="n">
        <v>100000</v>
      </c>
      <c r="K5935" s="23"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2"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2" t="n">
        <v>100000</v>
      </c>
      <c r="K5936" s="23"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2"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2" t="n">
        <v>100000</v>
      </c>
      <c r="K5937" s="23"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2"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2" t="n">
        <v>100000</v>
      </c>
      <c r="K5938" s="23"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2"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2" t="n">
        <v>100000</v>
      </c>
      <c r="K5939" s="23"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2"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2" t="n">
        <v>100000</v>
      </c>
      <c r="K5940" s="23"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2"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2" t="n">
        <v>100000</v>
      </c>
      <c r="K5941" s="23"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2"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2" t="n">
        <v>100000</v>
      </c>
      <c r="K5942" s="23"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2"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2" t="n">
        <v>100000</v>
      </c>
      <c r="K5943" s="23"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2"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2" t="n">
        <v>100000</v>
      </c>
      <c r="K5944" s="23"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2"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2" t="n">
        <v>100000</v>
      </c>
      <c r="K5945" s="23"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2"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2" t="n">
        <v>100000</v>
      </c>
      <c r="K5946" s="23"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2"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2" t="n">
        <v>100000</v>
      </c>
      <c r="K5947" s="23"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2"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2" t="n">
        <v>100000</v>
      </c>
      <c r="K5948" s="23"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2"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2" t="n">
        <v>100000</v>
      </c>
      <c r="K5949" s="23"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2"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2" t="n">
        <v>100000</v>
      </c>
      <c r="K5950" s="23"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2"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2" t="n">
        <v>100000</v>
      </c>
      <c r="K5951" s="23"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2"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2" t="n">
        <v>100000</v>
      </c>
      <c r="K5952" s="23"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2"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2" t="n">
        <v>29997.41</v>
      </c>
      <c r="K5953" s="23"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2"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2" t="n">
        <v>120000</v>
      </c>
      <c r="K5954" s="23"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2"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2" t="n">
        <v>29997.41</v>
      </c>
      <c r="K5955" s="23" t="n">
        <v>45522</v>
      </c>
      <c r="M5955" t="inlineStr">
        <is>
          <t>Pinceaux</t>
        </is>
      </c>
      <c r="N5955" t="inlineStr">
        <is>
          <t>N/A</t>
        </is>
      </c>
      <c r="O5955" t="inlineStr">
        <is>
          <t>N/A</t>
        </is>
      </c>
      <c r="P5955" t="inlineStr">
        <is>
          <t>Convention minère et Code minier (Fond Social et Fond d'appui au developpement local)</t>
        </is>
      </c>
      <c r="Q5955" t="inlineStr">
        <is>
          <t>NA</t>
        </is>
      </c>
      <c r="R5955" s="22"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2" t="n">
        <v>50000</v>
      </c>
      <c r="K5956" s="23"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2"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2" t="n">
        <v>2000</v>
      </c>
      <c r="K5957" s="23"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2"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2" t="n">
        <v>100000</v>
      </c>
      <c r="K5958" s="23"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2"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2" t="n">
        <v>4370380</v>
      </c>
      <c r="K5959" s="23"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2"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2" t="n">
        <v>165200</v>
      </c>
      <c r="K5960" s="23"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2"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2" t="n">
        <v>2111580</v>
      </c>
      <c r="K5961" s="23"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2"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2" t="n">
        <v>3579876</v>
      </c>
      <c r="K5962" s="23"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2"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2" t="n">
        <v>4500000</v>
      </c>
      <c r="K5963" s="23"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2"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2" t="n">
        <v>146290</v>
      </c>
      <c r="K5964" s="23"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2"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2" t="n">
        <v>200000</v>
      </c>
      <c r="K5965" s="23"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2"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2" t="n">
        <v>202797.12</v>
      </c>
      <c r="K5966" s="23"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2"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2" t="n">
        <v>192402.56</v>
      </c>
      <c r="K5967" s="23"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2"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2" t="n">
        <v>55502.37</v>
      </c>
      <c r="K5968" s="23"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2"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2" t="n">
        <v>48097.61</v>
      </c>
      <c r="K5969" s="23"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2"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2" t="n">
        <v>44398.26</v>
      </c>
      <c r="K5970" s="23"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2"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2" t="n">
        <v>80397.17</v>
      </c>
      <c r="K5971" s="23"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2"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2" t="n">
        <v>13402.56</v>
      </c>
      <c r="K5972" s="23"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2"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2" t="n">
        <v>13402.56</v>
      </c>
      <c r="K5973" s="23"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2"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2" t="n">
        <v>57000.3</v>
      </c>
      <c r="K5974" s="23"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2"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2" t="n">
        <v>49401.48</v>
      </c>
      <c r="K5975" s="23"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2"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2" t="n">
        <v>45599.03</v>
      </c>
      <c r="K5976" s="23"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2"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2" t="n">
        <v>45599.03</v>
      </c>
      <c r="K5977" s="23"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2"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2" t="n">
        <v>18799.97</v>
      </c>
      <c r="K5978" s="23"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2"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2" t="n">
        <v>15197.66</v>
      </c>
      <c r="K5979" s="23"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2"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2" t="n">
        <v>69001.96000000001</v>
      </c>
      <c r="K5980" s="23"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2"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2" t="n">
        <v>59802.11</v>
      </c>
      <c r="K5981" s="23"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2"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2" t="n">
        <v>55199.15</v>
      </c>
      <c r="K5982" s="23"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2"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2" t="n">
        <v>62397.71</v>
      </c>
      <c r="K5983" s="23"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2"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2" t="n">
        <v>31201.89</v>
      </c>
      <c r="K5984" s="23"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2"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2" t="n">
        <v>31201.89</v>
      </c>
      <c r="K5985" s="23"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2"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2" t="n">
        <v>53998.37</v>
      </c>
      <c r="K5986" s="23"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2"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2" t="n">
        <v>46799.8</v>
      </c>
      <c r="K5987" s="23"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2"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2" t="n">
        <v>43197.49</v>
      </c>
      <c r="K5988" s="23"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2"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2" t="n">
        <v>58801.46</v>
      </c>
      <c r="K5989" s="23"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2"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2" t="n">
        <v>9800.25</v>
      </c>
      <c r="K5990" s="23"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2"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2" t="n">
        <v>9800.24</v>
      </c>
      <c r="K5991" s="23"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2"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2" t="n">
        <v>938145</v>
      </c>
      <c r="K5992" s="23"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2"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2" t="n">
        <v>5211916</v>
      </c>
      <c r="K5993" s="23"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2"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2" t="n">
        <v>657849</v>
      </c>
      <c r="K5994" s="23"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2"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2" t="n">
        <v>3797283</v>
      </c>
      <c r="K5995" s="23"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2"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2" t="n">
        <v>3587724</v>
      </c>
      <c r="K5996" s="23"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2"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2" t="n">
        <v>30000</v>
      </c>
      <c r="K5997" s="23"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2"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2" t="n">
        <v>28799.09</v>
      </c>
      <c r="K5998" s="23"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2"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2" t="n">
        <v>1000000</v>
      </c>
      <c r="K5999" s="23"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2"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2" t="n">
        <v>500000</v>
      </c>
      <c r="K6000" s="23"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2"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2" t="n">
        <v>200000</v>
      </c>
      <c r="K6001" s="23"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2"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2" t="n">
        <v>632999</v>
      </c>
      <c r="K6002" s="23"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2"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2" t="n">
        <v>27001.4</v>
      </c>
      <c r="K6003" s="23"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2"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2" t="n">
        <v>4000000</v>
      </c>
      <c r="K6004" s="23"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2"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2" t="n">
        <v>10000000</v>
      </c>
      <c r="K6005" s="23"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2"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2" t="n">
        <v>1000000</v>
      </c>
      <c r="K6006" s="23"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2"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2" t="n">
        <v>600000.79</v>
      </c>
      <c r="K6007" s="23"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2"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2" t="n">
        <v>149997.23</v>
      </c>
      <c r="K6008" s="23"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2"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2" t="n">
        <v>75001.58</v>
      </c>
      <c r="K6009" s="23"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2"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2" t="n">
        <v>350001.45</v>
      </c>
      <c r="K6010" s="23"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2"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2" t="n">
        <v>400002.5</v>
      </c>
      <c r="K6011" s="23"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2"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2" t="n">
        <v>174997.76</v>
      </c>
      <c r="K6012" s="23"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2"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2" t="n">
        <v>87498.88</v>
      </c>
      <c r="K6013" s="23"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2"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2" t="n">
        <v>75001.58</v>
      </c>
      <c r="K6014" s="23"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2"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2" t="n">
        <v>174997.76</v>
      </c>
      <c r="K6015" s="23"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2"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2" t="n">
        <v>87498.88</v>
      </c>
      <c r="K6016" s="23"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2"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2" t="n">
        <v>900001.1899999999</v>
      </c>
      <c r="K6017" s="23"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2"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2" t="n">
        <v>600000.79</v>
      </c>
      <c r="K6018" s="23"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2"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2" t="n">
        <v>375001.98</v>
      </c>
      <c r="K6019" s="23"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2"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2" t="n">
        <v>449997.63</v>
      </c>
      <c r="K6020" s="23"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2"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2" t="n">
        <v>30000000</v>
      </c>
      <c r="K6021" s="23"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2"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2" t="n">
        <v>20000000</v>
      </c>
      <c r="K6022" s="23"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2"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2" t="n">
        <v>27000</v>
      </c>
      <c r="K6023" t="inlineStr">
        <is>
          <t>10/02/2023</t>
        </is>
      </c>
      <c r="L6023" t="inlineStr">
        <is>
          <t>Appuis divers</t>
        </is>
      </c>
      <c r="R6023" s="22"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2" t="n">
        <v>25559.88</v>
      </c>
      <c r="K6024" s="23"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2"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2" t="n">
        <v>25320.8</v>
      </c>
      <c r="K6025" s="23" t="n">
        <v>45220</v>
      </c>
      <c r="L6025" t="inlineStr">
        <is>
          <t>Donation</t>
        </is>
      </c>
      <c r="M6025" t="inlineStr">
        <is>
          <t>NA</t>
        </is>
      </c>
      <c r="N6025" t="inlineStr">
        <is>
          <t>NA</t>
        </is>
      </c>
      <c r="O6025" t="inlineStr">
        <is>
          <t>NA</t>
        </is>
      </c>
      <c r="P6025" t="inlineStr">
        <is>
          <t>NA</t>
        </is>
      </c>
      <c r="Q6025" t="inlineStr">
        <is>
          <t>NA</t>
        </is>
      </c>
      <c r="R6025" s="22"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2" t="n">
        <v>430000000</v>
      </c>
      <c r="K6026" s="23"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2"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2" t="n">
        <v>1696840</v>
      </c>
      <c r="K6027" s="23"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2"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2" t="n">
        <v>4176522</v>
      </c>
      <c r="K6028" s="23"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2"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2" t="n">
        <v>1500000.55</v>
      </c>
      <c r="K6029" s="23"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2"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2" t="n">
        <v>1799998.27</v>
      </c>
      <c r="K6030" s="23"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2"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2" t="n">
        <v>2500000.92</v>
      </c>
      <c r="K6031" s="23"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2"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2" t="n">
        <v>2500000.92</v>
      </c>
      <c r="K6032" s="23"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2"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2" t="n">
        <v>5000001.85</v>
      </c>
      <c r="K6033" s="23"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2"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2" t="n">
        <v>2500000.93</v>
      </c>
      <c r="K6034" s="23"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2"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2" t="n">
        <v>899999.13</v>
      </c>
      <c r="K6035" s="23"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2"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2" t="n">
        <v>187502.32</v>
      </c>
      <c r="K6036" s="23"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2"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2" t="n">
        <v>399998.95</v>
      </c>
      <c r="K6037" s="23"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2"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2" t="n">
        <v>449999.57</v>
      </c>
      <c r="K6038" s="23"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2"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2" t="n">
        <v>150001.85</v>
      </c>
      <c r="K6039" s="23"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2"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2" t="n">
        <v>3000001.11</v>
      </c>
      <c r="K6040" s="23"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2"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2" t="n">
        <v>200002.47</v>
      </c>
      <c r="K6041" s="23"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2"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2" t="n">
        <v>249997.09</v>
      </c>
      <c r="K6042" s="23"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2"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2" t="n">
        <v>249997.1</v>
      </c>
      <c r="K6043" s="23"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2"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2" t="n">
        <v>359998.45</v>
      </c>
      <c r="K6044" s="23"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2"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2" t="n">
        <v>799997.9</v>
      </c>
      <c r="K6045" s="23"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2"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2" t="n">
        <v>1799998.27</v>
      </c>
      <c r="K6046" s="23"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2"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2" t="n">
        <v>675002.35</v>
      </c>
      <c r="K6047" s="23"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2"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2" t="n">
        <v>771000</v>
      </c>
      <c r="K6048" s="23"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2"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2" t="n">
        <v>55005000</v>
      </c>
      <c r="K6049" s="23"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2"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2" t="n">
        <v>9900900</v>
      </c>
      <c r="K6050" s="23"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2"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2" t="n">
        <v>17712300</v>
      </c>
      <c r="K6051" s="23"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2"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2" t="n">
        <v>3188214</v>
      </c>
      <c r="K6052" s="23"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2"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2" t="n">
        <v>198000</v>
      </c>
      <c r="K6053" s="23"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2"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2" t="n">
        <v>5000000</v>
      </c>
      <c r="K6054" s="23"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2"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2" t="n">
        <v>7500000</v>
      </c>
      <c r="K6055" s="23"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2"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2" t="n">
        <v>1400000</v>
      </c>
      <c r="K6056" s="23"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2"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2" t="n">
        <v>1300000</v>
      </c>
      <c r="K6057" s="23"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2"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2" t="n">
        <v>180000</v>
      </c>
      <c r="K6058" s="23"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2"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2" t="n">
        <v>342271</v>
      </c>
      <c r="K6059" s="23"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2"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2" t="n">
        <v>25320.8</v>
      </c>
      <c r="K6060" s="23" t="n">
        <v>45220</v>
      </c>
      <c r="L6060" t="inlineStr">
        <is>
          <t>Donation</t>
        </is>
      </c>
      <c r="M6060" t="inlineStr">
        <is>
          <t>NA</t>
        </is>
      </c>
      <c r="N6060" t="inlineStr">
        <is>
          <t>NA</t>
        </is>
      </c>
      <c r="O6060" t="inlineStr">
        <is>
          <t>NA</t>
        </is>
      </c>
      <c r="P6060" t="inlineStr">
        <is>
          <t>NA</t>
        </is>
      </c>
      <c r="Q6060" t="inlineStr">
        <is>
          <t>NA</t>
        </is>
      </c>
      <c r="R6060" s="22"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2" t="n">
        <v>175000</v>
      </c>
      <c r="K6061" s="23"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2"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2" t="n">
        <v>50000</v>
      </c>
      <c r="K6062" s="23"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2"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2" t="n">
        <v>50000</v>
      </c>
      <c r="K6063" s="23"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2"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2" t="n">
        <v>100000</v>
      </c>
      <c r="K6064" s="23"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2"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2" t="n">
        <v>300330</v>
      </c>
      <c r="K6065" s="23"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2"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2" t="n">
        <v>6023880</v>
      </c>
      <c r="K6066" s="23"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2"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2" t="n">
        <v>13650000</v>
      </c>
      <c r="K6067" s="23"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2"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2" t="n">
        <v>2167200</v>
      </c>
      <c r="K6068" s="23"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2"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2" t="n">
        <v>25000</v>
      </c>
      <c r="K6069" t="inlineStr">
        <is>
          <t>2024-04-05</t>
        </is>
      </c>
      <c r="L6069" t="inlineStr">
        <is>
          <t>Appuis divers</t>
        </is>
      </c>
      <c r="R6069" s="22"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2" t="n">
        <v>25000</v>
      </c>
      <c r="K6070" t="inlineStr">
        <is>
          <t>30/03/2023</t>
        </is>
      </c>
      <c r="L6070" t="inlineStr">
        <is>
          <t>Appuis divers</t>
        </is>
      </c>
      <c r="R6070" s="22"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2" t="n">
        <v>25000</v>
      </c>
      <c r="K6071" t="inlineStr">
        <is>
          <t>12/04/2023</t>
        </is>
      </c>
      <c r="L6071" t="inlineStr">
        <is>
          <t>Appuis divers</t>
        </is>
      </c>
      <c r="R6071" s="22"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2" t="n">
        <v>338715</v>
      </c>
      <c r="K6072" s="23"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2"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2" t="n">
        <v>705340</v>
      </c>
      <c r="K6073" s="23"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2"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2" t="n">
        <v>596646</v>
      </c>
      <c r="K6074" s="23"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2"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2" t="n">
        <v>352500</v>
      </c>
      <c r="K6075" s="23"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2"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2" t="n">
        <v>234620</v>
      </c>
      <c r="K6076" s="23"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2"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2" t="n">
        <v>699982</v>
      </c>
      <c r="K6077" s="23"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2"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2" t="n">
        <v>12896925</v>
      </c>
      <c r="K6078" s="23"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2"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2" t="n">
        <v>12896925</v>
      </c>
      <c r="K6079" s="23"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2"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2" t="n">
        <v>17883750.67</v>
      </c>
      <c r="K6080" s="23"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2"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2" t="n">
        <v>17883750.67</v>
      </c>
      <c r="K6081" s="23"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2"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2" t="n">
        <v>48301.12</v>
      </c>
      <c r="K6082" s="23"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2"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2" t="n">
        <v>536499.5699999999</v>
      </c>
      <c r="K6083" s="23"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2"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2" t="n">
        <v>64399.55</v>
      </c>
      <c r="K6084" s="23"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2"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2" t="n">
        <v>77790.60000000001</v>
      </c>
      <c r="K6085" s="23"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2"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2" t="n">
        <v>429207.82</v>
      </c>
      <c r="K6086" s="23"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2"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2" t="n">
        <v>2498598</v>
      </c>
      <c r="K6087" s="23"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2"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2" t="n">
        <v>744559</v>
      </c>
      <c r="K6088" s="23"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2"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2" t="n">
        <v>542469</v>
      </c>
      <c r="K6089" s="23"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2"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2" t="n">
        <v>925989</v>
      </c>
      <c r="K6090" s="23"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2"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2" t="n">
        <v>25000</v>
      </c>
      <c r="K6091" t="inlineStr">
        <is>
          <t>13/04/2023</t>
        </is>
      </c>
      <c r="L6091" t="inlineStr">
        <is>
          <t>Appuis divers</t>
        </is>
      </c>
      <c r="R6091" s="22"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2" t="n">
        <v>624340</v>
      </c>
      <c r="K6092" s="23"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2"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2" t="n">
        <v>1575000</v>
      </c>
      <c r="K6093" s="23"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2"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2" t="n">
        <v>-55293.13</v>
      </c>
      <c r="K6094" s="23"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2"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2" t="n">
        <v>7500000</v>
      </c>
      <c r="K6095" s="23"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2"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2" t="n">
        <v>5000000</v>
      </c>
      <c r="K6096" s="23"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2"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2" t="n">
        <v>1400000</v>
      </c>
      <c r="K6097" s="23"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2"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2" t="n">
        <v>1300000</v>
      </c>
      <c r="K6098" s="23"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2"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2" t="n">
        <v>180000</v>
      </c>
      <c r="K6099" s="23"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2"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2"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2" t="n">
        <v>24001.23</v>
      </c>
      <c r="K6101" s="23"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2"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2" t="n">
        <v>23999.14</v>
      </c>
      <c r="K6102" s="23" t="n">
        <v>45522</v>
      </c>
      <c r="M6102" t="inlineStr">
        <is>
          <t>Tamis</t>
        </is>
      </c>
      <c r="N6102" t="inlineStr">
        <is>
          <t>N/A</t>
        </is>
      </c>
      <c r="O6102" t="inlineStr">
        <is>
          <t>N/A</t>
        </is>
      </c>
      <c r="P6102" t="inlineStr">
        <is>
          <t>Convention minère et Code minier (Fond Social et Fond d'appui au developpement local)</t>
        </is>
      </c>
      <c r="Q6102" t="inlineStr">
        <is>
          <t>NA</t>
        </is>
      </c>
      <c r="R6102" s="22"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2" t="n">
        <v>23999.11</v>
      </c>
      <c r="K6103" s="23"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2"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2" t="n">
        <v>23997.52</v>
      </c>
      <c r="K6104" s="23" t="n">
        <v>44599</v>
      </c>
      <c r="L6104" t="inlineStr">
        <is>
          <t>SF Fond Gora &amp; General</t>
        </is>
      </c>
      <c r="R6104" s="22"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2" t="n">
        <v>26007.6</v>
      </c>
      <c r="K6105" s="23"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2"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2" t="n">
        <v>720000</v>
      </c>
      <c r="K6106" s="23"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2"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2" t="n">
        <v>5200000</v>
      </c>
      <c r="K6107" s="23"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2"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2" t="n">
        <v>3082750</v>
      </c>
      <c r="K6108" s="23"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2"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2" t="n">
        <v>-470249.98</v>
      </c>
      <c r="K6109" s="23"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2"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2" t="n">
        <v>342198.2</v>
      </c>
      <c r="K6110" s="23"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2"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2" t="n">
        <v>324501.8</v>
      </c>
      <c r="K6111" s="23"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2"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2" t="n">
        <v>1298000</v>
      </c>
      <c r="K6112" s="23"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2"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2" t="n">
        <v>53100.5</v>
      </c>
      <c r="K6113" s="23"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2"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2" t="n">
        <v>141599.5</v>
      </c>
      <c r="K6114" s="23"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2"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2" t="n">
        <v>35400</v>
      </c>
      <c r="K6115" s="23"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2"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2" t="n">
        <v>35000</v>
      </c>
      <c r="K6116" s="23"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2"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2" t="n">
        <v>1015000</v>
      </c>
      <c r="K6117" s="23"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2"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2" t="n">
        <v>5239999.92</v>
      </c>
      <c r="K6118" s="23"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2"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2" t="n">
        <v>12000.08</v>
      </c>
      <c r="K6119" s="23"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2"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2" t="n">
        <v>563301</v>
      </c>
      <c r="K6120" s="23"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2"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2" t="n">
        <v>-744559</v>
      </c>
      <c r="K6121" s="23"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2"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2" t="n">
        <v>878581</v>
      </c>
      <c r="K6122" s="23"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2"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2" t="n">
        <v>-17274.67</v>
      </c>
      <c r="K6123" s="23"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2"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2" t="n">
        <v>75000</v>
      </c>
      <c r="K6124" s="23"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2"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2" t="n">
        <v>75000</v>
      </c>
      <c r="K6125" s="23"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2"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2" t="n">
        <v>75000</v>
      </c>
      <c r="K6126" s="23"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2"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2" t="n">
        <v>75000</v>
      </c>
      <c r="K6127" s="23"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2"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2" t="n">
        <v>75000</v>
      </c>
      <c r="K6128" s="23"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2"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2" t="n">
        <v>75000</v>
      </c>
      <c r="K6129" s="23"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2"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2" t="n">
        <v>75000</v>
      </c>
      <c r="K6130" s="23"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2"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2" t="n">
        <v>75000</v>
      </c>
      <c r="K6131" s="23"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2"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2" t="n">
        <v>75000</v>
      </c>
      <c r="K6132" s="23"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2"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2" t="n">
        <v>75000</v>
      </c>
      <c r="K6133" s="23"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2"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2" t="n">
        <v>75000</v>
      </c>
      <c r="K6134" s="23"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2"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2" t="n">
        <v>75000</v>
      </c>
      <c r="K6135" s="23"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2"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2" t="n">
        <v>75000</v>
      </c>
      <c r="K6136" s="23"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2"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2" t="n">
        <v>75000</v>
      </c>
      <c r="K6137" s="23"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2"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2" t="n">
        <v>75000</v>
      </c>
      <c r="K6138" s="23"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2"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2" t="n">
        <v>75000</v>
      </c>
      <c r="K6139" s="23"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2"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2" t="n">
        <v>75000</v>
      </c>
      <c r="K6140" s="23"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2"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2" t="n">
        <v>75000</v>
      </c>
      <c r="K6141" s="23"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2"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2" t="n">
        <v>75000</v>
      </c>
      <c r="K6142" s="23"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2"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2" t="n">
        <v>75000</v>
      </c>
      <c r="K6143" s="23"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2"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2" t="n">
        <v>75000</v>
      </c>
      <c r="K6144" s="23"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2"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2" t="n">
        <v>75000</v>
      </c>
      <c r="K6145" s="23"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2"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2" t="n">
        <v>75000</v>
      </c>
      <c r="K6146" s="23"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2"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2" t="n">
        <v>75000</v>
      </c>
      <c r="K6147" s="23"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2"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2" t="n">
        <v>75000</v>
      </c>
      <c r="K6148" s="23"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2"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2" t="n">
        <v>75000</v>
      </c>
      <c r="K6149" s="23"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2"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2" t="n">
        <v>75000</v>
      </c>
      <c r="K6150" s="23"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2"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2" t="n">
        <v>75000</v>
      </c>
      <c r="K6151" s="23"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2"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2" t="n">
        <v>75000</v>
      </c>
      <c r="K6152" s="23"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2"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2" t="n">
        <v>75000</v>
      </c>
      <c r="K6153" s="23"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2"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2" t="n">
        <v>75000</v>
      </c>
      <c r="K6154" s="23"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2"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2" t="n">
        <v>75000</v>
      </c>
      <c r="K6155" s="23"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2"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2" t="n">
        <v>75000</v>
      </c>
      <c r="K6156" s="23"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2"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2" t="n">
        <v>75000</v>
      </c>
      <c r="K6157" s="23"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2"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2" t="n">
        <v>75000</v>
      </c>
      <c r="K6158" s="23"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2"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2" t="n">
        <v>75000</v>
      </c>
      <c r="K6159" s="23"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2"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2" t="n">
        <v>75000</v>
      </c>
      <c r="K6160" s="23"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2"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2" t="n">
        <v>75000</v>
      </c>
      <c r="K6161" s="23"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2"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2" t="n">
        <v>75000</v>
      </c>
      <c r="K6162" s="23"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2"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2" t="n">
        <v>75000</v>
      </c>
      <c r="K6163" s="23"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2"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2" t="n">
        <v>75000</v>
      </c>
      <c r="K6164" s="23"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2"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2" t="n">
        <v>75000</v>
      </c>
      <c r="K6165" s="23"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2"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2" t="n">
        <v>75000</v>
      </c>
      <c r="K6166" s="23"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2"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2" t="n">
        <v>75000</v>
      </c>
      <c r="K6167" s="23"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2"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2" t="n">
        <v>75000</v>
      </c>
      <c r="K6168" s="23"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2"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2" t="n">
        <v>75000</v>
      </c>
      <c r="K6169" s="23"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2"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2" t="n">
        <v>75000</v>
      </c>
      <c r="K6170" s="23"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2"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2" t="n">
        <v>75000</v>
      </c>
      <c r="K6171" s="23"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2"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2" t="n">
        <v>75000</v>
      </c>
      <c r="K6172" s="23"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2"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2" t="n">
        <v>75000</v>
      </c>
      <c r="K6173" s="23"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2"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2" t="n">
        <v>75000</v>
      </c>
      <c r="K6174" s="23"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2"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2" t="n">
        <v>75000</v>
      </c>
      <c r="K6175" s="23"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2"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2" t="n">
        <v>75000</v>
      </c>
      <c r="K6176" s="23"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2"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2" t="n">
        <v>75000</v>
      </c>
      <c r="K6177" s="23"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2"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2" t="n">
        <v>75000</v>
      </c>
      <c r="K6178" s="23"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2"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2" t="n">
        <v>75000</v>
      </c>
      <c r="K6179" s="23"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2"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2" t="n">
        <v>75000</v>
      </c>
      <c r="K6180" s="23"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2"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2" t="n">
        <v>75000</v>
      </c>
      <c r="K6181" s="23"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2"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2" t="n">
        <v>75000</v>
      </c>
      <c r="K6182" s="23"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2"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2" t="n">
        <v>75000</v>
      </c>
      <c r="K6183" s="23"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2"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2" t="n">
        <v>561010</v>
      </c>
      <c r="K6184" s="23"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2"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2" t="n">
        <v>669320</v>
      </c>
      <c r="K6185" s="23"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2"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2" t="n">
        <v>50000</v>
      </c>
      <c r="K6186" s="23"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2"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2" t="n">
        <v>1417948</v>
      </c>
      <c r="K6187" s="23"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2"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2" t="n">
        <v>23684</v>
      </c>
      <c r="K6188" s="23" t="n">
        <v>45117</v>
      </c>
      <c r="M6188" t="inlineStr">
        <is>
          <t>Education</t>
        </is>
      </c>
      <c r="R6188" s="22"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2" t="n">
        <v>350000</v>
      </c>
      <c r="K6189" s="23"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2"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2" t="n">
        <v>6187370</v>
      </c>
      <c r="K6190" s="23"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2"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2" t="n">
        <v>780000</v>
      </c>
      <c r="K6191" s="23"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2"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2" t="n">
        <v>780000</v>
      </c>
      <c r="K6192" s="23"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2"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2" t="n">
        <v>75000</v>
      </c>
      <c r="K6193" s="23"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2"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2" t="n">
        <v>75000</v>
      </c>
      <c r="K6194" s="23"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2"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2" t="n">
        <v>75000</v>
      </c>
      <c r="K6195" s="23"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2"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2" t="n">
        <v>75000</v>
      </c>
      <c r="K6196" s="23"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2"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2" t="n">
        <v>75000</v>
      </c>
      <c r="K6197" s="23"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2"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2" t="n">
        <v>809662</v>
      </c>
      <c r="K6198" s="23"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2"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2" t="n">
        <v>112508.77</v>
      </c>
      <c r="K6199" s="23"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2"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2" t="n">
        <v>4000000</v>
      </c>
      <c r="K6200" s="23"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2"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2" t="n">
        <v>273841</v>
      </c>
      <c r="K6201" s="23"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2"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2" t="n">
        <v>1400000</v>
      </c>
      <c r="K6202" s="23"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2"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2" t="n">
        <v>1300000</v>
      </c>
      <c r="K6203" s="23"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2"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2" t="n">
        <v>180000</v>
      </c>
      <c r="K6204" s="23"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2"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2" t="n">
        <v>5000000</v>
      </c>
      <c r="K6205" s="23"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2"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2" t="n">
        <v>7500000</v>
      </c>
      <c r="K6206" s="23"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2"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2" t="n">
        <v>75000</v>
      </c>
      <c r="K6207" s="23"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2"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2" t="n">
        <v>629000.4399999999</v>
      </c>
      <c r="K6208" s="23"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2"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2" t="n">
        <v>599996.72</v>
      </c>
      <c r="K6209" s="23"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2"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2" t="n">
        <v>282000.99</v>
      </c>
      <c r="K6210" s="23"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2"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2" t="n">
        <v>287501.41</v>
      </c>
      <c r="K6211" s="23"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2"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2" t="n">
        <v>287501.41</v>
      </c>
      <c r="K6212" s="23"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2"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2" t="n">
        <v>287501.41</v>
      </c>
      <c r="K6213" s="23"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2"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2" t="n">
        <v>53997.62</v>
      </c>
      <c r="K6214" s="23"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2"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2" t="n">
        <v>150000</v>
      </c>
      <c r="K6215" s="23"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2"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2" t="n">
        <v>1472001.16</v>
      </c>
      <c r="K6216" s="23"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2"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2" t="n">
        <v>1400000.4</v>
      </c>
      <c r="K6217" s="23"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2"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2" t="n">
        <v>940000.03</v>
      </c>
      <c r="K6218" s="23"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2"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2" t="n">
        <v>799999.45</v>
      </c>
      <c r="K6219" s="23"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2"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2" t="n">
        <v>1049998.95</v>
      </c>
      <c r="K6220" s="23"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2"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2" t="n">
        <v>1334801.24</v>
      </c>
      <c r="K6221" s="23"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2"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2" t="n">
        <v>134999.4</v>
      </c>
      <c r="K6222" s="23"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2"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2" t="n">
        <v>84998.42</v>
      </c>
      <c r="K6223" s="23"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2"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2" t="n">
        <v>805000.63</v>
      </c>
      <c r="K6224" s="23"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2"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2" t="n">
        <v>402500.32</v>
      </c>
      <c r="K6225" s="23"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2"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2" t="n">
        <v>4185678</v>
      </c>
      <c r="K6226" s="23"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2"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2" t="n">
        <v>1000000</v>
      </c>
      <c r="K6227" s="23"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2"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2" t="n">
        <v>175000</v>
      </c>
      <c r="K6228" s="23"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2"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2" t="n">
        <v>131000</v>
      </c>
      <c r="K6229" s="23"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2"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2" t="n">
        <v>459606</v>
      </c>
      <c r="K6230" s="23"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2"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2" t="n">
        <v>15925000</v>
      </c>
      <c r="K6231" s="23"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2"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2" t="n">
        <v>500000</v>
      </c>
      <c r="K6232" s="23"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2"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2" t="n">
        <v>22220</v>
      </c>
      <c r="K6233" s="23" t="n">
        <v>45291</v>
      </c>
      <c r="R6233" s="22"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2" t="n">
        <v>20002.53</v>
      </c>
      <c r="K6234" s="23"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2"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2" t="n">
        <v>20002.31</v>
      </c>
      <c r="K6237" s="23"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2"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2" t="n">
        <v>20002.31</v>
      </c>
      <c r="K6238" s="23" t="n">
        <v>45522</v>
      </c>
      <c r="M6238" t="inlineStr">
        <is>
          <t>Kep paquet</t>
        </is>
      </c>
      <c r="N6238" t="inlineStr">
        <is>
          <t>N/A</t>
        </is>
      </c>
      <c r="O6238" t="inlineStr">
        <is>
          <t>N/A</t>
        </is>
      </c>
      <c r="P6238" t="inlineStr">
        <is>
          <t>Convention minère et Code minier (Fond Social et Fond d'appui au developpement local)</t>
        </is>
      </c>
      <c r="Q6238" t="inlineStr">
        <is>
          <t>NA</t>
        </is>
      </c>
      <c r="R6238" s="22"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2"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2"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2"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2"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2" t="n">
        <v>6900000</v>
      </c>
      <c r="K6242" s="23"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2"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2" t="n">
        <v>4883898</v>
      </c>
      <c r="K6243" s="23"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2"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2" t="n">
        <v>5222187</v>
      </c>
      <c r="K6244" s="23"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2"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2" t="n">
        <v>5444741</v>
      </c>
      <c r="K6245" s="23"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2"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2" t="n">
        <v>7261483</v>
      </c>
      <c r="K6246" s="23"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2"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2" t="n">
        <v>7295377</v>
      </c>
      <c r="K6247" s="23"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2"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2" t="n">
        <v>10000000</v>
      </c>
      <c r="K6248" s="23"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2"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2" t="n">
        <v>11770694</v>
      </c>
      <c r="K6249" s="23"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2"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2" t="n">
        <v>4000000</v>
      </c>
      <c r="K6250" s="23"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2"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2" t="n">
        <v>1498989</v>
      </c>
      <c r="K6251" s="23"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2"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2" t="n">
        <v>1549837</v>
      </c>
      <c r="K6252" s="23"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2"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2" t="n">
        <v>2144131</v>
      </c>
      <c r="K6253" s="23"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2"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2" t="n">
        <v>3000000</v>
      </c>
      <c r="K6254" s="23"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2"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2" t="n">
        <v>6900000</v>
      </c>
      <c r="K6255" s="23"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2"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2" t="n">
        <v>7000000</v>
      </c>
      <c r="K6256" s="23"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2"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2" t="n">
        <v>7261483</v>
      </c>
      <c r="K6257" s="23"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2"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2" t="n">
        <v>9881423</v>
      </c>
      <c r="K6258" s="23"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2"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2" t="n">
        <v>425000</v>
      </c>
      <c r="K6259" s="23"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2"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2" t="n">
        <v>425000</v>
      </c>
      <c r="K6260" s="23"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2"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2" t="n">
        <v>425000</v>
      </c>
      <c r="K6261" s="23"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2"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2" t="n">
        <v>885000</v>
      </c>
      <c r="K6262" s="23"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2"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2" t="n">
        <v>2317118</v>
      </c>
      <c r="K6263" s="23"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2"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2" t="n">
        <v>3952569</v>
      </c>
      <c r="K6264" s="23"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2"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2" t="n">
        <v>5000000</v>
      </c>
      <c r="K6265" s="23"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2"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2" t="n">
        <v>11452950</v>
      </c>
      <c r="K6266" s="23"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2"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2" t="n">
        <v>40560937</v>
      </c>
      <c r="K6267" s="23"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2"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2" t="n">
        <v>7389349</v>
      </c>
      <c r="K6268" s="23"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2"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2" t="n">
        <v>5444781</v>
      </c>
      <c r="K6269" s="23"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2"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2" t="n">
        <v>127865</v>
      </c>
      <c r="K6270" s="23"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2"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2" t="n">
        <v>3191102</v>
      </c>
      <c r="K6271" s="23"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2"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2" t="n">
        <v>4614188</v>
      </c>
      <c r="K6272" s="23"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2"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2" t="n">
        <v>6330193</v>
      </c>
      <c r="K6273" s="23"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2"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2" t="n">
        <v>6900000</v>
      </c>
      <c r="K6274" s="23"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2"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2" t="n">
        <v>6240144</v>
      </c>
      <c r="K6275" s="23"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2"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2" t="n">
        <v>11497349</v>
      </c>
      <c r="K6276" s="23"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2"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2" t="n">
        <v>855000</v>
      </c>
      <c r="K6277" s="23"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2"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2" t="n">
        <v>1700000</v>
      </c>
      <c r="K6278" s="23"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2"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2" t="n">
        <v>6760000</v>
      </c>
      <c r="K6279" s="23"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2"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2" t="n">
        <v>10307658</v>
      </c>
      <c r="K6280" s="23"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2"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2" t="n">
        <v>425000</v>
      </c>
      <c r="K6281" s="23"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2"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2" t="n">
        <v>2800000</v>
      </c>
      <c r="K6282" s="23"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2"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2" t="n">
        <v>4309324</v>
      </c>
      <c r="K6283" s="23"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2"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2" t="n">
        <v>6031316</v>
      </c>
      <c r="K6284" s="23"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2"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2" t="n">
        <v>7253537</v>
      </c>
      <c r="K6285" s="23"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2"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2" t="n">
        <v>425000</v>
      </c>
      <c r="K6286" s="23"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2"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2" t="n">
        <v>6900000</v>
      </c>
      <c r="K6287" s="23"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2"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2" t="n">
        <v>5000000</v>
      </c>
      <c r="K6288" s="23"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2"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2" t="n">
        <v>1050000</v>
      </c>
      <c r="K6289" s="23"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2"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2" t="n">
        <v>425000</v>
      </c>
      <c r="K6290" s="23"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2"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2" t="n">
        <v>1095254</v>
      </c>
      <c r="K6291" s="23"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2"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2" t="n">
        <v>1412000</v>
      </c>
      <c r="K6292" s="23"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2"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2" t="n">
        <v>425000</v>
      </c>
      <c r="K6293" s="23"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2"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2" t="n">
        <v>783000</v>
      </c>
      <c r="K6294" s="23"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2"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2" t="n">
        <v>1500000</v>
      </c>
      <c r="K6295" s="23"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2"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2" t="n">
        <v>6000000</v>
      </c>
      <c r="K6296" s="23"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2"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2" t="n">
        <v>8620907</v>
      </c>
      <c r="K6297" s="23"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2"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2" t="n">
        <v>9078694</v>
      </c>
      <c r="K6298" s="23"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2"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2" t="n">
        <v>425000</v>
      </c>
      <c r="K6299" s="23"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2"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2" t="n">
        <v>150000</v>
      </c>
      <c r="K6300" s="23"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2"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2" t="n">
        <v>1000000</v>
      </c>
      <c r="K6301" s="23"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2"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2" t="n">
        <v>1300000</v>
      </c>
      <c r="K6302" s="23"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2"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2" t="n">
        <v>1354640</v>
      </c>
      <c r="K6303" s="23"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2"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2" t="n">
        <v>1738011</v>
      </c>
      <c r="K6304" s="23"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2"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2" t="n">
        <v>3000000</v>
      </c>
      <c r="K6305" s="23"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2"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2" t="n">
        <v>6900000</v>
      </c>
      <c r="K6306" s="23"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2"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2" t="n">
        <v>6905360</v>
      </c>
      <c r="K6307" s="23"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2"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2" t="n">
        <v>19999230</v>
      </c>
      <c r="K6308" s="23"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2"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2" t="n">
        <v>23100000</v>
      </c>
      <c r="K6309" s="23"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2"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2" t="n">
        <v>425000</v>
      </c>
      <c r="K6310" s="23"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2"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2"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2"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2" t="n">
        <v>20001.72</v>
      </c>
      <c r="K6314" s="23"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2"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2" t="n">
        <v>20001.72</v>
      </c>
      <c r="K6316" s="23"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2"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2" t="n">
        <v>20000</v>
      </c>
      <c r="K6318" s="23"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2"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2"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2"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2" t="n">
        <v>20000</v>
      </c>
      <c r="K6320" s="23" t="n">
        <v>45649</v>
      </c>
      <c r="R6320" s="22"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2" t="n">
        <v>20000</v>
      </c>
      <c r="K6321" t="inlineStr">
        <is>
          <t>03/04/2023</t>
        </is>
      </c>
      <c r="L6321" t="inlineStr">
        <is>
          <t>Appuis divers</t>
        </is>
      </c>
      <c r="R6321" s="22"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2" t="n">
        <v>20000</v>
      </c>
      <c r="K6322" t="inlineStr">
        <is>
          <t>25/09/2023</t>
        </is>
      </c>
      <c r="L6322" t="inlineStr">
        <is>
          <t>Appuis divers</t>
        </is>
      </c>
      <c r="R6322" s="22"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2" t="n">
        <v>20000</v>
      </c>
      <c r="K6323" t="inlineStr">
        <is>
          <t>11/10/2023</t>
        </is>
      </c>
      <c r="L6323" t="inlineStr">
        <is>
          <t>Appuis divers</t>
        </is>
      </c>
      <c r="R6323" s="22"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2"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2" t="n">
        <v>44165</v>
      </c>
      <c r="K6325" t="inlineStr">
        <is>
          <t>NC</t>
        </is>
      </c>
      <c r="L6325" t="inlineStr">
        <is>
          <t>NC</t>
        </is>
      </c>
      <c r="M6325" t="inlineStr">
        <is>
          <t xml:space="preserve">Néant </t>
        </is>
      </c>
      <c r="N6325" t="inlineStr">
        <is>
          <t xml:space="preserve">Néant </t>
        </is>
      </c>
      <c r="O6325" t="inlineStr">
        <is>
          <t>NC</t>
        </is>
      </c>
      <c r="R6325" s="22"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2" t="n">
        <v>19997.43</v>
      </c>
      <c r="K6326" s="23" t="n">
        <v>45034</v>
      </c>
      <c r="L6326" t="inlineStr">
        <is>
          <t>Appui divers</t>
        </is>
      </c>
      <c r="M6326" t="inlineStr">
        <is>
          <t>N/A</t>
        </is>
      </c>
      <c r="N6326" t="inlineStr">
        <is>
          <t>N/A</t>
        </is>
      </c>
      <c r="O6326" t="inlineStr">
        <is>
          <t>N/A</t>
        </is>
      </c>
      <c r="R6326" s="22"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2" t="n">
        <v>19800</v>
      </c>
      <c r="K6327" t="inlineStr">
        <is>
          <t>2024-04-25</t>
        </is>
      </c>
      <c r="L6327" t="inlineStr">
        <is>
          <t>Appuis divers</t>
        </is>
      </c>
      <c r="R6327" s="22"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2" t="n">
        <v>19700</v>
      </c>
      <c r="K6328" t="inlineStr">
        <is>
          <t>2024-03-01</t>
        </is>
      </c>
      <c r="L6328" t="inlineStr">
        <is>
          <t>Appuis divers</t>
        </is>
      </c>
      <c r="R6328" s="22"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2" t="n">
        <v>44049</v>
      </c>
      <c r="K6329" t="inlineStr">
        <is>
          <t>APPUI DIVERS</t>
        </is>
      </c>
      <c r="L6329" t="inlineStr">
        <is>
          <t>APPUI DIVERS</t>
        </is>
      </c>
      <c r="M6329" t="inlineStr">
        <is>
          <t xml:space="preserve">Néant </t>
        </is>
      </c>
      <c r="N6329" t="inlineStr">
        <is>
          <t xml:space="preserve">Néant </t>
        </is>
      </c>
      <c r="O6329" t="inlineStr">
        <is>
          <t>NC</t>
        </is>
      </c>
      <c r="R6329" s="22"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2" t="n">
        <v>16199.63</v>
      </c>
      <c r="K6330" s="23"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2"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2" t="n">
        <v>16000</v>
      </c>
      <c r="K6331" t="inlineStr">
        <is>
          <t>2024-03-01</t>
        </is>
      </c>
      <c r="L6331" t="inlineStr">
        <is>
          <t>Appuis divers</t>
        </is>
      </c>
      <c r="R6331" s="22"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2" t="n">
        <v>43858</v>
      </c>
      <c r="K6332" t="inlineStr">
        <is>
          <t>CAPACITATION DES FEMMES</t>
        </is>
      </c>
      <c r="L6332" t="inlineStr">
        <is>
          <t>FRAIS ORG FINANCEMENT GIE</t>
        </is>
      </c>
      <c r="M6332" t="inlineStr">
        <is>
          <t xml:space="preserve">Néant </t>
        </is>
      </c>
      <c r="N6332" t="inlineStr">
        <is>
          <t xml:space="preserve">Néant </t>
        </is>
      </c>
      <c r="O6332" t="inlineStr">
        <is>
          <t>NC</t>
        </is>
      </c>
      <c r="R6332" s="22"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2" t="n">
        <v>15997.67</v>
      </c>
      <c r="K6333" s="23" t="n">
        <v>45498</v>
      </c>
      <c r="M6333" t="inlineStr">
        <is>
          <t>Modulaire</t>
        </is>
      </c>
      <c r="N6333" t="inlineStr">
        <is>
          <t>N/A</t>
        </is>
      </c>
      <c r="O6333" t="inlineStr">
        <is>
          <t>N/A</t>
        </is>
      </c>
      <c r="P6333" t="inlineStr">
        <is>
          <t>Convention minère et Code minier (Fond Social et Fond d'appui au developpement local)</t>
        </is>
      </c>
      <c r="Q6333" t="inlineStr">
        <is>
          <t>NA</t>
        </is>
      </c>
      <c r="R6333" s="22"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2" t="n">
        <v>15120.06</v>
      </c>
      <c r="K6334" s="23"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2"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2" t="n">
        <v>15000</v>
      </c>
      <c r="K6335" s="23"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2"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2" t="n">
        <v>15000</v>
      </c>
      <c r="K6336" s="23"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2"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2" t="n">
        <v>15000</v>
      </c>
      <c r="O6337" t="inlineStr">
        <is>
          <t>SF General</t>
        </is>
      </c>
      <c r="P6337" t="inlineStr">
        <is>
          <t>Obligation de développement social: art.15 de l'avenant 1 à la convention minière de Sabodala du 23 mars 2005</t>
        </is>
      </c>
      <c r="R6337" s="22"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2" t="n">
        <v>14399.55</v>
      </c>
      <c r="K6338" s="23"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2"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2" t="n">
        <v>13799.5</v>
      </c>
      <c r="K6339" s="23"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2"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2" t="n">
        <v>13437.58</v>
      </c>
      <c r="K6340" s="23"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2"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2" t="n">
        <v>12663.5</v>
      </c>
      <c r="K6341" s="23" t="n">
        <v>45220</v>
      </c>
      <c r="L6341" t="inlineStr">
        <is>
          <t>Donation</t>
        </is>
      </c>
      <c r="M6341" t="inlineStr">
        <is>
          <t>NA</t>
        </is>
      </c>
      <c r="N6341" t="inlineStr">
        <is>
          <t>NA</t>
        </is>
      </c>
      <c r="O6341" t="inlineStr">
        <is>
          <t>NA</t>
        </is>
      </c>
      <c r="P6341" t="inlineStr">
        <is>
          <t>NA</t>
        </is>
      </c>
      <c r="Q6341" t="inlineStr">
        <is>
          <t>NA</t>
        </is>
      </c>
      <c r="R6341" s="22"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2" t="n">
        <v>12500</v>
      </c>
      <c r="K6342" s="23"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2"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2" t="n">
        <v>12263.64645482</v>
      </c>
      <c r="K6343" s="23" t="n">
        <v>45349</v>
      </c>
      <c r="M6343" t="inlineStr">
        <is>
          <t>Goods Final Costs</t>
        </is>
      </c>
      <c r="P6343" t="inlineStr">
        <is>
          <t>Convention minère et Code minier (Fond Social et Fond d'appui au developpement local)</t>
        </is>
      </c>
      <c r="R6343" s="22"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2" t="n">
        <v>12000</v>
      </c>
      <c r="K6344" s="23"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2"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2" t="n">
        <v>11998.03</v>
      </c>
      <c r="O6345" t="inlineStr">
        <is>
          <t>SF General</t>
        </is>
      </c>
      <c r="P6345" t="inlineStr">
        <is>
          <t>Obligation de développement social: art.15 de l'avenant 1 à la convention minière de Sabodala du 23 mars 2005</t>
        </is>
      </c>
      <c r="R6345" s="22"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2" t="n">
        <v>11292.59</v>
      </c>
      <c r="K6346" s="23"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2"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2" t="n">
        <v>10640.55</v>
      </c>
      <c r="K6347" s="23" t="n">
        <v>45220</v>
      </c>
      <c r="L6347" t="inlineStr">
        <is>
          <t>Donation</t>
        </is>
      </c>
      <c r="M6347" t="inlineStr">
        <is>
          <t>NA</t>
        </is>
      </c>
      <c r="N6347" t="inlineStr">
        <is>
          <t>NA</t>
        </is>
      </c>
      <c r="O6347" t="inlineStr">
        <is>
          <t>NA</t>
        </is>
      </c>
      <c r="P6347" t="inlineStr">
        <is>
          <t>NA</t>
        </is>
      </c>
      <c r="Q6347" t="inlineStr">
        <is>
          <t>NA</t>
        </is>
      </c>
      <c r="R6347" s="22"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2" t="n">
        <v>10002.18</v>
      </c>
      <c r="K6348" s="23" t="n">
        <v>44659</v>
      </c>
      <c r="L6348" t="inlineStr">
        <is>
          <t>SF Fond Gora &amp; General</t>
        </is>
      </c>
      <c r="R6348" s="22"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2" t="n">
        <v>10000</v>
      </c>
      <c r="K6349" t="inlineStr">
        <is>
          <t>09/06/2023</t>
        </is>
      </c>
      <c r="L6349" t="inlineStr">
        <is>
          <t>Appuis divers</t>
        </is>
      </c>
      <c r="R6349" s="22"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2" t="n">
        <v>10000</v>
      </c>
      <c r="K6350" s="23"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2"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2" t="n">
        <v>43893</v>
      </c>
      <c r="K6351" t="inlineStr">
        <is>
          <t>APPUI DIVERS</t>
        </is>
      </c>
      <c r="L6351" t="inlineStr">
        <is>
          <t>PERDIUM REMISE CHQ UCAD</t>
        </is>
      </c>
      <c r="M6351" t="inlineStr">
        <is>
          <t xml:space="preserve">Néant </t>
        </is>
      </c>
      <c r="N6351" t="inlineStr">
        <is>
          <t xml:space="preserve">Néant </t>
        </is>
      </c>
      <c r="O6351" t="inlineStr">
        <is>
          <t>NC</t>
        </is>
      </c>
      <c r="R6351" s="22"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2" t="n">
        <v>43938</v>
      </c>
      <c r="K6352" t="inlineStr">
        <is>
          <t>NC</t>
        </is>
      </c>
      <c r="L6352" t="inlineStr">
        <is>
          <t>NC</t>
        </is>
      </c>
      <c r="M6352" t="inlineStr">
        <is>
          <t xml:space="preserve">Néant </t>
        </is>
      </c>
      <c r="N6352" t="inlineStr">
        <is>
          <t xml:space="preserve">Néant </t>
        </is>
      </c>
      <c r="O6352" t="inlineStr">
        <is>
          <t>NC</t>
        </is>
      </c>
      <c r="R6352" s="22"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2" t="n">
        <v>44165</v>
      </c>
      <c r="K6353" t="inlineStr">
        <is>
          <t>NC</t>
        </is>
      </c>
      <c r="L6353" t="inlineStr">
        <is>
          <t>NC</t>
        </is>
      </c>
      <c r="M6353" t="inlineStr">
        <is>
          <t xml:space="preserve">Néant </t>
        </is>
      </c>
      <c r="N6353" t="inlineStr">
        <is>
          <t xml:space="preserve">Néant </t>
        </is>
      </c>
      <c r="O6353" t="inlineStr">
        <is>
          <t>NC</t>
        </is>
      </c>
      <c r="R6353" s="22"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2" t="n">
        <v>44165</v>
      </c>
      <c r="K6354" t="inlineStr">
        <is>
          <t>NC</t>
        </is>
      </c>
      <c r="L6354" t="inlineStr">
        <is>
          <t>NC</t>
        </is>
      </c>
      <c r="M6354" t="inlineStr">
        <is>
          <t xml:space="preserve">Néant </t>
        </is>
      </c>
      <c r="N6354" t="inlineStr">
        <is>
          <t xml:space="preserve">Néant </t>
        </is>
      </c>
      <c r="O6354" t="inlineStr">
        <is>
          <t>NC</t>
        </is>
      </c>
      <c r="R6354" s="22"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2" t="n">
        <v>44165</v>
      </c>
      <c r="K6355" t="inlineStr">
        <is>
          <t>NC</t>
        </is>
      </c>
      <c r="L6355" t="inlineStr">
        <is>
          <t>NC</t>
        </is>
      </c>
      <c r="M6355" t="inlineStr">
        <is>
          <t xml:space="preserve">Néant </t>
        </is>
      </c>
      <c r="N6355" t="inlineStr">
        <is>
          <t xml:space="preserve">Néant </t>
        </is>
      </c>
      <c r="O6355" t="inlineStr">
        <is>
          <t>NC</t>
        </is>
      </c>
      <c r="R6355" s="22"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2" t="n">
        <v>44165</v>
      </c>
      <c r="K6356" t="inlineStr">
        <is>
          <t>NC</t>
        </is>
      </c>
      <c r="L6356" t="inlineStr">
        <is>
          <t>NC</t>
        </is>
      </c>
      <c r="M6356" t="inlineStr">
        <is>
          <t xml:space="preserve">Néant </t>
        </is>
      </c>
      <c r="N6356" t="inlineStr">
        <is>
          <t xml:space="preserve">Néant </t>
        </is>
      </c>
      <c r="O6356" t="inlineStr">
        <is>
          <t>NC</t>
        </is>
      </c>
      <c r="R6356" s="22"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2" t="n">
        <v>44165</v>
      </c>
      <c r="K6357" t="inlineStr">
        <is>
          <t>NC</t>
        </is>
      </c>
      <c r="L6357" t="inlineStr">
        <is>
          <t>NC</t>
        </is>
      </c>
      <c r="M6357" t="inlineStr">
        <is>
          <t xml:space="preserve">Néant </t>
        </is>
      </c>
      <c r="N6357" t="inlineStr">
        <is>
          <t xml:space="preserve">Néant </t>
        </is>
      </c>
      <c r="O6357" t="inlineStr">
        <is>
          <t>NC</t>
        </is>
      </c>
      <c r="R6357" s="22"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2" t="n">
        <v>44165</v>
      </c>
      <c r="K6358" t="inlineStr">
        <is>
          <t>NC</t>
        </is>
      </c>
      <c r="L6358" t="inlineStr">
        <is>
          <t>NC</t>
        </is>
      </c>
      <c r="M6358" t="inlineStr">
        <is>
          <t xml:space="preserve">Néant </t>
        </is>
      </c>
      <c r="N6358" t="inlineStr">
        <is>
          <t xml:space="preserve">Néant </t>
        </is>
      </c>
      <c r="O6358" t="inlineStr">
        <is>
          <t>NC</t>
        </is>
      </c>
      <c r="R6358" s="22"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2" t="n">
        <v>9500</v>
      </c>
      <c r="K6360" t="inlineStr">
        <is>
          <t>2024-02-03</t>
        </is>
      </c>
      <c r="L6360" t="inlineStr">
        <is>
          <t>Appuis divers</t>
        </is>
      </c>
      <c r="R6360" s="22"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2" t="n">
        <v>9438.58</v>
      </c>
      <c r="K6361" s="23" t="n">
        <v>45338</v>
      </c>
      <c r="M6361" t="inlineStr">
        <is>
          <t>135381AA</t>
        </is>
      </c>
      <c r="N6361" t="inlineStr">
        <is>
          <t>N/A</t>
        </is>
      </c>
      <c r="O6361" t="inlineStr">
        <is>
          <t>N/A</t>
        </is>
      </c>
      <c r="P6361" t="inlineStr">
        <is>
          <t>Convention minère et Code minier (Fond Social et Fond d'appui au developpement local)</t>
        </is>
      </c>
      <c r="Q6361" t="inlineStr">
        <is>
          <t>NA</t>
        </is>
      </c>
      <c r="R6361" s="22"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2" t="n">
        <v>9400</v>
      </c>
      <c r="K6363" t="inlineStr">
        <is>
          <t>2024-01-10</t>
        </is>
      </c>
      <c r="L6363" t="inlineStr">
        <is>
          <t>Appuis divers</t>
        </is>
      </c>
      <c r="R6363" s="22"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2" t="n">
        <v>9001.34</v>
      </c>
      <c r="K6372" s="23" t="n">
        <v>45498</v>
      </c>
      <c r="M6372" t="inlineStr">
        <is>
          <t>Ambou 040</t>
        </is>
      </c>
      <c r="N6372" t="inlineStr">
        <is>
          <t>N/A</t>
        </is>
      </c>
      <c r="O6372" t="inlineStr">
        <is>
          <t>N/A</t>
        </is>
      </c>
      <c r="P6372" t="inlineStr">
        <is>
          <t>Convention minère et Code minier (Fond Social et Fond d'appui au developpement local)</t>
        </is>
      </c>
      <c r="Q6372" t="inlineStr">
        <is>
          <t>NA</t>
        </is>
      </c>
      <c r="R6372" s="22"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2" t="n">
        <v>43847</v>
      </c>
      <c r="K6373" t="inlineStr">
        <is>
          <t>CULTURE</t>
        </is>
      </c>
      <c r="L6373" t="inlineStr">
        <is>
          <t>SOUTIEN A LA JEUNESSE</t>
        </is>
      </c>
      <c r="M6373" t="inlineStr">
        <is>
          <t xml:space="preserve">Néant </t>
        </is>
      </c>
      <c r="N6373" t="inlineStr">
        <is>
          <t xml:space="preserve">Néant </t>
        </is>
      </c>
      <c r="O6373" t="inlineStr">
        <is>
          <t>NC</t>
        </is>
      </c>
      <c r="R6373" s="22"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2" t="n">
        <v>43847</v>
      </c>
      <c r="K6374" t="inlineStr">
        <is>
          <t>CULTURE</t>
        </is>
      </c>
      <c r="L6374" t="inlineStr">
        <is>
          <t>SOUTIEN A LA JEUNESSE</t>
        </is>
      </c>
      <c r="M6374" t="inlineStr">
        <is>
          <t xml:space="preserve">Néant </t>
        </is>
      </c>
      <c r="N6374" t="inlineStr">
        <is>
          <t xml:space="preserve">Néant </t>
        </is>
      </c>
      <c r="O6374" t="inlineStr">
        <is>
          <t>NC</t>
        </is>
      </c>
      <c r="R6374" s="22"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2" t="n">
        <v>43858</v>
      </c>
      <c r="K6375" t="inlineStr">
        <is>
          <t>CULTURE</t>
        </is>
      </c>
      <c r="L6375" t="inlineStr">
        <is>
          <t>SOUTIEN A LA JEUNESSE</t>
        </is>
      </c>
      <c r="M6375" t="inlineStr">
        <is>
          <t xml:space="preserve">Néant </t>
        </is>
      </c>
      <c r="N6375" t="inlineStr">
        <is>
          <t xml:space="preserve">Néant </t>
        </is>
      </c>
      <c r="O6375" t="inlineStr">
        <is>
          <t>NC</t>
        </is>
      </c>
      <c r="R6375" s="22"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2" t="n">
        <v>43860</v>
      </c>
      <c r="K6376" t="inlineStr">
        <is>
          <t>CULTURE</t>
        </is>
      </c>
      <c r="L6376" t="inlineStr">
        <is>
          <t>SOUTIEN A LA JEUNESSE</t>
        </is>
      </c>
      <c r="M6376" t="inlineStr">
        <is>
          <t xml:space="preserve">Néant </t>
        </is>
      </c>
      <c r="N6376" t="inlineStr">
        <is>
          <t xml:space="preserve">Néant </t>
        </is>
      </c>
      <c r="O6376" t="inlineStr">
        <is>
          <t>NC</t>
        </is>
      </c>
      <c r="R6376" s="22"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2" t="n">
        <v>43860</v>
      </c>
      <c r="K6377" t="inlineStr">
        <is>
          <t>CAPACITATION DES FEMMES</t>
        </is>
      </c>
      <c r="L6377" t="inlineStr">
        <is>
          <t>APPUI ACTIVITE ECONOMIQUE</t>
        </is>
      </c>
      <c r="M6377" t="inlineStr">
        <is>
          <t xml:space="preserve">Néant </t>
        </is>
      </c>
      <c r="N6377" t="inlineStr">
        <is>
          <t xml:space="preserve">Néant </t>
        </is>
      </c>
      <c r="O6377" t="inlineStr">
        <is>
          <t>NC</t>
        </is>
      </c>
      <c r="R6377" s="22"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2" t="n">
        <v>43860</v>
      </c>
      <c r="K6378" t="inlineStr">
        <is>
          <t>CAPACITATION DES FEMMES</t>
        </is>
      </c>
      <c r="L6378" t="inlineStr">
        <is>
          <t>APPUI ACTIVITE ECONOMIQUE</t>
        </is>
      </c>
      <c r="M6378" t="inlineStr">
        <is>
          <t xml:space="preserve">Néant </t>
        </is>
      </c>
      <c r="N6378" t="inlineStr">
        <is>
          <t xml:space="preserve">Néant </t>
        </is>
      </c>
      <c r="O6378" t="inlineStr">
        <is>
          <t>NC</t>
        </is>
      </c>
      <c r="R6378" s="22"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2" t="n">
        <v>43860</v>
      </c>
      <c r="K6379" t="inlineStr">
        <is>
          <t>CAPACITATION DES FEMMES</t>
        </is>
      </c>
      <c r="L6379" t="inlineStr">
        <is>
          <t>APPUI ACTIVITE ECONOMIQUE</t>
        </is>
      </c>
      <c r="M6379" t="inlineStr">
        <is>
          <t xml:space="preserve">Néant </t>
        </is>
      </c>
      <c r="N6379" t="inlineStr">
        <is>
          <t xml:space="preserve">Néant </t>
        </is>
      </c>
      <c r="O6379" t="inlineStr">
        <is>
          <t>NC</t>
        </is>
      </c>
      <c r="R6379" s="22"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2" t="n">
        <v>43860</v>
      </c>
      <c r="K6380" t="inlineStr">
        <is>
          <t>CAPACITATION DES FEMMES</t>
        </is>
      </c>
      <c r="L6380" t="inlineStr">
        <is>
          <t>APPUI ACTIVITE ECONOMIQUE</t>
        </is>
      </c>
      <c r="M6380" t="inlineStr">
        <is>
          <t xml:space="preserve">Néant </t>
        </is>
      </c>
      <c r="N6380" t="inlineStr">
        <is>
          <t xml:space="preserve">Néant </t>
        </is>
      </c>
      <c r="O6380" t="inlineStr">
        <is>
          <t>NC</t>
        </is>
      </c>
      <c r="R6380" s="22"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2" t="n">
        <v>43860</v>
      </c>
      <c r="K6381" t="inlineStr">
        <is>
          <t>CAPACITATION DES FEMMES</t>
        </is>
      </c>
      <c r="L6381" t="inlineStr">
        <is>
          <t>APPUI ACTIVITE ECONOMIQUE</t>
        </is>
      </c>
      <c r="M6381" t="inlineStr">
        <is>
          <t xml:space="preserve">Néant </t>
        </is>
      </c>
      <c r="N6381" t="inlineStr">
        <is>
          <t xml:space="preserve">Néant </t>
        </is>
      </c>
      <c r="O6381" t="inlineStr">
        <is>
          <t>NC</t>
        </is>
      </c>
      <c r="R6381" s="22"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2" t="n">
        <v>43860</v>
      </c>
      <c r="K6382" t="inlineStr">
        <is>
          <t>CAPACITATION DES FEMMES</t>
        </is>
      </c>
      <c r="L6382" t="inlineStr">
        <is>
          <t>APPUI ACTIVITE ECONOMIQUE</t>
        </is>
      </c>
      <c r="M6382" t="inlineStr">
        <is>
          <t xml:space="preserve">Néant </t>
        </is>
      </c>
      <c r="N6382" t="inlineStr">
        <is>
          <t xml:space="preserve">Néant </t>
        </is>
      </c>
      <c r="O6382" t="inlineStr">
        <is>
          <t>NC</t>
        </is>
      </c>
      <c r="R6382" s="22"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2" t="n">
        <v>43861</v>
      </c>
      <c r="K6383" t="inlineStr">
        <is>
          <t>CAPACITATION DES FEMMES</t>
        </is>
      </c>
      <c r="L6383" t="inlineStr">
        <is>
          <t>APPUI ACTIVITE ECONOMIQUE</t>
        </is>
      </c>
      <c r="M6383" t="inlineStr">
        <is>
          <t xml:space="preserve">Néant </t>
        </is>
      </c>
      <c r="N6383" t="inlineStr">
        <is>
          <t xml:space="preserve">Néant </t>
        </is>
      </c>
      <c r="O6383" t="inlineStr">
        <is>
          <t>NC</t>
        </is>
      </c>
      <c r="R6383" s="22"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2" t="n">
        <v>43862</v>
      </c>
      <c r="K6384" t="inlineStr">
        <is>
          <t>HYDRAULIQUE</t>
        </is>
      </c>
      <c r="L6384" t="inlineStr">
        <is>
          <t>SURVEILLANCE FORAGE DAROU BEYE</t>
        </is>
      </c>
      <c r="M6384" t="inlineStr">
        <is>
          <t xml:space="preserve">Néant </t>
        </is>
      </c>
      <c r="N6384" t="inlineStr">
        <is>
          <t xml:space="preserve">Néant </t>
        </is>
      </c>
      <c r="O6384" t="inlineStr">
        <is>
          <t>NC</t>
        </is>
      </c>
      <c r="R6384" s="22"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2" t="n">
        <v>43867</v>
      </c>
      <c r="K6385" t="inlineStr">
        <is>
          <t>APPUI DIVERS</t>
        </is>
      </c>
      <c r="L6385" t="inlineStr">
        <is>
          <t>APPUI CEREMONIE RELIGIEUSE</t>
        </is>
      </c>
      <c r="M6385" t="inlineStr">
        <is>
          <t xml:space="preserve">Néant </t>
        </is>
      </c>
      <c r="N6385" t="inlineStr">
        <is>
          <t xml:space="preserve">Néant </t>
        </is>
      </c>
      <c r="O6385" t="inlineStr">
        <is>
          <t>NC</t>
        </is>
      </c>
      <c r="R6385" s="22"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2" t="n">
        <v>43867</v>
      </c>
      <c r="K6386" t="inlineStr">
        <is>
          <t>CULTURE</t>
        </is>
      </c>
      <c r="L6386" t="inlineStr">
        <is>
          <t>SOUTIEN A LA JEUNESSE</t>
        </is>
      </c>
      <c r="M6386" t="inlineStr">
        <is>
          <t xml:space="preserve">Néant </t>
        </is>
      </c>
      <c r="N6386" t="inlineStr">
        <is>
          <t xml:space="preserve">Néant </t>
        </is>
      </c>
      <c r="O6386" t="inlineStr">
        <is>
          <t>NC</t>
        </is>
      </c>
      <c r="R6386" s="22"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2" t="n">
        <v>43880</v>
      </c>
      <c r="K6387" t="inlineStr">
        <is>
          <t>EDUCATION</t>
        </is>
      </c>
      <c r="L6387" t="inlineStr">
        <is>
          <t>EDUCATION</t>
        </is>
      </c>
      <c r="M6387" t="inlineStr">
        <is>
          <t xml:space="preserve">Néant </t>
        </is>
      </c>
      <c r="N6387" t="inlineStr">
        <is>
          <t xml:space="preserve">Néant </t>
        </is>
      </c>
      <c r="O6387" t="inlineStr">
        <is>
          <t>NC</t>
        </is>
      </c>
      <c r="R6387" s="22"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2" t="n">
        <v>43894</v>
      </c>
      <c r="K6388" t="inlineStr">
        <is>
          <t>HYDRAULIQUE</t>
        </is>
      </c>
      <c r="L6388" t="inlineStr">
        <is>
          <t>SURVEILLANCE FORAGE DAROU BEYE</t>
        </is>
      </c>
      <c r="M6388" t="inlineStr">
        <is>
          <t xml:space="preserve">Néant </t>
        </is>
      </c>
      <c r="N6388" t="inlineStr">
        <is>
          <t xml:space="preserve">Néant </t>
        </is>
      </c>
      <c r="O6388" t="inlineStr">
        <is>
          <t>NC</t>
        </is>
      </c>
      <c r="R6388" s="22"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2" t="n">
        <v>43894</v>
      </c>
      <c r="K6389" t="inlineStr">
        <is>
          <t>HYDRAULIQUE</t>
        </is>
      </c>
      <c r="L6389" t="inlineStr">
        <is>
          <t>SURVEILLANCE FORAGE DAROU BEYE</t>
        </is>
      </c>
      <c r="M6389" t="inlineStr">
        <is>
          <t xml:space="preserve">Néant </t>
        </is>
      </c>
      <c r="N6389" t="inlineStr">
        <is>
          <t xml:space="preserve">Néant </t>
        </is>
      </c>
      <c r="O6389" t="inlineStr">
        <is>
          <t>NC</t>
        </is>
      </c>
      <c r="R6389" s="22"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2" t="n">
        <v>43894</v>
      </c>
      <c r="K6390" t="inlineStr">
        <is>
          <t>CULTURE</t>
        </is>
      </c>
      <c r="L6390" t="inlineStr">
        <is>
          <t>SOUTIEN A LA JEUNESSE</t>
        </is>
      </c>
      <c r="M6390" t="inlineStr">
        <is>
          <t xml:space="preserve">Néant </t>
        </is>
      </c>
      <c r="N6390" t="inlineStr">
        <is>
          <t xml:space="preserve">Néant </t>
        </is>
      </c>
      <c r="O6390" t="inlineStr">
        <is>
          <t>NC</t>
        </is>
      </c>
      <c r="R6390" s="22"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2"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2"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2"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2"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2" t="n">
        <v>43963</v>
      </c>
      <c r="K6393" t="inlineStr">
        <is>
          <t>SANTE</t>
        </is>
      </c>
      <c r="L6393" t="inlineStr">
        <is>
          <t>LUTTE CONTRE LE COVID 19</t>
        </is>
      </c>
      <c r="M6393" t="inlineStr">
        <is>
          <t xml:space="preserve">Néant </t>
        </is>
      </c>
      <c r="N6393" t="inlineStr">
        <is>
          <t xml:space="preserve">Néant </t>
        </is>
      </c>
      <c r="O6393" t="inlineStr">
        <is>
          <t>NC</t>
        </is>
      </c>
      <c r="R6393" s="22"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2" t="n">
        <v>43972</v>
      </c>
      <c r="K6394" t="inlineStr">
        <is>
          <t>SANTE</t>
        </is>
      </c>
      <c r="L6394" t="inlineStr">
        <is>
          <t>LUTTE CONTRE LE COVID 19</t>
        </is>
      </c>
      <c r="M6394" t="inlineStr">
        <is>
          <t xml:space="preserve">Néant </t>
        </is>
      </c>
      <c r="N6394" t="inlineStr">
        <is>
          <t xml:space="preserve">Néant </t>
        </is>
      </c>
      <c r="O6394" t="inlineStr">
        <is>
          <t>NC</t>
        </is>
      </c>
      <c r="R6394" s="22"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2" t="n">
        <v>43977</v>
      </c>
      <c r="K6395" t="inlineStr">
        <is>
          <t>HYDRAULIQUE</t>
        </is>
      </c>
      <c r="L6395" t="inlineStr">
        <is>
          <t>HYDRAULIQUE</t>
        </is>
      </c>
      <c r="M6395" t="inlineStr">
        <is>
          <t xml:space="preserve">Néant </t>
        </is>
      </c>
      <c r="N6395" t="inlineStr">
        <is>
          <t xml:space="preserve">Néant </t>
        </is>
      </c>
      <c r="O6395" t="inlineStr">
        <is>
          <t>NC</t>
        </is>
      </c>
      <c r="R6395" s="22"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2" t="n">
        <v>43978</v>
      </c>
      <c r="K6396" t="inlineStr">
        <is>
          <t>HYDRAULIQUE</t>
        </is>
      </c>
      <c r="L6396" t="inlineStr">
        <is>
          <t>SURVEILLANCE FORAGE DAROU BEYE</t>
        </is>
      </c>
      <c r="M6396" t="inlineStr">
        <is>
          <t xml:space="preserve">Néant </t>
        </is>
      </c>
      <c r="N6396" t="inlineStr">
        <is>
          <t xml:space="preserve">Néant </t>
        </is>
      </c>
      <c r="O6396" t="inlineStr">
        <is>
          <t>NC</t>
        </is>
      </c>
      <c r="R6396" s="22"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2" t="n">
        <v>44013</v>
      </c>
      <c r="K6397" t="inlineStr">
        <is>
          <t>HYDRAULIQUE</t>
        </is>
      </c>
      <c r="L6397" t="inlineStr">
        <is>
          <t>HYDRAULIQUE</t>
        </is>
      </c>
      <c r="M6397" t="inlineStr">
        <is>
          <t xml:space="preserve">Néant </t>
        </is>
      </c>
      <c r="N6397" t="inlineStr">
        <is>
          <t xml:space="preserve">Néant </t>
        </is>
      </c>
      <c r="O6397" t="inlineStr">
        <is>
          <t>NC</t>
        </is>
      </c>
      <c r="R6397" s="22"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2" t="n">
        <v>44014</v>
      </c>
      <c r="K6398" t="inlineStr">
        <is>
          <t>HYDRAULIQUE</t>
        </is>
      </c>
      <c r="L6398" t="inlineStr">
        <is>
          <t>HYDRAULIQUE</t>
        </is>
      </c>
      <c r="M6398" t="inlineStr">
        <is>
          <t xml:space="preserve">Néant </t>
        </is>
      </c>
      <c r="N6398" t="inlineStr">
        <is>
          <t xml:space="preserve">Néant </t>
        </is>
      </c>
      <c r="O6398" t="inlineStr">
        <is>
          <t>NC</t>
        </is>
      </c>
      <c r="R6398" s="22"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2" t="n">
        <v>44042</v>
      </c>
      <c r="K6399" t="inlineStr">
        <is>
          <t>APPUI DIVERS</t>
        </is>
      </c>
      <c r="L6399" t="inlineStr">
        <is>
          <t>APPUI TABASKI</t>
        </is>
      </c>
      <c r="M6399" t="inlineStr">
        <is>
          <t xml:space="preserve">Néant </t>
        </is>
      </c>
      <c r="N6399" t="inlineStr">
        <is>
          <t xml:space="preserve">Néant </t>
        </is>
      </c>
      <c r="O6399" t="inlineStr">
        <is>
          <t>NC</t>
        </is>
      </c>
      <c r="R6399" s="22"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2" t="n">
        <v>44042</v>
      </c>
      <c r="K6400" t="inlineStr">
        <is>
          <t>APPUI DIVERS</t>
        </is>
      </c>
      <c r="L6400" t="inlineStr">
        <is>
          <t>APPUI TABASKI</t>
        </is>
      </c>
      <c r="M6400" t="inlineStr">
        <is>
          <t xml:space="preserve">Néant </t>
        </is>
      </c>
      <c r="N6400" t="inlineStr">
        <is>
          <t xml:space="preserve">Néant </t>
        </is>
      </c>
      <c r="O6400" t="inlineStr">
        <is>
          <t>NC</t>
        </is>
      </c>
      <c r="R6400" s="22"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2" t="n">
        <v>44042</v>
      </c>
      <c r="K6401" t="inlineStr">
        <is>
          <t>APPUI DIVERS</t>
        </is>
      </c>
      <c r="L6401" t="inlineStr">
        <is>
          <t>APPUI TABASKI</t>
        </is>
      </c>
      <c r="M6401" t="inlineStr">
        <is>
          <t xml:space="preserve">Néant </t>
        </is>
      </c>
      <c r="N6401" t="inlineStr">
        <is>
          <t xml:space="preserve">Néant </t>
        </is>
      </c>
      <c r="O6401" t="inlineStr">
        <is>
          <t>NC</t>
        </is>
      </c>
      <c r="R6401" s="22"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2" t="n">
        <v>44042</v>
      </c>
      <c r="K6402" t="inlineStr">
        <is>
          <t>APPUI DIVERS</t>
        </is>
      </c>
      <c r="L6402" t="inlineStr">
        <is>
          <t>APPUI TABASKI</t>
        </is>
      </c>
      <c r="M6402" t="inlineStr">
        <is>
          <t xml:space="preserve">Néant </t>
        </is>
      </c>
      <c r="N6402" t="inlineStr">
        <is>
          <t xml:space="preserve">Néant </t>
        </is>
      </c>
      <c r="O6402" t="inlineStr">
        <is>
          <t>NC</t>
        </is>
      </c>
      <c r="R6402" s="22"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2" t="n">
        <v>44042</v>
      </c>
      <c r="K6403" t="inlineStr">
        <is>
          <t>APPUI DIVERS</t>
        </is>
      </c>
      <c r="L6403" t="inlineStr">
        <is>
          <t>APPUI TABASKI</t>
        </is>
      </c>
      <c r="M6403" t="inlineStr">
        <is>
          <t xml:space="preserve">Néant </t>
        </is>
      </c>
      <c r="N6403" t="inlineStr">
        <is>
          <t xml:space="preserve">Néant </t>
        </is>
      </c>
      <c r="O6403" t="inlineStr">
        <is>
          <t>NC</t>
        </is>
      </c>
      <c r="R6403" s="22"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2" t="n">
        <v>44042</v>
      </c>
      <c r="K6404" t="inlineStr">
        <is>
          <t>APPUI DIVERS</t>
        </is>
      </c>
      <c r="L6404" t="inlineStr">
        <is>
          <t>APPUI TABASKI</t>
        </is>
      </c>
      <c r="M6404" t="inlineStr">
        <is>
          <t xml:space="preserve">Néant </t>
        </is>
      </c>
      <c r="N6404" t="inlineStr">
        <is>
          <t xml:space="preserve">Néant </t>
        </is>
      </c>
      <c r="O6404" t="inlineStr">
        <is>
          <t>NC</t>
        </is>
      </c>
      <c r="R6404" s="22"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2" t="n">
        <v>44042</v>
      </c>
      <c r="K6405" t="inlineStr">
        <is>
          <t>APPUI DIVERS</t>
        </is>
      </c>
      <c r="L6405" t="inlineStr">
        <is>
          <t>APPUI TABASKI</t>
        </is>
      </c>
      <c r="M6405" t="inlineStr">
        <is>
          <t xml:space="preserve">Néant </t>
        </is>
      </c>
      <c r="N6405" t="inlineStr">
        <is>
          <t xml:space="preserve">Néant </t>
        </is>
      </c>
      <c r="O6405" t="inlineStr">
        <is>
          <t>NC</t>
        </is>
      </c>
      <c r="R6405" s="22"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2" t="n">
        <v>44042</v>
      </c>
      <c r="K6406" t="inlineStr">
        <is>
          <t>APPUI DIVERS</t>
        </is>
      </c>
      <c r="L6406" t="inlineStr">
        <is>
          <t>APPUI TABASKI</t>
        </is>
      </c>
      <c r="M6406" t="inlineStr">
        <is>
          <t xml:space="preserve">Néant </t>
        </is>
      </c>
      <c r="N6406" t="inlineStr">
        <is>
          <t xml:space="preserve">Néant </t>
        </is>
      </c>
      <c r="O6406" t="inlineStr">
        <is>
          <t>NC</t>
        </is>
      </c>
      <c r="R6406" s="22"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2" t="n">
        <v>44042</v>
      </c>
      <c r="K6407" t="inlineStr">
        <is>
          <t>APPUI DIVERS</t>
        </is>
      </c>
      <c r="L6407" t="inlineStr">
        <is>
          <t>APPUI TABASKI</t>
        </is>
      </c>
      <c r="M6407" t="inlineStr">
        <is>
          <t xml:space="preserve">Néant </t>
        </is>
      </c>
      <c r="N6407" t="inlineStr">
        <is>
          <t xml:space="preserve">Néant </t>
        </is>
      </c>
      <c r="O6407" t="inlineStr">
        <is>
          <t>NC</t>
        </is>
      </c>
      <c r="R6407" s="22"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2" t="n">
        <v>44042</v>
      </c>
      <c r="K6408" t="inlineStr">
        <is>
          <t>APPUI DIVERS</t>
        </is>
      </c>
      <c r="L6408" t="inlineStr">
        <is>
          <t>APPUI TABASKI</t>
        </is>
      </c>
      <c r="M6408" t="inlineStr">
        <is>
          <t xml:space="preserve">Néant </t>
        </is>
      </c>
      <c r="N6408" t="inlineStr">
        <is>
          <t xml:space="preserve">Néant </t>
        </is>
      </c>
      <c r="O6408" t="inlineStr">
        <is>
          <t>NC</t>
        </is>
      </c>
      <c r="R6408" s="22"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2" t="n">
        <v>44042</v>
      </c>
      <c r="K6409" t="inlineStr">
        <is>
          <t>APPUI DIVERS</t>
        </is>
      </c>
      <c r="L6409" t="inlineStr">
        <is>
          <t>APPUI TABASKI</t>
        </is>
      </c>
      <c r="M6409" t="inlineStr">
        <is>
          <t xml:space="preserve">Néant </t>
        </is>
      </c>
      <c r="N6409" t="inlineStr">
        <is>
          <t xml:space="preserve">Néant </t>
        </is>
      </c>
      <c r="O6409" t="inlineStr">
        <is>
          <t>NC</t>
        </is>
      </c>
      <c r="R6409" s="22"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2" t="n">
        <v>44042</v>
      </c>
      <c r="K6410" t="inlineStr">
        <is>
          <t>APPUI DIVERS</t>
        </is>
      </c>
      <c r="L6410" t="inlineStr">
        <is>
          <t>APPUI TABASKI</t>
        </is>
      </c>
      <c r="M6410" t="inlineStr">
        <is>
          <t xml:space="preserve">Néant </t>
        </is>
      </c>
      <c r="N6410" t="inlineStr">
        <is>
          <t xml:space="preserve">Néant </t>
        </is>
      </c>
      <c r="O6410" t="inlineStr">
        <is>
          <t>NC</t>
        </is>
      </c>
      <c r="R6410" s="22"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2" t="n">
        <v>44042</v>
      </c>
      <c r="K6411" t="inlineStr">
        <is>
          <t>APPUI DIVERS</t>
        </is>
      </c>
      <c r="L6411" t="inlineStr">
        <is>
          <t>APPUI TABASKI</t>
        </is>
      </c>
      <c r="M6411" t="inlineStr">
        <is>
          <t xml:space="preserve">Néant </t>
        </is>
      </c>
      <c r="N6411" t="inlineStr">
        <is>
          <t xml:space="preserve">Néant </t>
        </is>
      </c>
      <c r="O6411" t="inlineStr">
        <is>
          <t>NC</t>
        </is>
      </c>
      <c r="R6411" s="22"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2" t="n">
        <v>44042</v>
      </c>
      <c r="K6412" t="inlineStr">
        <is>
          <t>APPUI DIVERS</t>
        </is>
      </c>
      <c r="L6412" t="inlineStr">
        <is>
          <t>APPUI TABASKI</t>
        </is>
      </c>
      <c r="M6412" t="inlineStr">
        <is>
          <t xml:space="preserve">Néant </t>
        </is>
      </c>
      <c r="N6412" t="inlineStr">
        <is>
          <t xml:space="preserve">Néant </t>
        </is>
      </c>
      <c r="O6412" t="inlineStr">
        <is>
          <t>NC</t>
        </is>
      </c>
      <c r="R6412" s="22"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2" t="n">
        <v>44042</v>
      </c>
      <c r="K6413" t="inlineStr">
        <is>
          <t>APPUI DIVERS</t>
        </is>
      </c>
      <c r="L6413" t="inlineStr">
        <is>
          <t>APPUI TABASKI</t>
        </is>
      </c>
      <c r="M6413" t="inlineStr">
        <is>
          <t xml:space="preserve">Néant </t>
        </is>
      </c>
      <c r="N6413" t="inlineStr">
        <is>
          <t xml:space="preserve">Néant </t>
        </is>
      </c>
      <c r="O6413" t="inlineStr">
        <is>
          <t>NC</t>
        </is>
      </c>
      <c r="R6413" s="22"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2" t="n">
        <v>44042</v>
      </c>
      <c r="K6414" t="inlineStr">
        <is>
          <t>APPUI DIVERS</t>
        </is>
      </c>
      <c r="L6414" t="inlineStr">
        <is>
          <t>APPUI TABASKI</t>
        </is>
      </c>
      <c r="M6414" t="inlineStr">
        <is>
          <t xml:space="preserve">Néant </t>
        </is>
      </c>
      <c r="N6414" t="inlineStr">
        <is>
          <t xml:space="preserve">Néant </t>
        </is>
      </c>
      <c r="O6414" t="inlineStr">
        <is>
          <t>NC</t>
        </is>
      </c>
      <c r="R6414" s="22"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2" t="n">
        <v>44042</v>
      </c>
      <c r="K6415" t="inlineStr">
        <is>
          <t>APPUI DIVERS</t>
        </is>
      </c>
      <c r="L6415" t="inlineStr">
        <is>
          <t>APPUI TABASKI</t>
        </is>
      </c>
      <c r="M6415" t="inlineStr">
        <is>
          <t xml:space="preserve">Néant </t>
        </is>
      </c>
      <c r="N6415" t="inlineStr">
        <is>
          <t xml:space="preserve">Néant </t>
        </is>
      </c>
      <c r="O6415" t="inlineStr">
        <is>
          <t>NC</t>
        </is>
      </c>
      <c r="R6415" s="22"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2" t="n">
        <v>44042</v>
      </c>
      <c r="K6416" t="inlineStr">
        <is>
          <t>APPUI DIVERS</t>
        </is>
      </c>
      <c r="L6416" t="inlineStr">
        <is>
          <t>APPUI TABASKI</t>
        </is>
      </c>
      <c r="M6416" t="inlineStr">
        <is>
          <t xml:space="preserve">Néant </t>
        </is>
      </c>
      <c r="N6416" t="inlineStr">
        <is>
          <t xml:space="preserve">Néant </t>
        </is>
      </c>
      <c r="O6416" t="inlineStr">
        <is>
          <t>NC</t>
        </is>
      </c>
      <c r="R6416" s="22"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2" t="n">
        <v>44042</v>
      </c>
      <c r="K6417" t="inlineStr">
        <is>
          <t>APPUI DIVERS</t>
        </is>
      </c>
      <c r="L6417" t="inlineStr">
        <is>
          <t>APPUI TABASKI</t>
        </is>
      </c>
      <c r="M6417" t="inlineStr">
        <is>
          <t xml:space="preserve">Néant </t>
        </is>
      </c>
      <c r="N6417" t="inlineStr">
        <is>
          <t xml:space="preserve">Néant </t>
        </is>
      </c>
      <c r="O6417" t="inlineStr">
        <is>
          <t>NC</t>
        </is>
      </c>
      <c r="R6417" s="22"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2" t="n">
        <v>44042</v>
      </c>
      <c r="K6418" t="inlineStr">
        <is>
          <t>APPUI DIVERS</t>
        </is>
      </c>
      <c r="L6418" t="inlineStr">
        <is>
          <t>APPUI TABASKI</t>
        </is>
      </c>
      <c r="M6418" t="inlineStr">
        <is>
          <t xml:space="preserve">Néant </t>
        </is>
      </c>
      <c r="N6418" t="inlineStr">
        <is>
          <t xml:space="preserve">Néant </t>
        </is>
      </c>
      <c r="O6418" t="inlineStr">
        <is>
          <t>NC</t>
        </is>
      </c>
      <c r="R6418" s="22"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2" t="n">
        <v>44042</v>
      </c>
      <c r="K6419" t="inlineStr">
        <is>
          <t>APPUI DIVERS</t>
        </is>
      </c>
      <c r="L6419" t="inlineStr">
        <is>
          <t>APPUI TABASKI</t>
        </is>
      </c>
      <c r="M6419" t="inlineStr">
        <is>
          <t xml:space="preserve">Néant </t>
        </is>
      </c>
      <c r="N6419" t="inlineStr">
        <is>
          <t xml:space="preserve">Néant </t>
        </is>
      </c>
      <c r="O6419" t="inlineStr">
        <is>
          <t>NC</t>
        </is>
      </c>
      <c r="R6419" s="22"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2" t="n">
        <v>44042</v>
      </c>
      <c r="K6420" t="inlineStr">
        <is>
          <t>APPUI DIVERS</t>
        </is>
      </c>
      <c r="L6420" t="inlineStr">
        <is>
          <t>APPUI TABASKI</t>
        </is>
      </c>
      <c r="M6420" t="inlineStr">
        <is>
          <t xml:space="preserve">Néant </t>
        </is>
      </c>
      <c r="N6420" t="inlineStr">
        <is>
          <t xml:space="preserve">Néant </t>
        </is>
      </c>
      <c r="O6420" t="inlineStr">
        <is>
          <t>NC</t>
        </is>
      </c>
      <c r="R6420" s="22"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2" t="n">
        <v>44042</v>
      </c>
      <c r="K6421" t="inlineStr">
        <is>
          <t>APPUI DIVERS</t>
        </is>
      </c>
      <c r="L6421" t="inlineStr">
        <is>
          <t>APPUI TABASKI</t>
        </is>
      </c>
      <c r="M6421" t="inlineStr">
        <is>
          <t xml:space="preserve">Néant </t>
        </is>
      </c>
      <c r="N6421" t="inlineStr">
        <is>
          <t xml:space="preserve">Néant </t>
        </is>
      </c>
      <c r="O6421" t="inlineStr">
        <is>
          <t>NC</t>
        </is>
      </c>
      <c r="R6421" s="22"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2" t="n">
        <v>44042</v>
      </c>
      <c r="K6422" t="inlineStr">
        <is>
          <t>APPUI DIVERS</t>
        </is>
      </c>
      <c r="L6422" t="inlineStr">
        <is>
          <t>APPUI TABASKI</t>
        </is>
      </c>
      <c r="M6422" t="inlineStr">
        <is>
          <t xml:space="preserve">Néant </t>
        </is>
      </c>
      <c r="N6422" t="inlineStr">
        <is>
          <t xml:space="preserve">Néant </t>
        </is>
      </c>
      <c r="O6422" t="inlineStr">
        <is>
          <t>NC</t>
        </is>
      </c>
      <c r="R6422" s="22"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2" t="n">
        <v>44042</v>
      </c>
      <c r="K6423" t="inlineStr">
        <is>
          <t>APPUI DIVERS</t>
        </is>
      </c>
      <c r="L6423" t="inlineStr">
        <is>
          <t>APPUI TABASKI</t>
        </is>
      </c>
      <c r="M6423" t="inlineStr">
        <is>
          <t xml:space="preserve">Néant </t>
        </is>
      </c>
      <c r="N6423" t="inlineStr">
        <is>
          <t xml:space="preserve">Néant </t>
        </is>
      </c>
      <c r="O6423" t="inlineStr">
        <is>
          <t>NC</t>
        </is>
      </c>
      <c r="R6423" s="22"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2" t="n">
        <v>44042</v>
      </c>
      <c r="K6424" t="inlineStr">
        <is>
          <t>APPUI DIVERS</t>
        </is>
      </c>
      <c r="L6424" t="inlineStr">
        <is>
          <t>APPUI TABASKI</t>
        </is>
      </c>
      <c r="M6424" t="inlineStr">
        <is>
          <t xml:space="preserve">Néant </t>
        </is>
      </c>
      <c r="N6424" t="inlineStr">
        <is>
          <t xml:space="preserve">Néant </t>
        </is>
      </c>
      <c r="O6424" t="inlineStr">
        <is>
          <t>NC</t>
        </is>
      </c>
      <c r="R6424" s="22"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2" t="n">
        <v>44042</v>
      </c>
      <c r="K6425" t="inlineStr">
        <is>
          <t>APPUI DIVERS</t>
        </is>
      </c>
      <c r="L6425" t="inlineStr">
        <is>
          <t>APPUI TABASKI</t>
        </is>
      </c>
      <c r="M6425" t="inlineStr">
        <is>
          <t xml:space="preserve">Néant </t>
        </is>
      </c>
      <c r="N6425" t="inlineStr">
        <is>
          <t xml:space="preserve">Néant </t>
        </is>
      </c>
      <c r="O6425" t="inlineStr">
        <is>
          <t>NC</t>
        </is>
      </c>
      <c r="R6425" s="22"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2" t="n">
        <v>44042</v>
      </c>
      <c r="K6426" t="inlineStr">
        <is>
          <t>APPUI DIVERS</t>
        </is>
      </c>
      <c r="L6426" t="inlineStr">
        <is>
          <t>APPUI TABASKI</t>
        </is>
      </c>
      <c r="M6426" t="inlineStr">
        <is>
          <t xml:space="preserve">Néant </t>
        </is>
      </c>
      <c r="N6426" t="inlineStr">
        <is>
          <t xml:space="preserve">Néant </t>
        </is>
      </c>
      <c r="O6426" t="inlineStr">
        <is>
          <t>NC</t>
        </is>
      </c>
      <c r="R6426" s="22"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2" t="n">
        <v>44042</v>
      </c>
      <c r="K6427" t="inlineStr">
        <is>
          <t>APPUI DIVERS</t>
        </is>
      </c>
      <c r="L6427" t="inlineStr">
        <is>
          <t>APPUI TABASKI</t>
        </is>
      </c>
      <c r="M6427" t="inlineStr">
        <is>
          <t xml:space="preserve">Néant </t>
        </is>
      </c>
      <c r="N6427" t="inlineStr">
        <is>
          <t xml:space="preserve">Néant </t>
        </is>
      </c>
      <c r="O6427" t="inlineStr">
        <is>
          <t>NC</t>
        </is>
      </c>
      <c r="R6427" s="22"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2" t="n">
        <v>44042</v>
      </c>
      <c r="K6428" t="inlineStr">
        <is>
          <t>APPUI DIVERS</t>
        </is>
      </c>
      <c r="L6428" t="inlineStr">
        <is>
          <t>APPUI TABASKI</t>
        </is>
      </c>
      <c r="M6428" t="inlineStr">
        <is>
          <t xml:space="preserve">Néant </t>
        </is>
      </c>
      <c r="N6428" t="inlineStr">
        <is>
          <t xml:space="preserve">Néant </t>
        </is>
      </c>
      <c r="O6428" t="inlineStr">
        <is>
          <t>NC</t>
        </is>
      </c>
      <c r="R6428" s="22"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2" t="n">
        <v>44042</v>
      </c>
      <c r="K6429" t="inlineStr">
        <is>
          <t>APPUI DIVERS</t>
        </is>
      </c>
      <c r="L6429" t="inlineStr">
        <is>
          <t>APPUI TABASKI</t>
        </is>
      </c>
      <c r="M6429" t="inlineStr">
        <is>
          <t xml:space="preserve">Néant </t>
        </is>
      </c>
      <c r="N6429" t="inlineStr">
        <is>
          <t xml:space="preserve">Néant </t>
        </is>
      </c>
      <c r="O6429" t="inlineStr">
        <is>
          <t>NC</t>
        </is>
      </c>
      <c r="R6429" s="22"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2" t="n">
        <v>44042</v>
      </c>
      <c r="K6430" t="inlineStr">
        <is>
          <t>APPUI DIVERS</t>
        </is>
      </c>
      <c r="L6430" t="inlineStr">
        <is>
          <t>APPUI TABASKI</t>
        </is>
      </c>
      <c r="M6430" t="inlineStr">
        <is>
          <t xml:space="preserve">Néant </t>
        </is>
      </c>
      <c r="N6430" t="inlineStr">
        <is>
          <t xml:space="preserve">Néant </t>
        </is>
      </c>
      <c r="O6430" t="inlineStr">
        <is>
          <t>NC</t>
        </is>
      </c>
      <c r="R6430" s="22"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2" t="n">
        <v>44042</v>
      </c>
      <c r="K6431" t="inlineStr">
        <is>
          <t>APPUI DIVERS</t>
        </is>
      </c>
      <c r="L6431" t="inlineStr">
        <is>
          <t>APPUI TABASKI</t>
        </is>
      </c>
      <c r="M6431" t="inlineStr">
        <is>
          <t xml:space="preserve">Néant </t>
        </is>
      </c>
      <c r="N6431" t="inlineStr">
        <is>
          <t xml:space="preserve">Néant </t>
        </is>
      </c>
      <c r="O6431" t="inlineStr">
        <is>
          <t>NC</t>
        </is>
      </c>
      <c r="R6431" s="22"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2" t="n">
        <v>44042</v>
      </c>
      <c r="K6432" t="inlineStr">
        <is>
          <t>APPUI DIVERS</t>
        </is>
      </c>
      <c r="L6432" t="inlineStr">
        <is>
          <t>APPUI TABASKI</t>
        </is>
      </c>
      <c r="M6432" t="inlineStr">
        <is>
          <t xml:space="preserve">Néant </t>
        </is>
      </c>
      <c r="N6432" t="inlineStr">
        <is>
          <t xml:space="preserve">Néant </t>
        </is>
      </c>
      <c r="O6432" t="inlineStr">
        <is>
          <t>NC</t>
        </is>
      </c>
      <c r="R6432" s="22"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2" t="n">
        <v>44042</v>
      </c>
      <c r="K6433" t="inlineStr">
        <is>
          <t>APPUI DIVERS</t>
        </is>
      </c>
      <c r="L6433" t="inlineStr">
        <is>
          <t>APPUI TABASKI</t>
        </is>
      </c>
      <c r="M6433" t="inlineStr">
        <is>
          <t xml:space="preserve">Néant </t>
        </is>
      </c>
      <c r="N6433" t="inlineStr">
        <is>
          <t xml:space="preserve">Néant </t>
        </is>
      </c>
      <c r="O6433" t="inlineStr">
        <is>
          <t>NC</t>
        </is>
      </c>
      <c r="R6433" s="22"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2" t="n">
        <v>44042</v>
      </c>
      <c r="K6434" t="inlineStr">
        <is>
          <t>APPUI DIVERS</t>
        </is>
      </c>
      <c r="L6434" t="inlineStr">
        <is>
          <t>APPUI TABASKI</t>
        </is>
      </c>
      <c r="M6434" t="inlineStr">
        <is>
          <t xml:space="preserve">Néant </t>
        </is>
      </c>
      <c r="N6434" t="inlineStr">
        <is>
          <t xml:space="preserve">Néant </t>
        </is>
      </c>
      <c r="O6434" t="inlineStr">
        <is>
          <t>NC</t>
        </is>
      </c>
      <c r="R6434" s="22"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2" t="n">
        <v>44042</v>
      </c>
      <c r="K6435" t="inlineStr">
        <is>
          <t>APPUI DIVERS</t>
        </is>
      </c>
      <c r="L6435" t="inlineStr">
        <is>
          <t>APPUI TABASKI</t>
        </is>
      </c>
      <c r="M6435" t="inlineStr">
        <is>
          <t xml:space="preserve">Néant </t>
        </is>
      </c>
      <c r="N6435" t="inlineStr">
        <is>
          <t xml:space="preserve">Néant </t>
        </is>
      </c>
      <c r="O6435" t="inlineStr">
        <is>
          <t>NC</t>
        </is>
      </c>
      <c r="R6435" s="22"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2" t="n">
        <v>44042</v>
      </c>
      <c r="K6436" t="inlineStr">
        <is>
          <t>APPUI DIVERS</t>
        </is>
      </c>
      <c r="L6436" t="inlineStr">
        <is>
          <t>APPUI TABASKI</t>
        </is>
      </c>
      <c r="M6436" t="inlineStr">
        <is>
          <t xml:space="preserve">Néant </t>
        </is>
      </c>
      <c r="N6436" t="inlineStr">
        <is>
          <t xml:space="preserve">Néant </t>
        </is>
      </c>
      <c r="O6436" t="inlineStr">
        <is>
          <t>NC</t>
        </is>
      </c>
      <c r="R6436" s="22"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2" t="n">
        <v>44042</v>
      </c>
      <c r="K6437" t="inlineStr">
        <is>
          <t>APPUI DIVERS</t>
        </is>
      </c>
      <c r="L6437" t="inlineStr">
        <is>
          <t>APPUI TABASKI</t>
        </is>
      </c>
      <c r="M6437" t="inlineStr">
        <is>
          <t xml:space="preserve">Néant </t>
        </is>
      </c>
      <c r="N6437" t="inlineStr">
        <is>
          <t xml:space="preserve">Néant </t>
        </is>
      </c>
      <c r="O6437" t="inlineStr">
        <is>
          <t>NC</t>
        </is>
      </c>
      <c r="R6437" s="22"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2" t="n">
        <v>44042</v>
      </c>
      <c r="K6438" t="inlineStr">
        <is>
          <t>APPUI DIVERS</t>
        </is>
      </c>
      <c r="L6438" t="inlineStr">
        <is>
          <t>APPUI TABASKI</t>
        </is>
      </c>
      <c r="M6438" t="inlineStr">
        <is>
          <t xml:space="preserve">Néant </t>
        </is>
      </c>
      <c r="N6438" t="inlineStr">
        <is>
          <t xml:space="preserve">Néant </t>
        </is>
      </c>
      <c r="O6438" t="inlineStr">
        <is>
          <t>NC</t>
        </is>
      </c>
      <c r="R6438" s="22"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2" t="n">
        <v>44042</v>
      </c>
      <c r="K6439" t="inlineStr">
        <is>
          <t>APPUI DIVERS</t>
        </is>
      </c>
      <c r="L6439" t="inlineStr">
        <is>
          <t>APPUI TABASKI</t>
        </is>
      </c>
      <c r="M6439" t="inlineStr">
        <is>
          <t xml:space="preserve">Néant </t>
        </is>
      </c>
      <c r="N6439" t="inlineStr">
        <is>
          <t xml:space="preserve">Néant </t>
        </is>
      </c>
      <c r="O6439" t="inlineStr">
        <is>
          <t>NC</t>
        </is>
      </c>
      <c r="R6439" s="22"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2" t="n">
        <v>44042</v>
      </c>
      <c r="K6440" t="inlineStr">
        <is>
          <t>APPUI DIVERS</t>
        </is>
      </c>
      <c r="L6440" t="inlineStr">
        <is>
          <t>APPUI TABASKI</t>
        </is>
      </c>
      <c r="M6440" t="inlineStr">
        <is>
          <t xml:space="preserve">Néant </t>
        </is>
      </c>
      <c r="N6440" t="inlineStr">
        <is>
          <t xml:space="preserve">Néant </t>
        </is>
      </c>
      <c r="O6440" t="inlineStr">
        <is>
          <t>NC</t>
        </is>
      </c>
      <c r="R6440" s="22"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2" t="n">
        <v>44042</v>
      </c>
      <c r="K6441" t="inlineStr">
        <is>
          <t>APPUI DIVERS</t>
        </is>
      </c>
      <c r="L6441" t="inlineStr">
        <is>
          <t>APPUI TABASKI</t>
        </is>
      </c>
      <c r="M6441" t="inlineStr">
        <is>
          <t xml:space="preserve">Néant </t>
        </is>
      </c>
      <c r="N6441" t="inlineStr">
        <is>
          <t xml:space="preserve">Néant </t>
        </is>
      </c>
      <c r="O6441" t="inlineStr">
        <is>
          <t>NC</t>
        </is>
      </c>
      <c r="R6441" s="22"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2" t="n">
        <v>44042</v>
      </c>
      <c r="K6442" t="inlineStr">
        <is>
          <t>APPUI DIVERS</t>
        </is>
      </c>
      <c r="L6442" t="inlineStr">
        <is>
          <t>APPUI TABASKI</t>
        </is>
      </c>
      <c r="M6442" t="inlineStr">
        <is>
          <t xml:space="preserve">Néant </t>
        </is>
      </c>
      <c r="N6442" t="inlineStr">
        <is>
          <t xml:space="preserve">Néant </t>
        </is>
      </c>
      <c r="O6442" t="inlineStr">
        <is>
          <t>NC</t>
        </is>
      </c>
      <c r="R6442" s="22"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2" t="n">
        <v>44042</v>
      </c>
      <c r="K6443" t="inlineStr">
        <is>
          <t>APPUI DIVERS</t>
        </is>
      </c>
      <c r="L6443" t="inlineStr">
        <is>
          <t>APPUI TABASKI</t>
        </is>
      </c>
      <c r="M6443" t="inlineStr">
        <is>
          <t xml:space="preserve">Néant </t>
        </is>
      </c>
      <c r="N6443" t="inlineStr">
        <is>
          <t xml:space="preserve">Néant </t>
        </is>
      </c>
      <c r="O6443" t="inlineStr">
        <is>
          <t>NC</t>
        </is>
      </c>
      <c r="R6443" s="22"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2" t="n">
        <v>44042</v>
      </c>
      <c r="K6444" t="inlineStr">
        <is>
          <t>APPUI DIVERS</t>
        </is>
      </c>
      <c r="L6444" t="inlineStr">
        <is>
          <t>APPUI TABASKI</t>
        </is>
      </c>
      <c r="M6444" t="inlineStr">
        <is>
          <t xml:space="preserve">Néant </t>
        </is>
      </c>
      <c r="N6444" t="inlineStr">
        <is>
          <t xml:space="preserve">Néant </t>
        </is>
      </c>
      <c r="O6444" t="inlineStr">
        <is>
          <t>NC</t>
        </is>
      </c>
      <c r="R6444" s="22"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2" t="n">
        <v>8459</v>
      </c>
      <c r="K6445" s="23" t="n">
        <v>44927</v>
      </c>
      <c r="M6445" t="inlineStr">
        <is>
          <t>Appuis divers</t>
        </is>
      </c>
      <c r="R6445" s="22"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2" t="n">
        <v>8001.86</v>
      </c>
      <c r="K6446" s="23"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2"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2" t="n">
        <v>7999.71</v>
      </c>
      <c r="K6447" s="23"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2"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2" t="n">
        <v>7999.71</v>
      </c>
      <c r="K6448" s="23" t="n">
        <v>45522</v>
      </c>
      <c r="M6448" t="inlineStr">
        <is>
          <t>Boulloires</t>
        </is>
      </c>
      <c r="N6448" t="inlineStr">
        <is>
          <t>N/A</t>
        </is>
      </c>
      <c r="O6448" t="inlineStr">
        <is>
          <t>N/A</t>
        </is>
      </c>
      <c r="P6448" t="inlineStr">
        <is>
          <t>Convention minère et Code minier (Fond Social et Fond d'appui au developpement local)</t>
        </is>
      </c>
      <c r="Q6448" t="inlineStr">
        <is>
          <t>NA</t>
        </is>
      </c>
      <c r="R6448" s="22"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2" t="n">
        <v>7199.13</v>
      </c>
      <c r="K6449" s="23" t="n">
        <v>45522</v>
      </c>
      <c r="M6449" t="inlineStr">
        <is>
          <t>Spatiles</t>
        </is>
      </c>
      <c r="N6449" t="inlineStr">
        <is>
          <t>N/A</t>
        </is>
      </c>
      <c r="O6449" t="inlineStr">
        <is>
          <t>N/A</t>
        </is>
      </c>
      <c r="P6449" t="inlineStr">
        <is>
          <t>Convention minère et Code minier (Fond Social et Fond d'appui au developpement local)</t>
        </is>
      </c>
      <c r="Q6449" t="inlineStr">
        <is>
          <t>NA</t>
        </is>
      </c>
      <c r="R6449" s="22"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2" t="n">
        <v>7000</v>
      </c>
      <c r="K6450" t="inlineStr">
        <is>
          <t>04/05/2023</t>
        </is>
      </c>
      <c r="L6450" t="inlineStr">
        <is>
          <t>Appuis divers</t>
        </is>
      </c>
      <c r="R6450" s="22"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2" t="n">
        <v>6297.68</v>
      </c>
      <c r="K6451" s="23"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2"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2"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2" t="n">
        <v>4999.36</v>
      </c>
      <c r="K6453" s="23" t="n">
        <v>45034</v>
      </c>
      <c r="L6453" t="inlineStr">
        <is>
          <t>Appui divers</t>
        </is>
      </c>
      <c r="M6453" t="inlineStr">
        <is>
          <t>N/A</t>
        </is>
      </c>
      <c r="N6453" t="inlineStr">
        <is>
          <t>N/A</t>
        </is>
      </c>
      <c r="O6453" t="inlineStr">
        <is>
          <t>N/A</t>
        </is>
      </c>
      <c r="R6453" s="22"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2" t="n">
        <v>4410</v>
      </c>
      <c r="K6454" s="23" t="n">
        <v>45218</v>
      </c>
      <c r="L6454" t="inlineStr">
        <is>
          <t>Donation</t>
        </is>
      </c>
      <c r="M6454" t="inlineStr">
        <is>
          <t>NA</t>
        </is>
      </c>
      <c r="N6454" t="inlineStr">
        <is>
          <t>NA</t>
        </is>
      </c>
      <c r="O6454" t="inlineStr">
        <is>
          <t>NA</t>
        </is>
      </c>
      <c r="P6454" t="inlineStr">
        <is>
          <t>NA</t>
        </is>
      </c>
      <c r="Q6454" t="inlineStr">
        <is>
          <t>NA</t>
        </is>
      </c>
      <c r="R6454" s="22"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2" t="n">
        <v>44060</v>
      </c>
      <c r="K6455" t="inlineStr">
        <is>
          <t>HYDRAULIQUE</t>
        </is>
      </c>
      <c r="L6455" t="inlineStr">
        <is>
          <t>HYDRAULIQUE / APPUI FORAGE</t>
        </is>
      </c>
      <c r="M6455" t="inlineStr">
        <is>
          <t xml:space="preserve">Néant </t>
        </is>
      </c>
      <c r="N6455" t="inlineStr">
        <is>
          <t xml:space="preserve">Néant </t>
        </is>
      </c>
      <c r="O6455" t="inlineStr">
        <is>
          <t>NC</t>
        </is>
      </c>
      <c r="R6455" s="22"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2" t="n">
        <v>4000</v>
      </c>
      <c r="K6456" t="inlineStr">
        <is>
          <t>2024-03-01</t>
        </is>
      </c>
      <c r="L6456" t="inlineStr">
        <is>
          <t>Appuis divers</t>
        </is>
      </c>
      <c r="R6456" s="22"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2" t="n">
        <v>44067</v>
      </c>
      <c r="K6457" t="inlineStr">
        <is>
          <t>EDUCATION</t>
        </is>
      </c>
      <c r="L6457" t="inlineStr">
        <is>
          <t>EDUCATION</t>
        </is>
      </c>
      <c r="M6457" t="inlineStr">
        <is>
          <t xml:space="preserve">Néant </t>
        </is>
      </c>
      <c r="N6457" t="inlineStr">
        <is>
          <t xml:space="preserve">Néant </t>
        </is>
      </c>
      <c r="O6457" t="inlineStr">
        <is>
          <t>NC</t>
        </is>
      </c>
      <c r="R6457" s="22"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2" t="n">
        <v>44068</v>
      </c>
      <c r="K6458" t="inlineStr">
        <is>
          <t>APPUI DIVERS</t>
        </is>
      </c>
      <c r="L6458" t="inlineStr">
        <is>
          <t>URBANISME</t>
        </is>
      </c>
      <c r="M6458" t="inlineStr">
        <is>
          <t xml:space="preserve">Néant </t>
        </is>
      </c>
      <c r="N6458" t="inlineStr">
        <is>
          <t xml:space="preserve">Néant </t>
        </is>
      </c>
      <c r="O6458" t="inlineStr">
        <is>
          <t>NC</t>
        </is>
      </c>
      <c r="R6458" s="22"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2" t="n">
        <v>44069</v>
      </c>
      <c r="K6459" t="inlineStr">
        <is>
          <t>EDUCATION</t>
        </is>
      </c>
      <c r="L6459" t="inlineStr">
        <is>
          <t>EDUCATION</t>
        </is>
      </c>
      <c r="M6459" t="inlineStr">
        <is>
          <t xml:space="preserve">Néant </t>
        </is>
      </c>
      <c r="N6459" t="inlineStr">
        <is>
          <t xml:space="preserve">Néant </t>
        </is>
      </c>
      <c r="O6459" t="inlineStr">
        <is>
          <t>NC</t>
        </is>
      </c>
      <c r="R6459" s="22"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2" t="n">
        <v>44070</v>
      </c>
      <c r="K6460" t="inlineStr">
        <is>
          <t>EDUCATION</t>
        </is>
      </c>
      <c r="L6460" t="inlineStr">
        <is>
          <t>EDUCATION</t>
        </is>
      </c>
      <c r="M6460" t="inlineStr">
        <is>
          <t xml:space="preserve">Néant </t>
        </is>
      </c>
      <c r="N6460" t="inlineStr">
        <is>
          <t xml:space="preserve">Néant </t>
        </is>
      </c>
      <c r="O6460" t="inlineStr">
        <is>
          <t>NC</t>
        </is>
      </c>
      <c r="R6460" s="22"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2" t="n">
        <v>3750.88</v>
      </c>
      <c r="K6461" s="23"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2"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2" t="n">
        <v>3500</v>
      </c>
      <c r="K6462" s="23" t="n">
        <v>45387</v>
      </c>
      <c r="L6462" t="inlineStr">
        <is>
          <t>NEANT</t>
        </is>
      </c>
      <c r="M6462" t="n">
        <v>0</v>
      </c>
      <c r="N6462" s="22" t="n">
        <v>0</v>
      </c>
      <c r="O6462" t="inlineStr">
        <is>
          <t>NEANT</t>
        </is>
      </c>
      <c r="P6462" t="inlineStr">
        <is>
          <t>NEANT</t>
        </is>
      </c>
      <c r="Q6462" t="inlineStr">
        <is>
          <t>NEANT</t>
        </is>
      </c>
      <c r="R6462" s="22"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2" t="n">
        <v>44095</v>
      </c>
      <c r="K6463" t="inlineStr">
        <is>
          <t>CULTURE</t>
        </is>
      </c>
      <c r="L6463" t="inlineStr">
        <is>
          <t>SOUTIEN A LA JEUNESSE</t>
        </is>
      </c>
      <c r="M6463" t="inlineStr">
        <is>
          <t xml:space="preserve">Néant </t>
        </is>
      </c>
      <c r="N6463" t="inlineStr">
        <is>
          <t xml:space="preserve">Néant </t>
        </is>
      </c>
      <c r="O6463" t="inlineStr">
        <is>
          <t>NC</t>
        </is>
      </c>
      <c r="R6463" s="22"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2" t="n">
        <v>3000</v>
      </c>
      <c r="K6464" s="23" t="n">
        <v>45125</v>
      </c>
      <c r="R6464" s="22"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2" t="n">
        <v>44103</v>
      </c>
      <c r="K6465" t="inlineStr">
        <is>
          <t>CULTURE</t>
        </is>
      </c>
      <c r="L6465" t="inlineStr">
        <is>
          <t>SOUTIEN A LA JEUNESSE</t>
        </is>
      </c>
      <c r="M6465" t="inlineStr">
        <is>
          <t xml:space="preserve">Néant </t>
        </is>
      </c>
      <c r="N6465" t="inlineStr">
        <is>
          <t xml:space="preserve">Néant </t>
        </is>
      </c>
      <c r="O6465" t="inlineStr">
        <is>
          <t>NC</t>
        </is>
      </c>
      <c r="R6465" s="22"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2" t="n">
        <v>1998.95</v>
      </c>
      <c r="K6466" s="23" t="n">
        <v>45498</v>
      </c>
      <c r="M6466" t="inlineStr">
        <is>
          <t>Té jr 40</t>
        </is>
      </c>
      <c r="N6466" t="inlineStr">
        <is>
          <t>N/A</t>
        </is>
      </c>
      <c r="O6466" t="inlineStr">
        <is>
          <t>N/A</t>
        </is>
      </c>
      <c r="P6466" t="inlineStr">
        <is>
          <t>Convention minère et Code minier (Fond Social et Fond d'appui au developpement local)</t>
        </is>
      </c>
      <c r="Q6466" t="inlineStr">
        <is>
          <t>NA</t>
        </is>
      </c>
      <c r="R6466" s="22"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2"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2"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2"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2"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2"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2"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2" t="n">
        <v>44144</v>
      </c>
      <c r="K6470" t="inlineStr">
        <is>
          <t>CULTURE</t>
        </is>
      </c>
      <c r="L6470" t="inlineStr">
        <is>
          <t>CEREMONIE RELIGIEUSE</t>
        </is>
      </c>
      <c r="M6470" t="inlineStr">
        <is>
          <t xml:space="preserve">Néant </t>
        </is>
      </c>
      <c r="N6470" t="inlineStr">
        <is>
          <t xml:space="preserve">Néant </t>
        </is>
      </c>
      <c r="O6470" t="inlineStr">
        <is>
          <t>NC</t>
        </is>
      </c>
      <c r="R6470" s="22"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2"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2"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2" t="n">
        <v>44152</v>
      </c>
      <c r="K6472" t="inlineStr">
        <is>
          <t>SANTE</t>
        </is>
      </c>
      <c r="L6472" t="inlineStr">
        <is>
          <t>KITS ALIMENTAIRES / APPUI COVID 19</t>
        </is>
      </c>
      <c r="M6472" t="inlineStr">
        <is>
          <t xml:space="preserve">Néant </t>
        </is>
      </c>
      <c r="N6472" t="inlineStr">
        <is>
          <t xml:space="preserve">Néant </t>
        </is>
      </c>
      <c r="O6472" t="inlineStr">
        <is>
          <t>NC</t>
        </is>
      </c>
      <c r="R6472" s="22"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2" t="n">
        <v>44152</v>
      </c>
      <c r="K6473" t="inlineStr">
        <is>
          <t>SANTE</t>
        </is>
      </c>
      <c r="L6473" t="inlineStr">
        <is>
          <t>KITS ALIMENTAIRES / APPUI COVID 19</t>
        </is>
      </c>
      <c r="M6473" t="inlineStr">
        <is>
          <t xml:space="preserve">Néant </t>
        </is>
      </c>
      <c r="N6473" t="inlineStr">
        <is>
          <t xml:space="preserve">Néant </t>
        </is>
      </c>
      <c r="O6473" t="inlineStr">
        <is>
          <t>NC</t>
        </is>
      </c>
      <c r="R6473" s="22"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2" t="n">
        <v>44152</v>
      </c>
      <c r="K6474" t="inlineStr">
        <is>
          <t>SANTE</t>
        </is>
      </c>
      <c r="L6474" t="inlineStr">
        <is>
          <t>KITS ALIMENTAIRES / APPUI COVID 19</t>
        </is>
      </c>
      <c r="M6474" t="inlineStr">
        <is>
          <t xml:space="preserve">Néant </t>
        </is>
      </c>
      <c r="N6474" t="inlineStr">
        <is>
          <t xml:space="preserve">Néant </t>
        </is>
      </c>
      <c r="O6474" t="inlineStr">
        <is>
          <t>NC</t>
        </is>
      </c>
      <c r="R6474" s="22"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2" t="n">
        <v>44152</v>
      </c>
      <c r="K6475" t="inlineStr">
        <is>
          <t>SANTE</t>
        </is>
      </c>
      <c r="L6475" t="inlineStr">
        <is>
          <t>KITS ALIMENTAIRES / APPUI COVID 19</t>
        </is>
      </c>
      <c r="M6475" t="inlineStr">
        <is>
          <t xml:space="preserve">Néant </t>
        </is>
      </c>
      <c r="N6475" t="inlineStr">
        <is>
          <t xml:space="preserve">Néant </t>
        </is>
      </c>
      <c r="O6475" t="inlineStr">
        <is>
          <t>NC</t>
        </is>
      </c>
      <c r="R6475" s="22"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2" t="n">
        <v>44152</v>
      </c>
      <c r="K6476" t="inlineStr">
        <is>
          <t>SANTE</t>
        </is>
      </c>
      <c r="L6476" t="inlineStr">
        <is>
          <t>KITS ALIMENTAIRES / APPUI COVID 19</t>
        </is>
      </c>
      <c r="M6476" t="inlineStr">
        <is>
          <t xml:space="preserve">Néant </t>
        </is>
      </c>
      <c r="N6476" t="inlineStr">
        <is>
          <t xml:space="preserve">Néant </t>
        </is>
      </c>
      <c r="O6476" t="inlineStr">
        <is>
          <t>NC</t>
        </is>
      </c>
      <c r="R6476" s="22"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2" t="n">
        <v>44152</v>
      </c>
      <c r="K6477" t="inlineStr">
        <is>
          <t>SANTE</t>
        </is>
      </c>
      <c r="L6477" t="inlineStr">
        <is>
          <t>KITS ALIMENTAIRES / APPUI COVID 19</t>
        </is>
      </c>
      <c r="M6477" t="inlineStr">
        <is>
          <t xml:space="preserve">Néant </t>
        </is>
      </c>
      <c r="N6477" t="inlineStr">
        <is>
          <t xml:space="preserve">Néant </t>
        </is>
      </c>
      <c r="O6477" t="inlineStr">
        <is>
          <t>NC</t>
        </is>
      </c>
      <c r="R6477" s="22"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2" t="n">
        <v>44152</v>
      </c>
      <c r="K6478" t="inlineStr">
        <is>
          <t>SANTE</t>
        </is>
      </c>
      <c r="L6478" t="inlineStr">
        <is>
          <t>KITS ALIMENTAIRES / APPUI COVID 19</t>
        </is>
      </c>
      <c r="M6478" t="inlineStr">
        <is>
          <t xml:space="preserve">Néant </t>
        </is>
      </c>
      <c r="N6478" t="inlineStr">
        <is>
          <t xml:space="preserve">Néant </t>
        </is>
      </c>
      <c r="O6478" t="inlineStr">
        <is>
          <t>NC</t>
        </is>
      </c>
      <c r="R6478" s="22"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2" t="n">
        <v>44153</v>
      </c>
      <c r="K6479" t="inlineStr">
        <is>
          <t>EDUCATION</t>
        </is>
      </c>
      <c r="L6479" t="inlineStr">
        <is>
          <t>EDUCATION / FOURNITURES SCOLAIRES</t>
        </is>
      </c>
      <c r="M6479" t="inlineStr">
        <is>
          <t xml:space="preserve">Néant </t>
        </is>
      </c>
      <c r="N6479" t="inlineStr">
        <is>
          <t xml:space="preserve">Néant </t>
        </is>
      </c>
      <c r="O6479" t="inlineStr">
        <is>
          <t>NC</t>
        </is>
      </c>
      <c r="R6479" s="22"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2" t="n">
        <v>44162</v>
      </c>
      <c r="K6480" t="inlineStr">
        <is>
          <t>SANTE</t>
        </is>
      </c>
      <c r="L6480" t="inlineStr">
        <is>
          <t>KITS ALIMENTAIRES / APPUI COVID 19</t>
        </is>
      </c>
      <c r="M6480" t="inlineStr">
        <is>
          <t xml:space="preserve">Néant </t>
        </is>
      </c>
      <c r="N6480" t="inlineStr">
        <is>
          <t xml:space="preserve">Néant </t>
        </is>
      </c>
      <c r="O6480" t="inlineStr">
        <is>
          <t>NC</t>
        </is>
      </c>
      <c r="R6480" s="22"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2" t="n">
        <v>44166</v>
      </c>
      <c r="K6481" t="inlineStr">
        <is>
          <t>SANTE</t>
        </is>
      </c>
      <c r="L6481" t="inlineStr">
        <is>
          <t>KITS ALIMENTAIRES / APPUI COVID 19</t>
        </is>
      </c>
      <c r="M6481" t="inlineStr">
        <is>
          <t xml:space="preserve">Néant </t>
        </is>
      </c>
      <c r="N6481" t="inlineStr">
        <is>
          <t xml:space="preserve">Néant </t>
        </is>
      </c>
      <c r="O6481" t="inlineStr">
        <is>
          <t>NC</t>
        </is>
      </c>
      <c r="R6481" s="22"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2"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2"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2" t="n">
        <v>44181</v>
      </c>
      <c r="K6483" t="inlineStr">
        <is>
          <t>SANTE</t>
        </is>
      </c>
      <c r="L6483" t="inlineStr">
        <is>
          <t>APPUI / LUTTE CONTRE LE COVID 19</t>
        </is>
      </c>
      <c r="M6483" t="inlineStr">
        <is>
          <t xml:space="preserve">Néant </t>
        </is>
      </c>
      <c r="N6483" t="inlineStr">
        <is>
          <t xml:space="preserve">Néant </t>
        </is>
      </c>
      <c r="O6483" t="inlineStr">
        <is>
          <t>NC</t>
        </is>
      </c>
      <c r="R6483" s="22"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2"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2"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2" t="n">
        <v>1600</v>
      </c>
      <c r="K6485" s="23" t="n">
        <v>45455</v>
      </c>
      <c r="M6485" t="inlineStr">
        <is>
          <t>139836</t>
        </is>
      </c>
      <c r="N6485" t="inlineStr">
        <is>
          <t>N/A</t>
        </is>
      </c>
      <c r="O6485" t="inlineStr">
        <is>
          <t>N/A</t>
        </is>
      </c>
      <c r="P6485" t="inlineStr">
        <is>
          <t>Convention minère et Code minier (Fond Social et Fond d'appui au developpement local)</t>
        </is>
      </c>
      <c r="Q6485" t="inlineStr">
        <is>
          <t>NA</t>
        </is>
      </c>
      <c r="R6485" s="22"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2" t="n">
        <v>43831</v>
      </c>
      <c r="K6486" t="inlineStr">
        <is>
          <t>CULTURE</t>
        </is>
      </c>
      <c r="L6486" t="inlineStr">
        <is>
          <t>CEREMONIE RELIGIEUSE</t>
        </is>
      </c>
      <c r="M6486" t="inlineStr">
        <is>
          <t xml:space="preserve">Néant </t>
        </is>
      </c>
      <c r="N6486" t="inlineStr">
        <is>
          <t xml:space="preserve">Néant </t>
        </is>
      </c>
      <c r="O6486" t="inlineStr">
        <is>
          <t>NC</t>
        </is>
      </c>
      <c r="R6486" s="22"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2" t="n">
        <v>43831</v>
      </c>
      <c r="K6487" t="inlineStr">
        <is>
          <t>CULTURE</t>
        </is>
      </c>
      <c r="L6487" t="inlineStr">
        <is>
          <t>CEREMONIE RELIGIEUSE</t>
        </is>
      </c>
      <c r="M6487" t="inlineStr">
        <is>
          <t xml:space="preserve">Néant </t>
        </is>
      </c>
      <c r="N6487" t="inlineStr">
        <is>
          <t xml:space="preserve">Néant </t>
        </is>
      </c>
      <c r="O6487" t="inlineStr">
        <is>
          <t>NC</t>
        </is>
      </c>
      <c r="R6487" s="22"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2" t="n">
        <v>43831</v>
      </c>
      <c r="K6488" t="inlineStr">
        <is>
          <t>CULTURE</t>
        </is>
      </c>
      <c r="L6488" t="inlineStr">
        <is>
          <t>SOUTIEN ORG GAMOU NDOMOR</t>
        </is>
      </c>
      <c r="M6488" t="inlineStr">
        <is>
          <t xml:space="preserve">Néant </t>
        </is>
      </c>
      <c r="N6488" t="inlineStr">
        <is>
          <t xml:space="preserve">Néant </t>
        </is>
      </c>
      <c r="O6488" t="inlineStr">
        <is>
          <t>NC</t>
        </is>
      </c>
      <c r="R6488" s="22"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2" t="n">
        <v>43831</v>
      </c>
      <c r="K6489" t="inlineStr">
        <is>
          <t>CULTURE</t>
        </is>
      </c>
      <c r="L6489" t="inlineStr">
        <is>
          <t>SOUTIEN ORG GAMOU MBORO</t>
        </is>
      </c>
      <c r="M6489" t="inlineStr">
        <is>
          <t xml:space="preserve">Néant </t>
        </is>
      </c>
      <c r="N6489" t="inlineStr">
        <is>
          <t xml:space="preserve">Néant </t>
        </is>
      </c>
      <c r="O6489" t="inlineStr">
        <is>
          <t>NC</t>
        </is>
      </c>
      <c r="R6489" s="22"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2" t="n">
        <v>43831</v>
      </c>
      <c r="K6490" t="inlineStr">
        <is>
          <t>EDUCATION</t>
        </is>
      </c>
      <c r="L6490" t="inlineStr">
        <is>
          <t>EDUCATION / APPUI DAARAS</t>
        </is>
      </c>
      <c r="M6490" t="inlineStr">
        <is>
          <t xml:space="preserve">Néant </t>
        </is>
      </c>
      <c r="N6490" t="inlineStr">
        <is>
          <t xml:space="preserve">Néant </t>
        </is>
      </c>
      <c r="O6490" t="inlineStr">
        <is>
          <t>NC</t>
        </is>
      </c>
      <c r="R6490" s="22"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2" t="n">
        <v>43831</v>
      </c>
      <c r="K6491" t="inlineStr">
        <is>
          <t>CULTURE</t>
        </is>
      </c>
      <c r="L6491" t="inlineStr">
        <is>
          <t>SOUTIEN ORG GAMOU DAROU BEYE</t>
        </is>
      </c>
      <c r="M6491" t="inlineStr">
        <is>
          <t xml:space="preserve">Néant </t>
        </is>
      </c>
      <c r="N6491" t="inlineStr">
        <is>
          <t xml:space="preserve">Néant </t>
        </is>
      </c>
      <c r="O6491" t="inlineStr">
        <is>
          <t>NC</t>
        </is>
      </c>
      <c r="R6491" s="22"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2" t="n">
        <v>43831</v>
      </c>
      <c r="K6492" t="inlineStr">
        <is>
          <t>CAPACITATION DES FEMMES</t>
        </is>
      </c>
      <c r="L6492" t="inlineStr">
        <is>
          <t>FRAIS CONSTITUT 03 GIE</t>
        </is>
      </c>
      <c r="M6492" t="inlineStr">
        <is>
          <t xml:space="preserve">Néant </t>
        </is>
      </c>
      <c r="N6492" t="inlineStr">
        <is>
          <t xml:space="preserve">Néant </t>
        </is>
      </c>
      <c r="O6492" t="inlineStr">
        <is>
          <t>NC</t>
        </is>
      </c>
      <c r="R6492" s="22"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2" t="n">
        <v>43839</v>
      </c>
      <c r="K6493" t="inlineStr">
        <is>
          <t>CULTURE</t>
        </is>
      </c>
      <c r="L6493" t="inlineStr">
        <is>
          <t>CEREMONIE RELIGIEUSE</t>
        </is>
      </c>
      <c r="M6493" t="inlineStr">
        <is>
          <t xml:space="preserve">Néant </t>
        </is>
      </c>
      <c r="N6493" t="inlineStr">
        <is>
          <t xml:space="preserve">Néant </t>
        </is>
      </c>
      <c r="O6493" t="inlineStr">
        <is>
          <t>NC</t>
        </is>
      </c>
      <c r="R6493" s="22"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2" t="n">
        <v>1521.85</v>
      </c>
      <c r="K6494" s="23" t="n">
        <v>45220</v>
      </c>
      <c r="L6494" t="inlineStr">
        <is>
          <t>Donation</t>
        </is>
      </c>
      <c r="M6494" t="inlineStr">
        <is>
          <t>NA</t>
        </is>
      </c>
      <c r="N6494" t="inlineStr">
        <is>
          <t>NA</t>
        </is>
      </c>
      <c r="O6494" t="inlineStr">
        <is>
          <t>NA</t>
        </is>
      </c>
      <c r="P6494" t="inlineStr">
        <is>
          <t>NA</t>
        </is>
      </c>
      <c r="Q6494" t="inlineStr">
        <is>
          <t>NA</t>
        </is>
      </c>
      <c r="R6494" s="22"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2" t="n">
        <v>43839</v>
      </c>
      <c r="K6495" t="inlineStr">
        <is>
          <t>CULTURE</t>
        </is>
      </c>
      <c r="L6495" t="inlineStr">
        <is>
          <t>SOUTIEN ORG GAMOU MADINA BEYE</t>
        </is>
      </c>
      <c r="M6495" t="inlineStr">
        <is>
          <t xml:space="preserve">Néant </t>
        </is>
      </c>
      <c r="N6495" t="inlineStr">
        <is>
          <t xml:space="preserve">Néant </t>
        </is>
      </c>
      <c r="O6495" t="inlineStr">
        <is>
          <t>NC</t>
        </is>
      </c>
      <c r="R6495" s="22"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2" t="n">
        <v>43843</v>
      </c>
      <c r="K6496" t="inlineStr">
        <is>
          <t>CULTURE</t>
        </is>
      </c>
      <c r="L6496" t="inlineStr">
        <is>
          <t>SOUTIEN A LA JEUNESSE</t>
        </is>
      </c>
      <c r="M6496" t="inlineStr">
        <is>
          <t xml:space="preserve">Néant </t>
        </is>
      </c>
      <c r="N6496" t="inlineStr">
        <is>
          <t xml:space="preserve">Néant </t>
        </is>
      </c>
      <c r="O6496" t="inlineStr">
        <is>
          <t>NC</t>
        </is>
      </c>
      <c r="R6496" s="22"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2" t="n">
        <v>43843</v>
      </c>
      <c r="K6497" t="inlineStr">
        <is>
          <t>EDUCATION</t>
        </is>
      </c>
      <c r="L6497" t="inlineStr">
        <is>
          <t>ANIMATION PEDAGOGIQUE</t>
        </is>
      </c>
      <c r="M6497" t="inlineStr">
        <is>
          <t xml:space="preserve">Néant </t>
        </is>
      </c>
      <c r="N6497" t="inlineStr">
        <is>
          <t xml:space="preserve">Néant </t>
        </is>
      </c>
      <c r="O6497" t="inlineStr">
        <is>
          <t>NC</t>
        </is>
      </c>
      <c r="R6497" s="22"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2" t="n">
        <v>43843</v>
      </c>
      <c r="K6498" t="inlineStr">
        <is>
          <t>CULTURE</t>
        </is>
      </c>
      <c r="L6498" t="inlineStr">
        <is>
          <t>CEREMONIE RELIGIEUSE</t>
        </is>
      </c>
      <c r="M6498" t="inlineStr">
        <is>
          <t xml:space="preserve">Néant </t>
        </is>
      </c>
      <c r="N6498" t="inlineStr">
        <is>
          <t xml:space="preserve">Néant </t>
        </is>
      </c>
      <c r="O6498" t="inlineStr">
        <is>
          <t>NC</t>
        </is>
      </c>
      <c r="R6498" s="22"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2" t="n">
        <v>43845</v>
      </c>
      <c r="K6499" t="inlineStr">
        <is>
          <t>CULTURE</t>
        </is>
      </c>
      <c r="L6499" t="inlineStr">
        <is>
          <t>SOUTIEN ORG KHALIF GEN KHADRES</t>
        </is>
      </c>
      <c r="M6499" t="inlineStr">
        <is>
          <t xml:space="preserve">Néant </t>
        </is>
      </c>
      <c r="N6499" t="inlineStr">
        <is>
          <t xml:space="preserve">Néant </t>
        </is>
      </c>
      <c r="O6499" t="inlineStr">
        <is>
          <t>NC</t>
        </is>
      </c>
      <c r="R6499" s="22"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2" t="n">
        <v>1208.836516</v>
      </c>
      <c r="K6500" s="23"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2"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2" t="n">
        <v>43845</v>
      </c>
      <c r="K6501" t="inlineStr">
        <is>
          <t>CULTURE</t>
        </is>
      </c>
      <c r="L6501" t="inlineStr">
        <is>
          <t>SOUTIEN ORG GAMOU MBORO</t>
        </is>
      </c>
      <c r="M6501" t="inlineStr">
        <is>
          <t xml:space="preserve">Néant </t>
        </is>
      </c>
      <c r="N6501" t="inlineStr">
        <is>
          <t xml:space="preserve">Néant </t>
        </is>
      </c>
      <c r="O6501" t="inlineStr">
        <is>
          <t>NC</t>
        </is>
      </c>
      <c r="R6501" s="22"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2" t="n">
        <v>43845</v>
      </c>
      <c r="K6502" t="inlineStr">
        <is>
          <t>APPUI DIVERS</t>
        </is>
      </c>
      <c r="L6502" t="inlineStr">
        <is>
          <t>3EME ANNIVERSSAIRE SITE RECASEMENT</t>
        </is>
      </c>
      <c r="M6502" t="inlineStr">
        <is>
          <t xml:space="preserve">Néant </t>
        </is>
      </c>
      <c r="N6502" t="inlineStr">
        <is>
          <t xml:space="preserve">Néant </t>
        </is>
      </c>
      <c r="O6502" t="inlineStr">
        <is>
          <t>NC</t>
        </is>
      </c>
      <c r="R6502" s="22"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2" t="n">
        <v>453.3136935</v>
      </c>
      <c r="K6503" s="23" t="n">
        <v>45349</v>
      </c>
      <c r="M6503" t="inlineStr">
        <is>
          <t>Goods Final Costs</t>
        </is>
      </c>
      <c r="P6503" t="inlineStr">
        <is>
          <t>Convention minère et Code minier (Fond Social et Fond d'appui au developpement local)</t>
        </is>
      </c>
      <c r="R6503" s="22"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2" t="n">
        <v>43852</v>
      </c>
      <c r="K6504" t="inlineStr">
        <is>
          <t>CULTURE</t>
        </is>
      </c>
      <c r="L6504" t="inlineStr">
        <is>
          <t>FORUM DE LA JEUNESSE</t>
        </is>
      </c>
      <c r="M6504" t="inlineStr">
        <is>
          <t xml:space="preserve">Néant </t>
        </is>
      </c>
      <c r="N6504" t="inlineStr">
        <is>
          <t xml:space="preserve">Néant </t>
        </is>
      </c>
      <c r="O6504" t="inlineStr">
        <is>
          <t>NC</t>
        </is>
      </c>
      <c r="R6504" s="22"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2" t="n">
        <v>43852</v>
      </c>
      <c r="K6505" t="inlineStr">
        <is>
          <t>CULTURE</t>
        </is>
      </c>
      <c r="L6505" t="inlineStr">
        <is>
          <t>SOUTIEN ORG GAMOU FASS DIACK SAO</t>
        </is>
      </c>
      <c r="M6505" t="inlineStr">
        <is>
          <t xml:space="preserve">Néant </t>
        </is>
      </c>
      <c r="N6505" t="inlineStr">
        <is>
          <t xml:space="preserve">Néant </t>
        </is>
      </c>
      <c r="O6505" t="inlineStr">
        <is>
          <t>NC</t>
        </is>
      </c>
      <c r="R6505" s="22"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2" t="n">
        <v>43852</v>
      </c>
      <c r="K6506" t="inlineStr">
        <is>
          <t>CULTURE</t>
        </is>
      </c>
      <c r="L6506" t="inlineStr">
        <is>
          <t>SOUTIEN ORG GAMOU TAWA BA</t>
        </is>
      </c>
      <c r="M6506" t="inlineStr">
        <is>
          <t xml:space="preserve">Néant </t>
        </is>
      </c>
      <c r="N6506" t="inlineStr">
        <is>
          <t xml:space="preserve">Néant </t>
        </is>
      </c>
      <c r="O6506" t="inlineStr">
        <is>
          <t>NC</t>
        </is>
      </c>
      <c r="R6506" s="22"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2" t="n">
        <v>43970</v>
      </c>
      <c r="K6507" t="inlineStr">
        <is>
          <t>APPUI DIVERS</t>
        </is>
      </c>
      <c r="L6507" t="inlineStr">
        <is>
          <t>VILLAGE DIOGO</t>
        </is>
      </c>
      <c r="M6507" t="inlineStr">
        <is>
          <t xml:space="preserve">Néant </t>
        </is>
      </c>
      <c r="N6507" t="inlineStr">
        <is>
          <t xml:space="preserve">Néant </t>
        </is>
      </c>
      <c r="O6507" t="inlineStr">
        <is>
          <t>NC</t>
        </is>
      </c>
      <c r="R6507" s="22"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2" t="n">
        <v>-277.09</v>
      </c>
      <c r="O6508" t="inlineStr">
        <is>
          <t>SF General</t>
        </is>
      </c>
      <c r="P6508" t="inlineStr">
        <is>
          <t>Obligation de développement social: art.15 de l'avenant 1 à la convention minière de Sabodala du 23 mars 2005</t>
        </is>
      </c>
      <c r="R6508" s="22"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2" t="n">
        <v>-1462.69218436</v>
      </c>
      <c r="K6509" s="23"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2"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2" t="n">
        <v>-1625.88511402</v>
      </c>
      <c r="K6510" s="23"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2"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2" t="n">
        <v>43861</v>
      </c>
      <c r="K6511" t="inlineStr">
        <is>
          <t>EDUCATION</t>
        </is>
      </c>
      <c r="L6511" t="inlineStr">
        <is>
          <t>EDUCATION</t>
        </is>
      </c>
      <c r="M6511" t="inlineStr">
        <is>
          <t xml:space="preserve">Néant </t>
        </is>
      </c>
      <c r="N6511" t="inlineStr">
        <is>
          <t xml:space="preserve">Néant </t>
        </is>
      </c>
      <c r="O6511" t="inlineStr">
        <is>
          <t>NC</t>
        </is>
      </c>
      <c r="R6511" s="22"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2" t="n">
        <v>43861</v>
      </c>
      <c r="K6512" t="inlineStr">
        <is>
          <t>CULTURE</t>
        </is>
      </c>
      <c r="L6512" t="inlineStr">
        <is>
          <t>SOUTIEN ORG GAMOU VILLAG NDAKHAR MBAYE</t>
        </is>
      </c>
      <c r="M6512" t="inlineStr">
        <is>
          <t xml:space="preserve">Néant </t>
        </is>
      </c>
      <c r="N6512" t="inlineStr">
        <is>
          <t xml:space="preserve">Néant </t>
        </is>
      </c>
      <c r="O6512" t="inlineStr">
        <is>
          <t>NC</t>
        </is>
      </c>
      <c r="R6512" s="22"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2" t="n">
        <v>43861</v>
      </c>
      <c r="K6513" t="inlineStr">
        <is>
          <t>APPUI DIVERS</t>
        </is>
      </c>
      <c r="L6513" t="inlineStr">
        <is>
          <t>PERDIEMS AGENT EAUX &amp; FORETS</t>
        </is>
      </c>
      <c r="M6513" t="inlineStr">
        <is>
          <t xml:space="preserve">Néant </t>
        </is>
      </c>
      <c r="N6513" t="inlineStr">
        <is>
          <t xml:space="preserve">Néant </t>
        </is>
      </c>
      <c r="O6513" t="inlineStr">
        <is>
          <t>NC</t>
        </is>
      </c>
      <c r="R6513" s="22"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2" t="n">
        <v>43891</v>
      </c>
      <c r="K6514" t="inlineStr">
        <is>
          <t>CULTURE</t>
        </is>
      </c>
      <c r="L6514" t="inlineStr">
        <is>
          <t>CEREMONIE RELIGIEUSE</t>
        </is>
      </c>
      <c r="M6514" t="inlineStr">
        <is>
          <t xml:space="preserve">Néant </t>
        </is>
      </c>
      <c r="N6514" t="inlineStr">
        <is>
          <t xml:space="preserve">Néant </t>
        </is>
      </c>
      <c r="O6514" t="inlineStr">
        <is>
          <t>NC</t>
        </is>
      </c>
      <c r="R6514" s="22"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2" t="n">
        <v>43891</v>
      </c>
      <c r="K6515" t="inlineStr">
        <is>
          <t>CULTURE</t>
        </is>
      </c>
      <c r="L6515" t="inlineStr">
        <is>
          <t>SOUTIEN ORG MOSQUEE NDIANE</t>
        </is>
      </c>
      <c r="M6515" t="inlineStr">
        <is>
          <t xml:space="preserve">Néant </t>
        </is>
      </c>
      <c r="N6515" t="inlineStr">
        <is>
          <t xml:space="preserve">Néant </t>
        </is>
      </c>
      <c r="O6515" t="inlineStr">
        <is>
          <t>NC</t>
        </is>
      </c>
      <c r="R6515" s="22"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2" t="n">
        <v>43892</v>
      </c>
      <c r="K6516" t="inlineStr">
        <is>
          <t>CULTURE</t>
        </is>
      </c>
      <c r="L6516" t="inlineStr">
        <is>
          <t>SOUTIEN ORG JOURN COLLECT CAREME</t>
        </is>
      </c>
      <c r="M6516" t="inlineStr">
        <is>
          <t xml:space="preserve">Néant </t>
        </is>
      </c>
      <c r="N6516" t="inlineStr">
        <is>
          <t xml:space="preserve">Néant </t>
        </is>
      </c>
      <c r="O6516" t="inlineStr">
        <is>
          <t>NC</t>
        </is>
      </c>
      <c r="R6516" s="22"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2" t="n">
        <v>43892</v>
      </c>
      <c r="K6517" t="inlineStr">
        <is>
          <t>CULTURE</t>
        </is>
      </c>
      <c r="L6517" t="inlineStr">
        <is>
          <t>SOUTIEN ORG MAGAL ANNUEL DE BERKEME LO</t>
        </is>
      </c>
      <c r="M6517" t="inlineStr">
        <is>
          <t xml:space="preserve">Néant </t>
        </is>
      </c>
      <c r="N6517" t="inlineStr">
        <is>
          <t xml:space="preserve">Néant </t>
        </is>
      </c>
      <c r="O6517" t="inlineStr">
        <is>
          <t>NC</t>
        </is>
      </c>
      <c r="R6517" s="22"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2" t="n">
        <v>43892</v>
      </c>
      <c r="K6518" t="inlineStr">
        <is>
          <t>CULTURE</t>
        </is>
      </c>
      <c r="L6518" t="inlineStr">
        <is>
          <t>SOUTIEN ORG GAMOU ANNUEL SANTHIE</t>
        </is>
      </c>
      <c r="M6518" t="inlineStr">
        <is>
          <t xml:space="preserve">Néant </t>
        </is>
      </c>
      <c r="N6518" t="inlineStr">
        <is>
          <t xml:space="preserve">Néant </t>
        </is>
      </c>
      <c r="O6518" t="inlineStr">
        <is>
          <t>NC</t>
        </is>
      </c>
      <c r="R6518" s="22"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2" t="n">
        <v>43892</v>
      </c>
      <c r="K6519" t="inlineStr">
        <is>
          <t>CULTURE</t>
        </is>
      </c>
      <c r="L6519" t="inlineStr">
        <is>
          <t>RANDONNEE PEDESTESTRE</t>
        </is>
      </c>
      <c r="M6519" t="inlineStr">
        <is>
          <t xml:space="preserve">Néant </t>
        </is>
      </c>
      <c r="N6519" t="inlineStr">
        <is>
          <t xml:space="preserve">Néant </t>
        </is>
      </c>
      <c r="O6519" t="inlineStr">
        <is>
          <t>NC</t>
        </is>
      </c>
      <c r="R6519" s="22"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2" t="n">
        <v>43892</v>
      </c>
      <c r="K6520" t="inlineStr">
        <is>
          <t>CAPACITATION DES FEMMES</t>
        </is>
      </c>
      <c r="L6520" t="inlineStr">
        <is>
          <t>APPUI ACTIVITE ECONOMIQUE</t>
        </is>
      </c>
      <c r="M6520" t="inlineStr">
        <is>
          <t xml:space="preserve">Néant </t>
        </is>
      </c>
      <c r="N6520" t="inlineStr">
        <is>
          <t xml:space="preserve">Néant </t>
        </is>
      </c>
      <c r="O6520" t="inlineStr">
        <is>
          <t>NC</t>
        </is>
      </c>
      <c r="R6520" s="22"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2" t="n">
        <v>-2000.33</v>
      </c>
      <c r="K6521" s="23" t="n">
        <v>44701</v>
      </c>
      <c r="L6521" t="inlineStr">
        <is>
          <t>SF General</t>
        </is>
      </c>
      <c r="R6521" s="22"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2" t="n">
        <v>43893</v>
      </c>
      <c r="K6522" t="inlineStr">
        <is>
          <t>CULTURE</t>
        </is>
      </c>
      <c r="L6522" t="inlineStr">
        <is>
          <t>CEREMONIE RELIGIEUSE</t>
        </is>
      </c>
      <c r="M6522" t="inlineStr">
        <is>
          <t xml:space="preserve">Néant </t>
        </is>
      </c>
      <c r="N6522" t="inlineStr">
        <is>
          <t xml:space="preserve">Néant </t>
        </is>
      </c>
      <c r="O6522" t="inlineStr">
        <is>
          <t>NC</t>
        </is>
      </c>
      <c r="R6522" s="22"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2" t="n">
        <v>43893</v>
      </c>
      <c r="K6523" t="inlineStr">
        <is>
          <t>EDUCATION</t>
        </is>
      </c>
      <c r="L6523" t="inlineStr">
        <is>
          <t>EDUCATION</t>
        </is>
      </c>
      <c r="M6523" t="inlineStr">
        <is>
          <t xml:space="preserve">Néant </t>
        </is>
      </c>
      <c r="N6523" t="inlineStr">
        <is>
          <t xml:space="preserve">Néant </t>
        </is>
      </c>
      <c r="O6523" t="inlineStr">
        <is>
          <t>NC</t>
        </is>
      </c>
      <c r="R6523" s="22"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2" t="n">
        <v>43893</v>
      </c>
      <c r="K6524" t="inlineStr">
        <is>
          <t>EDUCATION</t>
        </is>
      </c>
      <c r="L6524" t="inlineStr">
        <is>
          <t>EDUCATION</t>
        </is>
      </c>
      <c r="M6524" t="inlineStr">
        <is>
          <t xml:space="preserve">Néant </t>
        </is>
      </c>
      <c r="N6524" t="inlineStr">
        <is>
          <t xml:space="preserve">Néant </t>
        </is>
      </c>
      <c r="O6524" t="inlineStr">
        <is>
          <t>NC</t>
        </is>
      </c>
      <c r="R6524" s="22"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2" t="n">
        <v>43894</v>
      </c>
      <c r="K6525" t="inlineStr">
        <is>
          <t>APPUI DIVERS</t>
        </is>
      </c>
      <c r="L6525" t="inlineStr">
        <is>
          <t>COUV MEDIA REMISE CHQ COUD</t>
        </is>
      </c>
      <c r="M6525" t="inlineStr">
        <is>
          <t xml:space="preserve">Néant </t>
        </is>
      </c>
      <c r="N6525" t="inlineStr">
        <is>
          <t xml:space="preserve">Néant </t>
        </is>
      </c>
      <c r="O6525" t="inlineStr">
        <is>
          <t>NC</t>
        </is>
      </c>
      <c r="R6525" s="22"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2" t="n">
        <v>43895</v>
      </c>
      <c r="K6526" t="inlineStr">
        <is>
          <t>CULTURE</t>
        </is>
      </c>
      <c r="L6526" t="inlineStr">
        <is>
          <t>SOUTIEN A LA JEUNESSE</t>
        </is>
      </c>
      <c r="M6526" t="inlineStr">
        <is>
          <t xml:space="preserve">Néant </t>
        </is>
      </c>
      <c r="N6526" t="inlineStr">
        <is>
          <t xml:space="preserve">Néant </t>
        </is>
      </c>
      <c r="O6526" t="inlineStr">
        <is>
          <t>NC</t>
        </is>
      </c>
      <c r="R6526" s="22"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2"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2"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2" t="n">
        <v>43900</v>
      </c>
      <c r="K6528" t="inlineStr">
        <is>
          <t>CULTURE</t>
        </is>
      </c>
      <c r="L6528" t="inlineStr">
        <is>
          <t>SOUTIEN ORG TRANSP DAHIRA MEKHE</t>
        </is>
      </c>
      <c r="M6528" t="inlineStr">
        <is>
          <t xml:space="preserve">Néant </t>
        </is>
      </c>
      <c r="N6528" t="inlineStr">
        <is>
          <t xml:space="preserve">Néant </t>
        </is>
      </c>
      <c r="O6528" t="inlineStr">
        <is>
          <t>NC</t>
        </is>
      </c>
      <c r="R6528" s="22"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2" t="n">
        <v>43900</v>
      </c>
      <c r="K6529" t="inlineStr">
        <is>
          <t>APPUI DIVERS</t>
        </is>
      </c>
      <c r="L6529" t="inlineStr">
        <is>
          <t>HA SACS POUBEL TRIAGE DECHETS</t>
        </is>
      </c>
      <c r="M6529" t="inlineStr">
        <is>
          <t xml:space="preserve">Néant </t>
        </is>
      </c>
      <c r="N6529" t="inlineStr">
        <is>
          <t xml:space="preserve">Néant </t>
        </is>
      </c>
      <c r="O6529" t="inlineStr">
        <is>
          <t>NC</t>
        </is>
      </c>
      <c r="R6529" s="22"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2" t="n">
        <v>43900</v>
      </c>
      <c r="K6530" t="inlineStr">
        <is>
          <t>CULTURE</t>
        </is>
      </c>
      <c r="L6530" t="inlineStr">
        <is>
          <t>SOUTIEN GAMOU ANNUEL DIANGHAR</t>
        </is>
      </c>
      <c r="M6530" t="inlineStr">
        <is>
          <t xml:space="preserve">Néant </t>
        </is>
      </c>
      <c r="N6530" t="inlineStr">
        <is>
          <t xml:space="preserve">Néant </t>
        </is>
      </c>
      <c r="O6530" t="inlineStr">
        <is>
          <t>NC</t>
        </is>
      </c>
      <c r="R6530" s="22"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2" t="n">
        <v>-6967.45</v>
      </c>
      <c r="K6531" s="23" t="n">
        <v>45322</v>
      </c>
      <c r="M6531" t="inlineStr">
        <is>
          <t>129403AA</t>
        </is>
      </c>
      <c r="N6531" t="inlineStr">
        <is>
          <t>N/A</t>
        </is>
      </c>
      <c r="O6531" t="inlineStr">
        <is>
          <t>N/A</t>
        </is>
      </c>
      <c r="P6531" t="inlineStr">
        <is>
          <t>Convention minère et Code minier (Fond Social et Fond d'appui au developpement local)</t>
        </is>
      </c>
      <c r="Q6531" t="inlineStr">
        <is>
          <t>NA</t>
        </is>
      </c>
      <c r="R6531" s="22"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2" t="n">
        <v>43900</v>
      </c>
      <c r="K6532" t="inlineStr">
        <is>
          <t>CULTURE</t>
        </is>
      </c>
      <c r="L6532" t="inlineStr">
        <is>
          <t>SOUTIEN ORG GAMOU ANNUEL DAROU FALL</t>
        </is>
      </c>
      <c r="M6532" t="inlineStr">
        <is>
          <t xml:space="preserve">Néant </t>
        </is>
      </c>
      <c r="N6532" t="inlineStr">
        <is>
          <t xml:space="preserve">Néant </t>
        </is>
      </c>
      <c r="O6532" t="inlineStr">
        <is>
          <t>NC</t>
        </is>
      </c>
      <c r="R6532" s="22"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2" t="n">
        <v>43900</v>
      </c>
      <c r="K6533" t="inlineStr">
        <is>
          <t>CULTURE</t>
        </is>
      </c>
      <c r="L6533" t="inlineStr">
        <is>
          <t>SOUTIEN A LA JEUNESSE</t>
        </is>
      </c>
      <c r="M6533" t="inlineStr">
        <is>
          <t xml:space="preserve">Néant </t>
        </is>
      </c>
      <c r="N6533" t="inlineStr">
        <is>
          <t xml:space="preserve">Néant </t>
        </is>
      </c>
      <c r="O6533" t="inlineStr">
        <is>
          <t>NC</t>
        </is>
      </c>
      <c r="R6533" s="22"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2" t="n">
        <v>43900</v>
      </c>
      <c r="K6534" t="inlineStr">
        <is>
          <t>CULTURE</t>
        </is>
      </c>
      <c r="L6534" t="inlineStr">
        <is>
          <t>SOUTIEN GAMOU ANNUEL DIOBASS</t>
        </is>
      </c>
      <c r="M6534" t="inlineStr">
        <is>
          <t xml:space="preserve">Néant </t>
        </is>
      </c>
      <c r="N6534" t="inlineStr">
        <is>
          <t xml:space="preserve">Néant </t>
        </is>
      </c>
      <c r="O6534" t="inlineStr">
        <is>
          <t>NC</t>
        </is>
      </c>
      <c r="R6534" s="22"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2" t="n">
        <v>43900</v>
      </c>
      <c r="K6535" t="inlineStr">
        <is>
          <t>CULTURE</t>
        </is>
      </c>
      <c r="L6535" t="inlineStr">
        <is>
          <t>SOUTIEN JOURN CHEIKH A B MBACKE</t>
        </is>
      </c>
      <c r="M6535" t="inlineStr">
        <is>
          <t xml:space="preserve">Néant </t>
        </is>
      </c>
      <c r="N6535" t="inlineStr">
        <is>
          <t xml:space="preserve">Néant </t>
        </is>
      </c>
      <c r="O6535" t="inlineStr">
        <is>
          <t>NC</t>
        </is>
      </c>
      <c r="R6535" s="22"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2" t="n">
        <v>-11200</v>
      </c>
      <c r="K6536" s="23" t="n">
        <v>45534</v>
      </c>
      <c r="M6536" t="inlineStr">
        <is>
          <t>133023</t>
        </is>
      </c>
      <c r="N6536" t="inlineStr">
        <is>
          <t>N/A</t>
        </is>
      </c>
      <c r="O6536" t="inlineStr">
        <is>
          <t>N/A</t>
        </is>
      </c>
      <c r="P6536" t="inlineStr">
        <is>
          <t>Convention minère et Code minier (Fond Social et Fond d'appui au developpement local)</t>
        </is>
      </c>
      <c r="Q6536" t="inlineStr">
        <is>
          <t>NA</t>
        </is>
      </c>
      <c r="R6536" s="22"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2" t="n">
        <v>43909</v>
      </c>
      <c r="K6537" t="inlineStr">
        <is>
          <t>SANTE</t>
        </is>
      </c>
      <c r="L6537" t="inlineStr">
        <is>
          <t>SOUTIEN ORG AG MUTUELLE SANTE DAROU KH</t>
        </is>
      </c>
      <c r="M6537" t="inlineStr">
        <is>
          <t xml:space="preserve">Néant </t>
        </is>
      </c>
      <c r="N6537" t="inlineStr">
        <is>
          <t xml:space="preserve">Néant </t>
        </is>
      </c>
      <c r="O6537" t="inlineStr">
        <is>
          <t>NC</t>
        </is>
      </c>
      <c r="R6537" s="22"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2" t="n">
        <v>43909</v>
      </c>
      <c r="K6538" t="inlineStr">
        <is>
          <t>EDUCATION</t>
        </is>
      </c>
      <c r="L6538" t="inlineStr">
        <is>
          <t>SORTIE PEDAGOGIQUE</t>
        </is>
      </c>
      <c r="M6538" t="inlineStr">
        <is>
          <t xml:space="preserve">Néant </t>
        </is>
      </c>
      <c r="N6538" t="inlineStr">
        <is>
          <t xml:space="preserve">Néant </t>
        </is>
      </c>
      <c r="O6538" t="inlineStr">
        <is>
          <t>NC</t>
        </is>
      </c>
      <c r="R6538" s="22"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2" t="n">
        <v>43909</v>
      </c>
      <c r="K6539" t="inlineStr">
        <is>
          <t>CULTURE</t>
        </is>
      </c>
      <c r="L6539" t="inlineStr">
        <is>
          <t xml:space="preserve"> FESTIVAL MODE MBORO</t>
        </is>
      </c>
      <c r="M6539" t="inlineStr">
        <is>
          <t xml:space="preserve">Néant </t>
        </is>
      </c>
      <c r="N6539" t="inlineStr">
        <is>
          <t xml:space="preserve">Néant </t>
        </is>
      </c>
      <c r="O6539" t="inlineStr">
        <is>
          <t>NC</t>
        </is>
      </c>
      <c r="R6539" s="22"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2" t="n">
        <v>43909</v>
      </c>
      <c r="K6540" t="inlineStr">
        <is>
          <t>CULTURE</t>
        </is>
      </c>
      <c r="L6540" t="inlineStr">
        <is>
          <t>SOUTIEN GAMOU DAROU DIA</t>
        </is>
      </c>
      <c r="M6540" t="inlineStr">
        <is>
          <t xml:space="preserve">Néant </t>
        </is>
      </c>
      <c r="N6540" t="inlineStr">
        <is>
          <t xml:space="preserve">Néant </t>
        </is>
      </c>
      <c r="O6540" t="inlineStr">
        <is>
          <t>NC</t>
        </is>
      </c>
      <c r="R6540" s="22"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2" t="n">
        <v>43915</v>
      </c>
      <c r="K6541" t="inlineStr">
        <is>
          <t>EDUCATION</t>
        </is>
      </c>
      <c r="L6541" t="inlineStr">
        <is>
          <t>ASSISTANCE ECOLE CORANIQUE FOTH</t>
        </is>
      </c>
      <c r="M6541" t="inlineStr">
        <is>
          <t xml:space="preserve">Néant </t>
        </is>
      </c>
      <c r="N6541" t="inlineStr">
        <is>
          <t xml:space="preserve">Néant </t>
        </is>
      </c>
      <c r="O6541" t="inlineStr">
        <is>
          <t>NC</t>
        </is>
      </c>
      <c r="R6541" s="22"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2" t="n">
        <v>43867</v>
      </c>
      <c r="K6542" t="inlineStr">
        <is>
          <t>CULTURE</t>
        </is>
      </c>
      <c r="L6542" t="inlineStr">
        <is>
          <t>CEREMONIE RELIGIEUSE</t>
        </is>
      </c>
      <c r="M6542" t="inlineStr">
        <is>
          <t xml:space="preserve">Néant </t>
        </is>
      </c>
      <c r="N6542" t="inlineStr">
        <is>
          <t xml:space="preserve">Néant </t>
        </is>
      </c>
      <c r="O6542" t="inlineStr">
        <is>
          <t>NC</t>
        </is>
      </c>
      <c r="R6542" s="22"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2" t="n">
        <v>43867</v>
      </c>
      <c r="K6543" t="inlineStr">
        <is>
          <t>CULTURE</t>
        </is>
      </c>
      <c r="L6543" t="inlineStr">
        <is>
          <t>SOUTIEN A LA JEUNESSE</t>
        </is>
      </c>
      <c r="M6543" t="inlineStr">
        <is>
          <t xml:space="preserve">Néant </t>
        </is>
      </c>
      <c r="N6543" t="inlineStr">
        <is>
          <t xml:space="preserve">Néant </t>
        </is>
      </c>
      <c r="O6543" t="inlineStr">
        <is>
          <t>NC</t>
        </is>
      </c>
      <c r="R6543" s="22"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2" t="n">
        <v>43867</v>
      </c>
      <c r="K6544" t="inlineStr">
        <is>
          <t>CULTURE</t>
        </is>
      </c>
      <c r="L6544" t="inlineStr">
        <is>
          <t>SOUTIEN ORG GAMOU SANTHIOU SINE</t>
        </is>
      </c>
      <c r="M6544" t="inlineStr">
        <is>
          <t xml:space="preserve">Néant </t>
        </is>
      </c>
      <c r="N6544" t="inlineStr">
        <is>
          <t xml:space="preserve">Néant </t>
        </is>
      </c>
      <c r="O6544" t="inlineStr">
        <is>
          <t>NC</t>
        </is>
      </c>
      <c r="R6544" s="22"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2" t="n">
        <v>-16359.99</v>
      </c>
      <c r="K6545" s="23" t="n">
        <v>45461</v>
      </c>
      <c r="M6545" t="inlineStr">
        <is>
          <t>139165AA</t>
        </is>
      </c>
      <c r="N6545" t="inlineStr">
        <is>
          <t>N/A</t>
        </is>
      </c>
      <c r="O6545" t="inlineStr">
        <is>
          <t>N/A</t>
        </is>
      </c>
      <c r="P6545" t="inlineStr">
        <is>
          <t>Convention minère et Code minier (Fond Social et Fond d'appui au developpement local)</t>
        </is>
      </c>
      <c r="Q6545" t="inlineStr">
        <is>
          <t>NA</t>
        </is>
      </c>
      <c r="R6545" s="22"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2" t="n">
        <v>43868</v>
      </c>
      <c r="K6546" t="inlineStr">
        <is>
          <t>CULTURE</t>
        </is>
      </c>
      <c r="L6546" t="inlineStr">
        <is>
          <t>CEREMONIE RELIGIEUSE</t>
        </is>
      </c>
      <c r="M6546" t="inlineStr">
        <is>
          <t xml:space="preserve">Néant </t>
        </is>
      </c>
      <c r="N6546" t="inlineStr">
        <is>
          <t xml:space="preserve">Néant </t>
        </is>
      </c>
      <c r="O6546" t="inlineStr">
        <is>
          <t>NC</t>
        </is>
      </c>
      <c r="R6546" s="22"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2" t="n">
        <v>43868</v>
      </c>
      <c r="K6547" t="inlineStr">
        <is>
          <t>CULTURE</t>
        </is>
      </c>
      <c r="L6547" t="inlineStr">
        <is>
          <t>CEREMONIE RELIGIEUSE</t>
        </is>
      </c>
      <c r="M6547" t="inlineStr">
        <is>
          <t xml:space="preserve">Néant </t>
        </is>
      </c>
      <c r="N6547" t="inlineStr">
        <is>
          <t xml:space="preserve">Néant </t>
        </is>
      </c>
      <c r="O6547" t="inlineStr">
        <is>
          <t>NC</t>
        </is>
      </c>
      <c r="R6547" s="22"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2" t="n">
        <v>43868</v>
      </c>
      <c r="K6548" t="inlineStr">
        <is>
          <t>EDUCATION</t>
        </is>
      </c>
      <c r="L6548" t="inlineStr">
        <is>
          <t>EDUCATION</t>
        </is>
      </c>
      <c r="M6548" t="inlineStr">
        <is>
          <t xml:space="preserve">Néant </t>
        </is>
      </c>
      <c r="N6548" t="inlineStr">
        <is>
          <t xml:space="preserve">Néant </t>
        </is>
      </c>
      <c r="O6548" t="inlineStr">
        <is>
          <t>NC</t>
        </is>
      </c>
      <c r="R6548" s="22"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2" t="n">
        <v>43868</v>
      </c>
      <c r="K6549" t="inlineStr">
        <is>
          <t>CULTURE</t>
        </is>
      </c>
      <c r="L6549" t="inlineStr">
        <is>
          <t>CEREMONIE RELIGIEUSE</t>
        </is>
      </c>
      <c r="M6549" t="inlineStr">
        <is>
          <t xml:space="preserve">Néant </t>
        </is>
      </c>
      <c r="N6549" t="inlineStr">
        <is>
          <t xml:space="preserve">Néant </t>
        </is>
      </c>
      <c r="O6549" t="inlineStr">
        <is>
          <t>NC</t>
        </is>
      </c>
      <c r="R6549" s="22"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2" t="n">
        <v>43868</v>
      </c>
      <c r="K6550" t="inlineStr">
        <is>
          <t>CULTURE</t>
        </is>
      </c>
      <c r="L6550" t="inlineStr">
        <is>
          <t>CEREMONIE RELIGIEUSE</t>
        </is>
      </c>
      <c r="M6550" t="inlineStr">
        <is>
          <t xml:space="preserve">Néant </t>
        </is>
      </c>
      <c r="N6550" t="inlineStr">
        <is>
          <t xml:space="preserve">Néant </t>
        </is>
      </c>
      <c r="O6550" t="inlineStr">
        <is>
          <t>NC</t>
        </is>
      </c>
      <c r="R6550" s="22"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2" t="n">
        <v>43868</v>
      </c>
      <c r="K6551" t="inlineStr">
        <is>
          <t>CULTURE</t>
        </is>
      </c>
      <c r="L6551" t="inlineStr">
        <is>
          <t>SOUTIEN A LA JEUNESSE</t>
        </is>
      </c>
      <c r="M6551" t="inlineStr">
        <is>
          <t xml:space="preserve">Néant </t>
        </is>
      </c>
      <c r="N6551" t="inlineStr">
        <is>
          <t xml:space="preserve">Néant </t>
        </is>
      </c>
      <c r="O6551" t="inlineStr">
        <is>
          <t>NC</t>
        </is>
      </c>
      <c r="R6551" s="22"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2" t="n">
        <v>-16800</v>
      </c>
      <c r="K6552" s="23"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2"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2" t="n">
        <v>43873</v>
      </c>
      <c r="K6553" t="inlineStr">
        <is>
          <t>HYDRAULIQUE</t>
        </is>
      </c>
      <c r="L6553" t="inlineStr">
        <is>
          <t>HYDRAULIQUE (FORAGE VILLAGE)</t>
        </is>
      </c>
      <c r="M6553" t="inlineStr">
        <is>
          <t xml:space="preserve">Néant </t>
        </is>
      </c>
      <c r="N6553" t="inlineStr">
        <is>
          <t xml:space="preserve">Néant </t>
        </is>
      </c>
      <c r="O6553" t="inlineStr">
        <is>
          <t>NC</t>
        </is>
      </c>
      <c r="R6553" s="22"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2" t="n">
        <v>-27000</v>
      </c>
      <c r="K6554" t="inlineStr">
        <is>
          <t>31/01/2023</t>
        </is>
      </c>
      <c r="L6554" t="inlineStr">
        <is>
          <t>Appuis divers</t>
        </is>
      </c>
      <c r="R6554" s="22"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2" t="n">
        <v>-30000</v>
      </c>
      <c r="K6555" t="inlineStr">
        <is>
          <t>06/03/2023</t>
        </is>
      </c>
      <c r="L6555" t="inlineStr">
        <is>
          <t>Appuis divers</t>
        </is>
      </c>
      <c r="R6555" s="22"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2" t="n">
        <v>43875</v>
      </c>
      <c r="K6556" t="inlineStr">
        <is>
          <t>APPUI DIVERS</t>
        </is>
      </c>
      <c r="L6556" t="inlineStr">
        <is>
          <t>PERDIEM ABDOULAYE NDOYE</t>
        </is>
      </c>
      <c r="M6556" t="inlineStr">
        <is>
          <t xml:space="preserve">Néant </t>
        </is>
      </c>
      <c r="N6556" t="inlineStr">
        <is>
          <t xml:space="preserve">Néant </t>
        </is>
      </c>
      <c r="O6556" t="inlineStr">
        <is>
          <t>NC</t>
        </is>
      </c>
      <c r="R6556" s="22"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2" t="n">
        <v>-36225</v>
      </c>
      <c r="K6557" s="23" t="n">
        <v>45534</v>
      </c>
      <c r="M6557" t="inlineStr">
        <is>
          <t>129332AB</t>
        </is>
      </c>
      <c r="N6557" t="inlineStr">
        <is>
          <t>N/A</t>
        </is>
      </c>
      <c r="O6557" t="inlineStr">
        <is>
          <t>N/A</t>
        </is>
      </c>
      <c r="P6557" t="inlineStr">
        <is>
          <t>Convention minère et Code minier (Fond Social et Fond d'appui au developpement local)</t>
        </is>
      </c>
      <c r="Q6557" t="inlineStr">
        <is>
          <t>NA</t>
        </is>
      </c>
      <c r="R6557" s="22"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2" t="n">
        <v>43879</v>
      </c>
      <c r="K6558" t="inlineStr">
        <is>
          <t>CULTURE</t>
        </is>
      </c>
      <c r="L6558" t="inlineStr">
        <is>
          <t>SOUTIEN GAMOU ANNUEL NDIEULCOUGNE</t>
        </is>
      </c>
      <c r="M6558" t="inlineStr">
        <is>
          <t xml:space="preserve">Néant </t>
        </is>
      </c>
      <c r="N6558" t="inlineStr">
        <is>
          <t xml:space="preserve">Néant </t>
        </is>
      </c>
      <c r="O6558" t="inlineStr">
        <is>
          <t>NC</t>
        </is>
      </c>
      <c r="R6558" s="22"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2" t="n">
        <v>43880</v>
      </c>
      <c r="K6559" t="inlineStr">
        <is>
          <t>CULTURE</t>
        </is>
      </c>
      <c r="L6559" t="inlineStr">
        <is>
          <t>CEREMONIE RELIGIEUSE</t>
        </is>
      </c>
      <c r="M6559" t="inlineStr">
        <is>
          <t xml:space="preserve">Néant </t>
        </is>
      </c>
      <c r="N6559" t="inlineStr">
        <is>
          <t xml:space="preserve">Néant </t>
        </is>
      </c>
      <c r="O6559" t="inlineStr">
        <is>
          <t>NC</t>
        </is>
      </c>
      <c r="R6559" s="22"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2" t="n">
        <v>43880</v>
      </c>
      <c r="K6560" t="inlineStr">
        <is>
          <t>CULTURE</t>
        </is>
      </c>
      <c r="L6560" t="inlineStr">
        <is>
          <t>SOUTIEN ORG KHASSIDA</t>
        </is>
      </c>
      <c r="M6560" t="inlineStr">
        <is>
          <t xml:space="preserve">Néant </t>
        </is>
      </c>
      <c r="N6560" t="inlineStr">
        <is>
          <t xml:space="preserve">Néant </t>
        </is>
      </c>
      <c r="O6560" t="inlineStr">
        <is>
          <t>NC</t>
        </is>
      </c>
      <c r="R6560" s="22"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2" t="n">
        <v>43881</v>
      </c>
      <c r="K6561" t="inlineStr">
        <is>
          <t>CULTURE</t>
        </is>
      </c>
      <c r="L6561" t="inlineStr">
        <is>
          <t>CEREMONIE RELIGIEUSE</t>
        </is>
      </c>
      <c r="M6561" t="inlineStr">
        <is>
          <t xml:space="preserve">Néant </t>
        </is>
      </c>
      <c r="N6561" t="inlineStr">
        <is>
          <t xml:space="preserve">Néant </t>
        </is>
      </c>
      <c r="O6561" t="inlineStr">
        <is>
          <t>NC</t>
        </is>
      </c>
      <c r="R6561" s="22"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2" t="n">
        <v>-39279.91</v>
      </c>
      <c r="K6562" s="23"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2"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2" t="n">
        <v>-44500</v>
      </c>
      <c r="K6563" s="23"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2"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2" t="n">
        <v>-58216.37</v>
      </c>
      <c r="K6564" s="23"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2"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2" t="n">
        <v>-85680</v>
      </c>
      <c r="K6565" s="23" t="n">
        <v>44675</v>
      </c>
      <c r="L6565" t="inlineStr">
        <is>
          <t>SF Fond Gora &amp; General</t>
        </is>
      </c>
      <c r="R6565" s="22"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2" t="n">
        <v>44018</v>
      </c>
      <c r="K6566" t="inlineStr">
        <is>
          <t>APPUI DIVERS</t>
        </is>
      </c>
      <c r="L6566" t="inlineStr">
        <is>
          <t>SUBVENTION MENSUEL CDREI MARS</t>
        </is>
      </c>
      <c r="M6566" t="inlineStr">
        <is>
          <t xml:space="preserve">Néant </t>
        </is>
      </c>
      <c r="N6566" t="inlineStr">
        <is>
          <t xml:space="preserve">Néant </t>
        </is>
      </c>
      <c r="O6566" t="inlineStr">
        <is>
          <t>NC</t>
        </is>
      </c>
      <c r="R6566" s="22"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2" t="n">
        <v>44018</v>
      </c>
      <c r="K6567" t="inlineStr">
        <is>
          <t>APPUI DIVERS</t>
        </is>
      </c>
      <c r="L6567" t="inlineStr">
        <is>
          <t>SUBVENTION MENSUEL CDREI AVRIL</t>
        </is>
      </c>
      <c r="M6567" t="inlineStr">
        <is>
          <t xml:space="preserve">Néant </t>
        </is>
      </c>
      <c r="N6567" t="inlineStr">
        <is>
          <t xml:space="preserve">Néant </t>
        </is>
      </c>
      <c r="O6567" t="inlineStr">
        <is>
          <t>NC</t>
        </is>
      </c>
      <c r="R6567" s="22"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2" t="n">
        <v>44018</v>
      </c>
      <c r="K6568" t="inlineStr">
        <is>
          <t>APPUI DIVERS</t>
        </is>
      </c>
      <c r="L6568" t="inlineStr">
        <is>
          <t>SUBVENTION MENSUEL CDREI MAI</t>
        </is>
      </c>
      <c r="M6568" t="inlineStr">
        <is>
          <t xml:space="preserve">Néant </t>
        </is>
      </c>
      <c r="N6568" t="inlineStr">
        <is>
          <t xml:space="preserve">Néant </t>
        </is>
      </c>
      <c r="O6568" t="inlineStr">
        <is>
          <t>NC</t>
        </is>
      </c>
      <c r="R6568" s="22"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2" t="n">
        <v>44018</v>
      </c>
      <c r="K6569" t="inlineStr">
        <is>
          <t>CAPACITATION DES FEMMES</t>
        </is>
      </c>
      <c r="L6569" t="inlineStr">
        <is>
          <t>APPUI ECONOMIQUE</t>
        </is>
      </c>
      <c r="M6569" t="inlineStr">
        <is>
          <t xml:space="preserve">Néant </t>
        </is>
      </c>
      <c r="N6569" t="inlineStr">
        <is>
          <t xml:space="preserve">Néant </t>
        </is>
      </c>
      <c r="O6569" t="inlineStr">
        <is>
          <t>NC</t>
        </is>
      </c>
      <c r="R6569" s="22"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2" t="n">
        <v>44061</v>
      </c>
      <c r="K6570" t="inlineStr">
        <is>
          <t>CULTURE</t>
        </is>
      </c>
      <c r="L6570" t="inlineStr">
        <is>
          <t>SOUTIEN A LA JEUNESSE</t>
        </is>
      </c>
      <c r="M6570" t="inlineStr">
        <is>
          <t xml:space="preserve">Néant </t>
        </is>
      </c>
      <c r="N6570" t="inlineStr">
        <is>
          <t xml:space="preserve">Néant </t>
        </is>
      </c>
      <c r="O6570" t="inlineStr">
        <is>
          <t>NC</t>
        </is>
      </c>
      <c r="R6570" s="22"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2" t="n">
        <v>44062</v>
      </c>
      <c r="K6571" t="inlineStr">
        <is>
          <t>SANTE</t>
        </is>
      </c>
      <c r="L6571" t="inlineStr">
        <is>
          <t>PRISE EN CHARGE FRAIS MEDICAUX HAWA DIOP</t>
        </is>
      </c>
      <c r="M6571" t="inlineStr">
        <is>
          <t xml:space="preserve">Néant </t>
        </is>
      </c>
      <c r="N6571" t="inlineStr">
        <is>
          <t xml:space="preserve">Néant </t>
        </is>
      </c>
      <c r="O6571" t="inlineStr">
        <is>
          <t>NC</t>
        </is>
      </c>
      <c r="R6571" s="22"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2" t="n">
        <v>44064</v>
      </c>
      <c r="K6572" t="inlineStr">
        <is>
          <t>CULTURE</t>
        </is>
      </c>
      <c r="L6572" t="inlineStr">
        <is>
          <t>SOUTIEN GAMOU ANNUEL DAHIRA KANZARL MOUS</t>
        </is>
      </c>
      <c r="M6572" t="inlineStr">
        <is>
          <t xml:space="preserve">Néant </t>
        </is>
      </c>
      <c r="N6572" t="inlineStr">
        <is>
          <t xml:space="preserve">Néant </t>
        </is>
      </c>
      <c r="O6572" t="inlineStr">
        <is>
          <t>NC</t>
        </is>
      </c>
      <c r="R6572" s="22"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2" t="n">
        <v>44068</v>
      </c>
      <c r="K6573" t="inlineStr">
        <is>
          <t>EDUCATION</t>
        </is>
      </c>
      <c r="L6573" t="inlineStr">
        <is>
          <t>EDUCATION</t>
        </is>
      </c>
      <c r="M6573" t="inlineStr">
        <is>
          <t xml:space="preserve">Néant </t>
        </is>
      </c>
      <c r="N6573" t="inlineStr">
        <is>
          <t xml:space="preserve">Néant </t>
        </is>
      </c>
      <c r="O6573" t="inlineStr">
        <is>
          <t>NC</t>
        </is>
      </c>
      <c r="R6573" s="22"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2" t="n">
        <v>44068</v>
      </c>
      <c r="K6574" t="inlineStr">
        <is>
          <t>CULTURE</t>
        </is>
      </c>
      <c r="L6574" t="inlineStr">
        <is>
          <t>SOUTIEN GAMOU ANNUEL SERIGNE SALIOU IBN</t>
        </is>
      </c>
      <c r="M6574" t="inlineStr">
        <is>
          <t xml:space="preserve">Néant </t>
        </is>
      </c>
      <c r="N6574" t="inlineStr">
        <is>
          <t xml:space="preserve">Néant </t>
        </is>
      </c>
      <c r="O6574" t="inlineStr">
        <is>
          <t>NC</t>
        </is>
      </c>
      <c r="R6574" s="22"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2" t="n">
        <v>-100000</v>
      </c>
      <c r="K6575" s="23" t="n">
        <v>45657</v>
      </c>
      <c r="M6575" t="inlineStr">
        <is>
          <t>Ext Appui de SGO Victor Tamala Bindia pour la celebration de</t>
        </is>
      </c>
      <c r="P6575" t="inlineStr">
        <is>
          <t>Convention minère et Code minier (Fond Social et Fond d'appui au developpement local)</t>
        </is>
      </c>
      <c r="R6575" s="22"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2" t="n">
        <v>44071</v>
      </c>
      <c r="K6576" t="inlineStr">
        <is>
          <t>CULTURE</t>
        </is>
      </c>
      <c r="L6576" t="inlineStr">
        <is>
          <t>SOUTIEN A LA JEUNESSE</t>
        </is>
      </c>
      <c r="M6576" t="inlineStr">
        <is>
          <t xml:space="preserve">Néant </t>
        </is>
      </c>
      <c r="N6576" t="inlineStr">
        <is>
          <t xml:space="preserve">Néant </t>
        </is>
      </c>
      <c r="O6576" t="inlineStr">
        <is>
          <t>NC</t>
        </is>
      </c>
      <c r="R6576" s="22"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2" t="n">
        <v>44071</v>
      </c>
      <c r="K6577" t="inlineStr">
        <is>
          <t>HYDRAULIQUE</t>
        </is>
      </c>
      <c r="L6577" t="inlineStr">
        <is>
          <t>SURVEILLANCE FORAGE DAROU BEYE</t>
        </is>
      </c>
      <c r="M6577" t="inlineStr">
        <is>
          <t xml:space="preserve">Néant </t>
        </is>
      </c>
      <c r="N6577" t="inlineStr">
        <is>
          <t xml:space="preserve">Néant </t>
        </is>
      </c>
      <c r="O6577" t="inlineStr">
        <is>
          <t>NC</t>
        </is>
      </c>
      <c r="R6577" s="22"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2"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2"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2"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2"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2"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2"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2"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2"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2"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2"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2"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2"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2"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2"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2" t="n">
        <v>44071</v>
      </c>
      <c r="K6585" t="inlineStr">
        <is>
          <t>APPUI DIVERS</t>
        </is>
      </c>
      <c r="L6585" t="inlineStr">
        <is>
          <t>PERDIEMS AGENT EAUX &amp; FORETS</t>
        </is>
      </c>
      <c r="M6585" t="inlineStr">
        <is>
          <t xml:space="preserve">Néant </t>
        </is>
      </c>
      <c r="N6585" t="inlineStr">
        <is>
          <t xml:space="preserve">Néant </t>
        </is>
      </c>
      <c r="O6585" t="inlineStr">
        <is>
          <t>NC</t>
        </is>
      </c>
      <c r="R6585" s="22"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2" t="n">
        <v>44071</v>
      </c>
      <c r="K6586" t="inlineStr">
        <is>
          <t>APPUI DIVERS</t>
        </is>
      </c>
      <c r="L6586" t="inlineStr">
        <is>
          <t>PERDIEMS AGENT EAUX &amp; FORETS</t>
        </is>
      </c>
      <c r="M6586" t="inlineStr">
        <is>
          <t xml:space="preserve">Néant </t>
        </is>
      </c>
      <c r="N6586" t="inlineStr">
        <is>
          <t xml:space="preserve">Néant </t>
        </is>
      </c>
      <c r="O6586" t="inlineStr">
        <is>
          <t>NC</t>
        </is>
      </c>
      <c r="R6586" s="22"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2" t="n">
        <v>44071</v>
      </c>
      <c r="K6587" t="inlineStr">
        <is>
          <t>APPUI DIVERS</t>
        </is>
      </c>
      <c r="L6587" t="inlineStr">
        <is>
          <t>PERDIEMS AGENT EAUX &amp; FORETS</t>
        </is>
      </c>
      <c r="M6587" t="inlineStr">
        <is>
          <t xml:space="preserve">Néant </t>
        </is>
      </c>
      <c r="N6587" t="inlineStr">
        <is>
          <t xml:space="preserve">Néant </t>
        </is>
      </c>
      <c r="O6587" t="inlineStr">
        <is>
          <t>NC</t>
        </is>
      </c>
      <c r="R6587" s="22"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2" t="n">
        <v>44071</v>
      </c>
      <c r="K6588" t="inlineStr">
        <is>
          <t>APPUI DIVERS</t>
        </is>
      </c>
      <c r="L6588" t="inlineStr">
        <is>
          <t>PERDIEMS AGENT EAUX &amp; FORETS</t>
        </is>
      </c>
      <c r="M6588" t="inlineStr">
        <is>
          <t xml:space="preserve">Néant </t>
        </is>
      </c>
      <c r="N6588" t="inlineStr">
        <is>
          <t xml:space="preserve">Néant </t>
        </is>
      </c>
      <c r="O6588" t="inlineStr">
        <is>
          <t>NC</t>
        </is>
      </c>
      <c r="R6588" s="22"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2" t="n">
        <v>44071</v>
      </c>
      <c r="K6589" t="inlineStr">
        <is>
          <t>APPUI DIVERS</t>
        </is>
      </c>
      <c r="L6589" t="inlineStr">
        <is>
          <t>PERDIEMS AGENT EAUX &amp; FORETS</t>
        </is>
      </c>
      <c r="M6589" t="inlineStr">
        <is>
          <t xml:space="preserve">Néant </t>
        </is>
      </c>
      <c r="N6589" t="inlineStr">
        <is>
          <t xml:space="preserve">Néant </t>
        </is>
      </c>
      <c r="O6589" t="inlineStr">
        <is>
          <t>NC</t>
        </is>
      </c>
      <c r="R6589" s="22"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2" t="n">
        <v>44071</v>
      </c>
      <c r="K6590" t="inlineStr">
        <is>
          <t>APPUI DIVERS</t>
        </is>
      </c>
      <c r="L6590" t="inlineStr">
        <is>
          <t>PERDIEMS AGENT EAUX &amp; FORETS</t>
        </is>
      </c>
      <c r="M6590" t="inlineStr">
        <is>
          <t xml:space="preserve">Néant </t>
        </is>
      </c>
      <c r="N6590" t="inlineStr">
        <is>
          <t xml:space="preserve">Néant </t>
        </is>
      </c>
      <c r="O6590" t="inlineStr">
        <is>
          <t>NC</t>
        </is>
      </c>
      <c r="R6590" s="22"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2"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2"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2" t="n">
        <v>-100000</v>
      </c>
      <c r="K6592" t="inlineStr">
        <is>
          <t>08/03/2023</t>
        </is>
      </c>
      <c r="L6592" t="inlineStr">
        <is>
          <t>Appuis divers</t>
        </is>
      </c>
      <c r="R6592" s="22"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2" t="n">
        <v>44090</v>
      </c>
      <c r="K6593" t="inlineStr">
        <is>
          <t>CULTURE</t>
        </is>
      </c>
      <c r="L6593" t="inlineStr">
        <is>
          <t xml:space="preserve">RENCONTRE CULTURELLE </t>
        </is>
      </c>
      <c r="M6593" t="inlineStr">
        <is>
          <t xml:space="preserve">Néant </t>
        </is>
      </c>
      <c r="N6593" t="inlineStr">
        <is>
          <t xml:space="preserve">Néant </t>
        </is>
      </c>
      <c r="O6593" t="inlineStr">
        <is>
          <t>NC</t>
        </is>
      </c>
      <c r="R6593" s="22"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2" t="n">
        <v>44090</v>
      </c>
      <c r="K6594" t="inlineStr">
        <is>
          <t>EDUCATION</t>
        </is>
      </c>
      <c r="L6594" t="inlineStr">
        <is>
          <t>EDUCATION / ORGANISATION EXAMEN</t>
        </is>
      </c>
      <c r="M6594" t="inlineStr">
        <is>
          <t xml:space="preserve">Néant </t>
        </is>
      </c>
      <c r="N6594" t="inlineStr">
        <is>
          <t xml:space="preserve">Néant </t>
        </is>
      </c>
      <c r="O6594" t="inlineStr">
        <is>
          <t>NC</t>
        </is>
      </c>
      <c r="R6594" s="22"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2" t="n">
        <v>-102300</v>
      </c>
      <c r="K6595" t="inlineStr">
        <is>
          <t>31/01/2023</t>
        </is>
      </c>
      <c r="L6595" t="inlineStr">
        <is>
          <t>Appuis divers</t>
        </is>
      </c>
      <c r="R6595" s="22"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2" t="n">
        <v>44105</v>
      </c>
      <c r="K6596" t="inlineStr">
        <is>
          <t>CULTURE</t>
        </is>
      </c>
      <c r="L6596" t="inlineStr">
        <is>
          <t>CEREMONIE RELIGIEUSE</t>
        </is>
      </c>
      <c r="M6596" t="inlineStr">
        <is>
          <t xml:space="preserve">Néant </t>
        </is>
      </c>
      <c r="N6596" t="inlineStr">
        <is>
          <t xml:space="preserve">Néant </t>
        </is>
      </c>
      <c r="O6596" t="inlineStr">
        <is>
          <t>NC</t>
        </is>
      </c>
      <c r="R6596" s="22"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2" t="n">
        <v>44105</v>
      </c>
      <c r="K6597" t="inlineStr">
        <is>
          <t>CULTURE</t>
        </is>
      </c>
      <c r="L6597" t="inlineStr">
        <is>
          <t>CEREMONIE RELIGIEUSE</t>
        </is>
      </c>
      <c r="M6597" t="inlineStr">
        <is>
          <t xml:space="preserve">Néant </t>
        </is>
      </c>
      <c r="N6597" t="inlineStr">
        <is>
          <t xml:space="preserve">Néant </t>
        </is>
      </c>
      <c r="O6597" t="inlineStr">
        <is>
          <t>NC</t>
        </is>
      </c>
      <c r="R6597" s="22"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2" t="n">
        <v>44113</v>
      </c>
      <c r="K6598" t="inlineStr">
        <is>
          <t>SANTE</t>
        </is>
      </c>
      <c r="L6598" t="inlineStr">
        <is>
          <t>APPUI SANITAIRE</t>
        </is>
      </c>
      <c r="M6598" t="inlineStr">
        <is>
          <t xml:space="preserve">Néant </t>
        </is>
      </c>
      <c r="N6598" t="inlineStr">
        <is>
          <t xml:space="preserve">Néant </t>
        </is>
      </c>
      <c r="O6598" t="inlineStr">
        <is>
          <t>NC</t>
        </is>
      </c>
      <c r="R6598" s="22"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2" t="n">
        <v>-114000</v>
      </c>
      <c r="K6599" t="inlineStr">
        <is>
          <t>15/04/2023</t>
        </is>
      </c>
      <c r="L6599" t="inlineStr">
        <is>
          <t>Appuis divers</t>
        </is>
      </c>
      <c r="R6599" s="22"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2" t="n">
        <v>44117</v>
      </c>
      <c r="K6600" t="inlineStr">
        <is>
          <t>HYDRAULIQUE</t>
        </is>
      </c>
      <c r="L6600" t="inlineStr">
        <is>
          <t>SURVEILLANCE FORAGE DAROU BEYE</t>
        </is>
      </c>
      <c r="M6600" t="inlineStr">
        <is>
          <t xml:space="preserve">Néant </t>
        </is>
      </c>
      <c r="N6600" t="inlineStr">
        <is>
          <t xml:space="preserve">Néant </t>
        </is>
      </c>
      <c r="O6600" t="inlineStr">
        <is>
          <t>NC</t>
        </is>
      </c>
      <c r="R6600" s="22"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2" t="n">
        <v>-115200</v>
      </c>
      <c r="K6601" s="23"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2"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2"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2"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2"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2"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2" t="n">
        <v>44131</v>
      </c>
      <c r="K6604" t="inlineStr">
        <is>
          <t>CULTURE</t>
        </is>
      </c>
      <c r="L6604" t="inlineStr">
        <is>
          <t>SOUTIEN ORG GAMOU VILLAG DAROU DIOUF</t>
        </is>
      </c>
      <c r="M6604" t="inlineStr">
        <is>
          <t xml:space="preserve">Néant </t>
        </is>
      </c>
      <c r="N6604" t="inlineStr">
        <is>
          <t xml:space="preserve">Néant </t>
        </is>
      </c>
      <c r="O6604" t="inlineStr">
        <is>
          <t>NC</t>
        </is>
      </c>
      <c r="R6604" s="22"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2" t="n">
        <v>-136000</v>
      </c>
      <c r="K6605" t="inlineStr">
        <is>
          <t>15/04/2023</t>
        </is>
      </c>
      <c r="L6605" t="inlineStr">
        <is>
          <t>Appuis divers</t>
        </is>
      </c>
      <c r="R6605" s="22"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2" t="n">
        <v>44131</v>
      </c>
      <c r="K6606" t="inlineStr">
        <is>
          <t>CULTURE</t>
        </is>
      </c>
      <c r="L6606" t="inlineStr">
        <is>
          <t>SOUTIEN ORG GAMOU VILLAG DE LAMBANE WILA</t>
        </is>
      </c>
      <c r="M6606" t="inlineStr">
        <is>
          <t xml:space="preserve">Néant </t>
        </is>
      </c>
      <c r="N6606" t="inlineStr">
        <is>
          <t xml:space="preserve">Néant </t>
        </is>
      </c>
      <c r="O6606" t="inlineStr">
        <is>
          <t>NC</t>
        </is>
      </c>
      <c r="R6606" s="22"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2" t="n">
        <v>44132</v>
      </c>
      <c r="K6607" t="inlineStr">
        <is>
          <t>CULTURE</t>
        </is>
      </c>
      <c r="L6607" t="inlineStr">
        <is>
          <t>CEREMONIE RELIGIEUSE</t>
        </is>
      </c>
      <c r="M6607" t="inlineStr">
        <is>
          <t xml:space="preserve">Néant </t>
        </is>
      </c>
      <c r="N6607" t="inlineStr">
        <is>
          <t xml:space="preserve">Néant </t>
        </is>
      </c>
      <c r="O6607" t="inlineStr">
        <is>
          <t>NC</t>
        </is>
      </c>
      <c r="R6607" s="22"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2" t="n">
        <v>44132</v>
      </c>
      <c r="K6608" t="inlineStr">
        <is>
          <t>CULTURE</t>
        </is>
      </c>
      <c r="L6608" t="inlineStr">
        <is>
          <t>CEREMONIE RELIGIEUSE</t>
        </is>
      </c>
      <c r="M6608" t="inlineStr">
        <is>
          <t xml:space="preserve">Néant </t>
        </is>
      </c>
      <c r="N6608" t="inlineStr">
        <is>
          <t xml:space="preserve">Néant </t>
        </is>
      </c>
      <c r="O6608" t="inlineStr">
        <is>
          <t>NC</t>
        </is>
      </c>
      <c r="R6608" s="22"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2" t="n">
        <v>44137</v>
      </c>
      <c r="K6609" t="inlineStr">
        <is>
          <t>CULTURE</t>
        </is>
      </c>
      <c r="L6609" t="inlineStr">
        <is>
          <t>APPUI SOCIAL (GAMOU)</t>
        </is>
      </c>
      <c r="M6609" t="inlineStr">
        <is>
          <t xml:space="preserve">Néant </t>
        </is>
      </c>
      <c r="N6609" t="inlineStr">
        <is>
          <t xml:space="preserve">Néant </t>
        </is>
      </c>
      <c r="O6609" t="inlineStr">
        <is>
          <t>NC</t>
        </is>
      </c>
      <c r="R6609" s="22"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2" t="n">
        <v>44137</v>
      </c>
      <c r="K6610" t="inlineStr">
        <is>
          <t>APPUI DIVERS</t>
        </is>
      </c>
      <c r="L6610" t="inlineStr">
        <is>
          <t>APPUI SOCIAL (FRAIS DE SCOLARITE)</t>
        </is>
      </c>
      <c r="M6610" t="inlineStr">
        <is>
          <t xml:space="preserve">Néant </t>
        </is>
      </c>
      <c r="N6610" t="inlineStr">
        <is>
          <t xml:space="preserve">Néant </t>
        </is>
      </c>
      <c r="O6610" t="inlineStr">
        <is>
          <t>NC</t>
        </is>
      </c>
      <c r="R6610" s="22"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2" t="n">
        <v>-138514.25</v>
      </c>
      <c r="K6611" s="23"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2"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2" t="n">
        <v>44154</v>
      </c>
      <c r="K6612" t="inlineStr">
        <is>
          <t>CULTURE</t>
        </is>
      </c>
      <c r="L6612" t="inlineStr">
        <is>
          <t>APPUI ORGANISATION GAMOU</t>
        </is>
      </c>
      <c r="M6612" t="inlineStr">
        <is>
          <t xml:space="preserve">Néant </t>
        </is>
      </c>
      <c r="N6612" t="inlineStr">
        <is>
          <t xml:space="preserve">Néant </t>
        </is>
      </c>
      <c r="O6612" t="inlineStr">
        <is>
          <t>NC</t>
        </is>
      </c>
      <c r="R6612" s="22"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2" t="n">
        <v>-206747.31</v>
      </c>
      <c r="K6613" s="23" t="n">
        <v>45350</v>
      </c>
      <c r="M6613" t="inlineStr">
        <is>
          <t>137715AC</t>
        </is>
      </c>
      <c r="N6613" t="inlineStr">
        <is>
          <t>N/A</t>
        </is>
      </c>
      <c r="O6613" t="inlineStr">
        <is>
          <t>N/A</t>
        </is>
      </c>
      <c r="P6613" t="inlineStr">
        <is>
          <t>Convention minère et Code minier (Fond Social et Fond d'appui au developpement local)</t>
        </is>
      </c>
      <c r="Q6613" t="inlineStr">
        <is>
          <t>NA</t>
        </is>
      </c>
      <c r="R6613" s="22"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2" t="n">
        <v>44154</v>
      </c>
      <c r="K6614" t="inlineStr">
        <is>
          <t>CULTURE</t>
        </is>
      </c>
      <c r="L6614" t="inlineStr">
        <is>
          <t>SOUTIEN A LA JEUNESSE</t>
        </is>
      </c>
      <c r="M6614" t="inlineStr">
        <is>
          <t xml:space="preserve">Néant </t>
        </is>
      </c>
      <c r="N6614" t="inlineStr">
        <is>
          <t xml:space="preserve">Néant </t>
        </is>
      </c>
      <c r="O6614" t="inlineStr">
        <is>
          <t>NC</t>
        </is>
      </c>
      <c r="R6614" s="22"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2" t="n">
        <v>44154</v>
      </c>
      <c r="K6615" t="inlineStr">
        <is>
          <t>HYDRAULIQUE</t>
        </is>
      </c>
      <c r="L6615" t="inlineStr">
        <is>
          <t>SURVEILLANCE FORAGE DAROU BEYE</t>
        </is>
      </c>
      <c r="M6615" t="inlineStr">
        <is>
          <t xml:space="preserve">Néant </t>
        </is>
      </c>
      <c r="N6615" t="inlineStr">
        <is>
          <t xml:space="preserve">Néant </t>
        </is>
      </c>
      <c r="O6615" t="inlineStr">
        <is>
          <t>NC</t>
        </is>
      </c>
      <c r="R6615" s="22"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2" t="n">
        <v>-247671</v>
      </c>
      <c r="K6616" t="inlineStr">
        <is>
          <t>30/11/2023</t>
        </is>
      </c>
      <c r="L6616" t="inlineStr">
        <is>
          <t>Appuis divers</t>
        </is>
      </c>
      <c r="R6616" s="22"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2" t="n">
        <v>44167</v>
      </c>
      <c r="K6617" t="inlineStr">
        <is>
          <t>CULTURE</t>
        </is>
      </c>
      <c r="L6617" t="inlineStr">
        <is>
          <t>SOUTIEN A LA JEUNESSE</t>
        </is>
      </c>
      <c r="M6617" t="inlineStr">
        <is>
          <t xml:space="preserve">Néant </t>
        </is>
      </c>
      <c r="N6617" t="inlineStr">
        <is>
          <t xml:space="preserve">Néant </t>
        </is>
      </c>
      <c r="O6617" t="inlineStr">
        <is>
          <t>NC</t>
        </is>
      </c>
      <c r="R6617" s="22"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2" t="n">
        <v>44167</v>
      </c>
      <c r="K6618" t="inlineStr">
        <is>
          <t>HYDRAULIQUE</t>
        </is>
      </c>
      <c r="L6618" t="inlineStr">
        <is>
          <t>SURVEILLANCE FORAGE DAROU BEYE</t>
        </is>
      </c>
      <c r="M6618" t="inlineStr">
        <is>
          <t xml:space="preserve">Néant </t>
        </is>
      </c>
      <c r="N6618" t="inlineStr">
        <is>
          <t xml:space="preserve">Néant </t>
        </is>
      </c>
      <c r="O6618" t="inlineStr">
        <is>
          <t>NC</t>
        </is>
      </c>
      <c r="R6618" s="22"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2" t="n">
        <v>44175</v>
      </c>
      <c r="K6619" t="inlineStr">
        <is>
          <t>CULTURE</t>
        </is>
      </c>
      <c r="L6619" t="inlineStr">
        <is>
          <t>SOUTIEN POSE PREMIERE PIERRE MOSQUEE</t>
        </is>
      </c>
      <c r="M6619" t="inlineStr">
        <is>
          <t xml:space="preserve">Néant </t>
        </is>
      </c>
      <c r="N6619" t="inlineStr">
        <is>
          <t xml:space="preserve">Néant </t>
        </is>
      </c>
      <c r="O6619" t="inlineStr">
        <is>
          <t>NC</t>
        </is>
      </c>
      <c r="R6619" s="22"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2" t="n">
        <v>44175</v>
      </c>
      <c r="K6620" t="inlineStr">
        <is>
          <t>HYDRAULIQUE</t>
        </is>
      </c>
      <c r="L6620" t="inlineStr">
        <is>
          <t>HYDRAULIQUE</t>
        </is>
      </c>
      <c r="M6620" t="inlineStr">
        <is>
          <t xml:space="preserve">Néant </t>
        </is>
      </c>
      <c r="N6620" t="inlineStr">
        <is>
          <t xml:space="preserve">Néant </t>
        </is>
      </c>
      <c r="O6620" t="inlineStr">
        <is>
          <t>NC</t>
        </is>
      </c>
      <c r="R6620" s="22"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2" t="n">
        <v>44182</v>
      </c>
      <c r="K6621" t="inlineStr">
        <is>
          <t>HYDRAULIQUE</t>
        </is>
      </c>
      <c r="L6621" t="inlineStr">
        <is>
          <t>HYDRAULIQUE</t>
        </is>
      </c>
      <c r="M6621" t="inlineStr">
        <is>
          <t xml:space="preserve">Néant </t>
        </is>
      </c>
      <c r="N6621" t="inlineStr">
        <is>
          <t xml:space="preserve">Néant </t>
        </is>
      </c>
      <c r="O6621" t="inlineStr">
        <is>
          <t>NC</t>
        </is>
      </c>
      <c r="R6621" s="22"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N6622" t="inlineStr">
        <is>
          <t>                </t>
        </is>
      </c>
      <c r="O6622" t="inlineStr">
        <is>
          <t>Nc</t>
        </is>
      </c>
      <c r="R6622" s="22"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2"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2"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2"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2"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2"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2"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2"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2"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2"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2"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2"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2"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2" t="n">
        <v>-250000</v>
      </c>
      <c r="K6635" t="inlineStr">
        <is>
          <t>08/03/2023</t>
        </is>
      </c>
      <c r="L6635" t="inlineStr">
        <is>
          <t>Appuis divers</t>
        </is>
      </c>
      <c r="R6635" s="22"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2" t="n">
        <v>-279998.7</v>
      </c>
      <c r="K6636" s="23" t="n">
        <v>44608</v>
      </c>
      <c r="L6636" t="inlineStr">
        <is>
          <t>SF General</t>
        </is>
      </c>
      <c r="R6636" s="22"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2" t="n">
        <v>-440877.32</v>
      </c>
      <c r="K6637" s="23" t="n">
        <v>45626</v>
      </c>
      <c r="M6637" t="inlineStr">
        <is>
          <t>144492</t>
        </is>
      </c>
      <c r="N6637" t="inlineStr">
        <is>
          <t>N/A</t>
        </is>
      </c>
      <c r="O6637" t="inlineStr">
        <is>
          <t>N/A</t>
        </is>
      </c>
      <c r="P6637" t="inlineStr">
        <is>
          <t>Convention minère et Code minier (Fond Social et Fond d'appui au developpement local)</t>
        </is>
      </c>
      <c r="Q6637" t="inlineStr">
        <is>
          <t>NA</t>
        </is>
      </c>
      <c r="R6637" s="22"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2" t="n">
        <v>-457500</v>
      </c>
      <c r="K6638" s="23" t="n">
        <v>45351</v>
      </c>
      <c r="M6638" t="inlineStr">
        <is>
          <t>137715AD</t>
        </is>
      </c>
      <c r="N6638" t="inlineStr">
        <is>
          <t>N/A</t>
        </is>
      </c>
      <c r="O6638" t="inlineStr">
        <is>
          <t>N/A</t>
        </is>
      </c>
      <c r="P6638" t="inlineStr">
        <is>
          <t>Convention minère et Code minier (Fond Social et Fond d'appui au developpement local)</t>
        </is>
      </c>
      <c r="Q6638" t="inlineStr">
        <is>
          <t>NA</t>
        </is>
      </c>
      <c r="R6638" s="22"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2" t="n">
        <v>-457500</v>
      </c>
      <c r="K6639" s="23" t="n">
        <v>45351</v>
      </c>
      <c r="M6639" t="inlineStr">
        <is>
          <t>137715AC</t>
        </is>
      </c>
      <c r="N6639" t="inlineStr">
        <is>
          <t>N/A</t>
        </is>
      </c>
      <c r="O6639" t="inlineStr">
        <is>
          <t>N/A</t>
        </is>
      </c>
      <c r="P6639" t="inlineStr">
        <is>
          <t>Convention minère et Code minier (Fond Social et Fond d'appui au developpement local)</t>
        </is>
      </c>
      <c r="Q6639" t="inlineStr">
        <is>
          <t>NA</t>
        </is>
      </c>
      <c r="R6639" s="22"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2" t="n">
        <v>-471854.61</v>
      </c>
      <c r="K6640" s="23" t="n">
        <v>45626</v>
      </c>
      <c r="M6640" t="inlineStr">
        <is>
          <t>144610</t>
        </is>
      </c>
      <c r="N6640" t="inlineStr">
        <is>
          <t>N/A</t>
        </is>
      </c>
      <c r="O6640" t="inlineStr">
        <is>
          <t>N/A</t>
        </is>
      </c>
      <c r="P6640" t="inlineStr">
        <is>
          <t>Convention minère et Code minier (Fond Social et Fond d'appui au developpement local)</t>
        </is>
      </c>
      <c r="Q6640" t="inlineStr">
        <is>
          <t>NA</t>
        </is>
      </c>
      <c r="R6640" s="22"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2" t="n">
        <v>-504500</v>
      </c>
      <c r="K6641" t="inlineStr">
        <is>
          <t>2024-01-10</t>
        </is>
      </c>
      <c r="L6641" t="inlineStr">
        <is>
          <t>Appuis divers</t>
        </is>
      </c>
      <c r="R6641" s="22"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2" t="n">
        <v>-602875</v>
      </c>
      <c r="K6642" s="23" t="n">
        <v>45534</v>
      </c>
      <c r="M6642" t="inlineStr">
        <is>
          <t>Chq#289267</t>
        </is>
      </c>
      <c r="N6642" t="inlineStr">
        <is>
          <t>N/A</t>
        </is>
      </c>
      <c r="O6642" t="inlineStr">
        <is>
          <t>N/A</t>
        </is>
      </c>
      <c r="P6642" t="inlineStr">
        <is>
          <t>Convention minère et Code minier (Fond Social et Fond d'appui au developpement local)</t>
        </is>
      </c>
      <c r="Q6642" t="inlineStr">
        <is>
          <t>NA</t>
        </is>
      </c>
      <c r="R6642" s="22"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2" t="n">
        <v>-683000</v>
      </c>
      <c r="K6643" t="inlineStr">
        <is>
          <t>07/11/2023</t>
        </is>
      </c>
      <c r="L6643" t="inlineStr">
        <is>
          <t>Appuis divers</t>
        </is>
      </c>
      <c r="R6643" s="22"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2" t="n">
        <v>-683000</v>
      </c>
      <c r="K6644" t="inlineStr">
        <is>
          <t>30/11/2023</t>
        </is>
      </c>
      <c r="L6644" t="inlineStr">
        <is>
          <t>Appuis divers</t>
        </is>
      </c>
      <c r="R6644" s="22"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2" t="n">
        <v>-803000</v>
      </c>
      <c r="K6645" t="inlineStr">
        <is>
          <t>30/11/2023</t>
        </is>
      </c>
      <c r="L6645" t="inlineStr">
        <is>
          <t>Appuis divers</t>
        </is>
      </c>
      <c r="R6645" s="22"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2" t="n">
        <v>-1000000</v>
      </c>
      <c r="K6646" s="23"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2"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2" t="n">
        <v>-1000000</v>
      </c>
      <c r="K6647" s="23" t="n">
        <v>45534</v>
      </c>
      <c r="M6647" t="inlineStr">
        <is>
          <t>129727</t>
        </is>
      </c>
      <c r="N6647" t="inlineStr">
        <is>
          <t>N/A</t>
        </is>
      </c>
      <c r="O6647" t="inlineStr">
        <is>
          <t>N/A</t>
        </is>
      </c>
      <c r="P6647" t="inlineStr">
        <is>
          <t>Convention minère et Code minier (Fond Social et Fond d'appui au developpement local)</t>
        </is>
      </c>
      <c r="Q6647" t="inlineStr">
        <is>
          <t>NA</t>
        </is>
      </c>
      <c r="R6647" s="22"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2" t="n">
        <v>-1140000</v>
      </c>
      <c r="K6648" t="inlineStr">
        <is>
          <t>28/08/2023</t>
        </is>
      </c>
      <c r="L6648" t="inlineStr">
        <is>
          <t>Appuis divers</t>
        </is>
      </c>
      <c r="R6648" s="22"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2" t="n">
        <v>-1250000</v>
      </c>
      <c r="K6649" t="inlineStr">
        <is>
          <t>27/03/2023</t>
        </is>
      </c>
      <c r="L6649" t="inlineStr">
        <is>
          <t>Appuis divers</t>
        </is>
      </c>
      <c r="R6649" s="22"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2" t="n">
        <v>-1256087.33</v>
      </c>
      <c r="K6650" s="23" t="n">
        <v>45639</v>
      </c>
      <c r="M6650" t="inlineStr">
        <is>
          <t>144866</t>
        </is>
      </c>
      <c r="P6650" t="inlineStr">
        <is>
          <t>Convention minère et Code minier (Fond Social et Fond d'appui au developpement local)</t>
        </is>
      </c>
      <c r="R6650" s="22"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2" t="n">
        <v>-1500000</v>
      </c>
      <c r="K6651" t="inlineStr">
        <is>
          <t>31/12/2023</t>
        </is>
      </c>
      <c r="L6651" t="inlineStr">
        <is>
          <t>Appuis divers</t>
        </is>
      </c>
      <c r="R6651" s="22"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2" t="n">
        <v>-1500000</v>
      </c>
      <c r="K6652" t="inlineStr">
        <is>
          <t>28/08/2023</t>
        </is>
      </c>
      <c r="L6652" t="inlineStr">
        <is>
          <t>Appuis divers</t>
        </is>
      </c>
      <c r="R6652" s="22"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2" t="n">
        <v>-1600000</v>
      </c>
      <c r="K6653" t="inlineStr">
        <is>
          <t>2024-06-30</t>
        </is>
      </c>
      <c r="L6653" t="inlineStr">
        <is>
          <t>Appuis divers</t>
        </is>
      </c>
      <c r="R6653" s="22"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2" t="n">
        <v>-1800000</v>
      </c>
      <c r="K6654" t="inlineStr">
        <is>
          <t>31/12/2023</t>
        </is>
      </c>
      <c r="L6654" t="inlineStr">
        <is>
          <t>Appuis divers</t>
        </is>
      </c>
      <c r="R6654" s="22"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2" t="n">
        <v>-2000000</v>
      </c>
      <c r="K6655" t="inlineStr">
        <is>
          <t>27/07/2023</t>
        </is>
      </c>
      <c r="L6655" t="inlineStr">
        <is>
          <t>Appuis divers</t>
        </is>
      </c>
      <c r="R6655" s="22"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2" t="n">
        <v>-2250000</v>
      </c>
      <c r="K6656" t="inlineStr">
        <is>
          <t>28/08/2023</t>
        </is>
      </c>
      <c r="L6656" t="inlineStr">
        <is>
          <t>Appuis divers</t>
        </is>
      </c>
      <c r="R6656" s="22"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2" t="n">
        <v>-2413477</v>
      </c>
      <c r="K6657" t="inlineStr">
        <is>
          <t>31/12/2023</t>
        </is>
      </c>
      <c r="L6657" t="inlineStr">
        <is>
          <t>Appuis divers</t>
        </is>
      </c>
      <c r="R6657" s="22"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2" t="n">
        <v>-3394900</v>
      </c>
      <c r="K6658" t="inlineStr">
        <is>
          <t>31/10/2023</t>
        </is>
      </c>
      <c r="L6658" t="inlineStr">
        <is>
          <t>Appuis divers</t>
        </is>
      </c>
      <c r="R6658" s="22"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2" t="n">
        <v>-3500000</v>
      </c>
      <c r="K6659" t="inlineStr">
        <is>
          <t>30/11/2023</t>
        </is>
      </c>
      <c r="L6659" t="inlineStr">
        <is>
          <t>Appuis divers</t>
        </is>
      </c>
      <c r="R6659" s="22"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2" t="n">
        <v>-3739835</v>
      </c>
      <c r="K6660" t="inlineStr">
        <is>
          <t>30/11/2023</t>
        </is>
      </c>
      <c r="L6660" t="inlineStr">
        <is>
          <t>Appuis divers</t>
        </is>
      </c>
      <c r="R6660" s="22"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2" t="n">
        <v>-4178193</v>
      </c>
      <c r="K6661" t="inlineStr">
        <is>
          <t>31/10/2023</t>
        </is>
      </c>
      <c r="L6661" t="inlineStr">
        <is>
          <t>Appuis divers</t>
        </is>
      </c>
      <c r="R6661" s="22"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2" t="n">
        <v>7336</v>
      </c>
      <c r="K6662" t="inlineStr">
        <is>
          <t>Education</t>
        </is>
      </c>
      <c r="L6662" t="inlineStr">
        <is>
          <t>Education</t>
        </is>
      </c>
      <c r="M6662" t="inlineStr">
        <is>
          <t xml:space="preserve">Néant </t>
        </is>
      </c>
      <c r="N6662" t="inlineStr">
        <is>
          <t xml:space="preserve">Néant </t>
        </is>
      </c>
      <c r="O6662" t="inlineStr">
        <is>
          <t>Nc</t>
        </is>
      </c>
      <c r="R6662" s="22"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2" t="n">
        <v>7336</v>
      </c>
      <c r="K6663" t="inlineStr">
        <is>
          <t>Education</t>
        </is>
      </c>
      <c r="L6663" t="inlineStr">
        <is>
          <t>Education</t>
        </is>
      </c>
      <c r="M6663" t="inlineStr">
        <is>
          <t xml:space="preserve">Néant </t>
        </is>
      </c>
      <c r="N6663" t="inlineStr">
        <is>
          <t xml:space="preserve">Néant </t>
        </is>
      </c>
      <c r="O6663" t="inlineStr">
        <is>
          <t>Nc</t>
        </is>
      </c>
      <c r="R6663" s="22"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2" t="n">
        <v>7640</v>
      </c>
      <c r="K6664" t="inlineStr">
        <is>
          <t>Education</t>
        </is>
      </c>
      <c r="L6664" t="inlineStr">
        <is>
          <t>Education</t>
        </is>
      </c>
      <c r="M6664" t="inlineStr">
        <is>
          <t xml:space="preserve">Néant </t>
        </is>
      </c>
      <c r="N6664" t="inlineStr">
        <is>
          <t xml:space="preserve">Néant </t>
        </is>
      </c>
      <c r="O6664" t="inlineStr">
        <is>
          <t>Nc</t>
        </is>
      </c>
      <c r="R6664" s="22"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2" t="n">
        <v>7336</v>
      </c>
      <c r="K6665" t="inlineStr">
        <is>
          <t>Education</t>
        </is>
      </c>
      <c r="L6665" t="inlineStr">
        <is>
          <t>Education</t>
        </is>
      </c>
      <c r="M6665" t="inlineStr">
        <is>
          <t xml:space="preserve">Néant </t>
        </is>
      </c>
      <c r="N6665" t="inlineStr">
        <is>
          <t xml:space="preserve">Néant </t>
        </is>
      </c>
      <c r="O6665" t="inlineStr">
        <is>
          <t>Nc</t>
        </is>
      </c>
      <c r="R6665" s="22"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2" t="n">
        <v>7336</v>
      </c>
      <c r="K6666" t="inlineStr">
        <is>
          <t>Education</t>
        </is>
      </c>
      <c r="L6666" t="inlineStr">
        <is>
          <t>Education</t>
        </is>
      </c>
      <c r="M6666" t="inlineStr">
        <is>
          <t xml:space="preserve">Néant </t>
        </is>
      </c>
      <c r="N6666" t="inlineStr">
        <is>
          <t xml:space="preserve">Néant </t>
        </is>
      </c>
      <c r="O6666" t="inlineStr">
        <is>
          <t>Nc</t>
        </is>
      </c>
      <c r="R6666" s="22"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2"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2"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2" t="n">
        <v>7426</v>
      </c>
      <c r="K6669" t="inlineStr">
        <is>
          <t>Education</t>
        </is>
      </c>
      <c r="L6669" t="inlineStr">
        <is>
          <t>Education</t>
        </is>
      </c>
      <c r="M6669" t="inlineStr">
        <is>
          <t xml:space="preserve">Néant </t>
        </is>
      </c>
      <c r="N6669" t="inlineStr">
        <is>
          <t xml:space="preserve">Néant </t>
        </is>
      </c>
      <c r="O6669" t="inlineStr">
        <is>
          <t>Nc</t>
        </is>
      </c>
      <c r="R6669" s="22"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2" t="n">
        <v>7426</v>
      </c>
      <c r="K6670" t="inlineStr">
        <is>
          <t>Education</t>
        </is>
      </c>
      <c r="L6670" t="inlineStr">
        <is>
          <t>Education</t>
        </is>
      </c>
      <c r="M6670" t="inlineStr">
        <is>
          <t xml:space="preserve">Néant </t>
        </is>
      </c>
      <c r="N6670" t="inlineStr">
        <is>
          <t xml:space="preserve">Néant </t>
        </is>
      </c>
      <c r="O6670" t="inlineStr">
        <is>
          <t>Nc</t>
        </is>
      </c>
      <c r="R6670" s="22"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2" t="n">
        <v>7426</v>
      </c>
      <c r="K6671" t="inlineStr">
        <is>
          <t>Education</t>
        </is>
      </c>
      <c r="L6671" t="inlineStr">
        <is>
          <t>Education</t>
        </is>
      </c>
      <c r="M6671" t="inlineStr">
        <is>
          <t xml:space="preserve">Néant </t>
        </is>
      </c>
      <c r="N6671" t="inlineStr">
        <is>
          <t xml:space="preserve">Néant </t>
        </is>
      </c>
      <c r="O6671" t="inlineStr">
        <is>
          <t>Nc</t>
        </is>
      </c>
      <c r="R6671" s="22"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2" t="n">
        <v>7426</v>
      </c>
      <c r="K6672" t="inlineStr">
        <is>
          <t>Education</t>
        </is>
      </c>
      <c r="L6672" t="inlineStr">
        <is>
          <t>Education</t>
        </is>
      </c>
      <c r="M6672" t="inlineStr">
        <is>
          <t xml:space="preserve">Néant </t>
        </is>
      </c>
      <c r="N6672" t="inlineStr">
        <is>
          <t xml:space="preserve">Néant </t>
        </is>
      </c>
      <c r="O6672" t="inlineStr">
        <is>
          <t>Nc</t>
        </is>
      </c>
      <c r="R6672" s="22"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2" t="n">
        <v>7426</v>
      </c>
      <c r="K6673" t="inlineStr">
        <is>
          <t>Education</t>
        </is>
      </c>
      <c r="L6673" t="inlineStr">
        <is>
          <t>Education</t>
        </is>
      </c>
      <c r="M6673" t="inlineStr">
        <is>
          <t xml:space="preserve">Néant </t>
        </is>
      </c>
      <c r="N6673" t="inlineStr">
        <is>
          <t xml:space="preserve">Néant </t>
        </is>
      </c>
      <c r="O6673" t="inlineStr">
        <is>
          <t>Nc</t>
        </is>
      </c>
      <c r="R6673" s="22"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2" t="n">
        <v>7426</v>
      </c>
      <c r="K6674" t="inlineStr">
        <is>
          <t>Education</t>
        </is>
      </c>
      <c r="L6674" t="inlineStr">
        <is>
          <t>Education</t>
        </is>
      </c>
      <c r="M6674" t="inlineStr">
        <is>
          <t xml:space="preserve">Néant </t>
        </is>
      </c>
      <c r="N6674" t="inlineStr">
        <is>
          <t xml:space="preserve">Néant </t>
        </is>
      </c>
      <c r="O6674" t="inlineStr">
        <is>
          <t>Nc</t>
        </is>
      </c>
      <c r="R6674" s="22"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2" t="n">
        <v>7426</v>
      </c>
      <c r="K6675" t="inlineStr">
        <is>
          <t>Education</t>
        </is>
      </c>
      <c r="L6675" t="inlineStr">
        <is>
          <t>Education</t>
        </is>
      </c>
      <c r="M6675" t="inlineStr">
        <is>
          <t xml:space="preserve">Néant </t>
        </is>
      </c>
      <c r="N6675" t="inlineStr">
        <is>
          <t xml:space="preserve">Néant </t>
        </is>
      </c>
      <c r="O6675" t="inlineStr">
        <is>
          <t>Nc</t>
        </is>
      </c>
      <c r="R6675" s="22"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2" t="n">
        <v>7426</v>
      </c>
      <c r="K6676" t="inlineStr">
        <is>
          <t>Education</t>
        </is>
      </c>
      <c r="L6676" t="inlineStr">
        <is>
          <t>Education</t>
        </is>
      </c>
      <c r="M6676" t="inlineStr">
        <is>
          <t xml:space="preserve">Néant </t>
        </is>
      </c>
      <c r="N6676" t="inlineStr">
        <is>
          <t xml:space="preserve">Néant </t>
        </is>
      </c>
      <c r="O6676" t="inlineStr">
        <is>
          <t>Nc</t>
        </is>
      </c>
      <c r="R6676" s="22"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2" t="n">
        <v>7426</v>
      </c>
      <c r="K6677" t="inlineStr">
        <is>
          <t>Education</t>
        </is>
      </c>
      <c r="L6677" t="inlineStr">
        <is>
          <t>Education</t>
        </is>
      </c>
      <c r="M6677" t="inlineStr">
        <is>
          <t xml:space="preserve">Néant </t>
        </is>
      </c>
      <c r="N6677" t="inlineStr">
        <is>
          <t xml:space="preserve">Néant </t>
        </is>
      </c>
      <c r="O6677" t="inlineStr">
        <is>
          <t>Nc</t>
        </is>
      </c>
      <c r="R6677" s="22"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2" t="n">
        <v>7426</v>
      </c>
      <c r="K6678" t="inlineStr">
        <is>
          <t>Education</t>
        </is>
      </c>
      <c r="L6678" t="inlineStr">
        <is>
          <t>Education</t>
        </is>
      </c>
      <c r="M6678" t="inlineStr">
        <is>
          <t xml:space="preserve">Néant </t>
        </is>
      </c>
      <c r="N6678" t="inlineStr">
        <is>
          <t xml:space="preserve">Néant </t>
        </is>
      </c>
      <c r="O6678" t="inlineStr">
        <is>
          <t>Nc</t>
        </is>
      </c>
      <c r="R6678" s="22"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2" t="n">
        <v>7426</v>
      </c>
      <c r="K6679" t="inlineStr">
        <is>
          <t>Education</t>
        </is>
      </c>
      <c r="L6679" t="inlineStr">
        <is>
          <t>Education</t>
        </is>
      </c>
      <c r="M6679" t="inlineStr">
        <is>
          <t xml:space="preserve">Néant </t>
        </is>
      </c>
      <c r="N6679" t="inlineStr">
        <is>
          <t xml:space="preserve">Néant </t>
        </is>
      </c>
      <c r="O6679" t="inlineStr">
        <is>
          <t>Nc</t>
        </is>
      </c>
      <c r="R6679" s="22"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2" t="n">
        <v>7426</v>
      </c>
      <c r="K6680" t="inlineStr">
        <is>
          <t>Education</t>
        </is>
      </c>
      <c r="L6680" t="inlineStr">
        <is>
          <t>Education</t>
        </is>
      </c>
      <c r="M6680" t="inlineStr">
        <is>
          <t xml:space="preserve">Néant </t>
        </is>
      </c>
      <c r="N6680" t="inlineStr">
        <is>
          <t xml:space="preserve">Néant </t>
        </is>
      </c>
      <c r="O6680" t="inlineStr">
        <is>
          <t>Nc</t>
        </is>
      </c>
      <c r="R6680" s="22"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2" t="n">
        <v>7426</v>
      </c>
      <c r="K6681" t="inlineStr">
        <is>
          <t>Education</t>
        </is>
      </c>
      <c r="L6681" t="inlineStr">
        <is>
          <t>Education</t>
        </is>
      </c>
      <c r="M6681" t="inlineStr">
        <is>
          <t xml:space="preserve">Néant </t>
        </is>
      </c>
      <c r="N6681" t="inlineStr">
        <is>
          <t xml:space="preserve">Néant </t>
        </is>
      </c>
      <c r="O6681" t="inlineStr">
        <is>
          <t>Nc</t>
        </is>
      </c>
      <c r="R6681" s="22"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2" t="n">
        <v>7426</v>
      </c>
      <c r="K6682" t="inlineStr">
        <is>
          <t>Education</t>
        </is>
      </c>
      <c r="L6682" t="inlineStr">
        <is>
          <t>Education</t>
        </is>
      </c>
      <c r="M6682" t="inlineStr">
        <is>
          <t xml:space="preserve">Néant </t>
        </is>
      </c>
      <c r="N6682" t="inlineStr">
        <is>
          <t xml:space="preserve">Néant </t>
        </is>
      </c>
      <c r="O6682" t="inlineStr">
        <is>
          <t>Nc</t>
        </is>
      </c>
      <c r="R6682" s="22"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2" t="n">
        <v>7426</v>
      </c>
      <c r="K6683" t="inlineStr">
        <is>
          <t>Education</t>
        </is>
      </c>
      <c r="L6683" t="inlineStr">
        <is>
          <t>Education</t>
        </is>
      </c>
      <c r="M6683" t="inlineStr">
        <is>
          <t xml:space="preserve">Néant </t>
        </is>
      </c>
      <c r="N6683" t="inlineStr">
        <is>
          <t xml:space="preserve">Néant </t>
        </is>
      </c>
      <c r="O6683" t="inlineStr">
        <is>
          <t>Nc</t>
        </is>
      </c>
      <c r="R6683" s="22"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2" t="n">
        <v>7426</v>
      </c>
      <c r="K6684" t="inlineStr">
        <is>
          <t>Education</t>
        </is>
      </c>
      <c r="L6684" t="inlineStr">
        <is>
          <t>Education</t>
        </is>
      </c>
      <c r="M6684" t="inlineStr">
        <is>
          <t xml:space="preserve">Néant </t>
        </is>
      </c>
      <c r="N6684" t="inlineStr">
        <is>
          <t xml:space="preserve">Néant </t>
        </is>
      </c>
      <c r="O6684" t="inlineStr">
        <is>
          <t>Nc</t>
        </is>
      </c>
      <c r="R6684" s="22"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2" t="n">
        <v>7487</v>
      </c>
      <c r="K6685" t="inlineStr">
        <is>
          <t>Education</t>
        </is>
      </c>
      <c r="L6685" t="inlineStr">
        <is>
          <t>Education</t>
        </is>
      </c>
      <c r="M6685" t="inlineStr">
        <is>
          <t xml:space="preserve">Néant </t>
        </is>
      </c>
      <c r="N6685" t="inlineStr">
        <is>
          <t xml:space="preserve">Néant </t>
        </is>
      </c>
      <c r="O6685" t="inlineStr">
        <is>
          <t>Nc</t>
        </is>
      </c>
      <c r="R6685" s="22"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2" t="n">
        <v>7487</v>
      </c>
      <c r="K6686" t="inlineStr">
        <is>
          <t>Education</t>
        </is>
      </c>
      <c r="L6686" t="inlineStr">
        <is>
          <t>Education</t>
        </is>
      </c>
      <c r="M6686" t="inlineStr">
        <is>
          <t xml:space="preserve">Néant </t>
        </is>
      </c>
      <c r="N6686" t="inlineStr">
        <is>
          <t xml:space="preserve">Néant </t>
        </is>
      </c>
      <c r="O6686" t="inlineStr">
        <is>
          <t>Nc</t>
        </is>
      </c>
      <c r="R6686" s="22"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2" t="n">
        <v>7518</v>
      </c>
      <c r="K6687" t="inlineStr">
        <is>
          <t>Education</t>
        </is>
      </c>
      <c r="L6687" t="inlineStr">
        <is>
          <t>Education</t>
        </is>
      </c>
      <c r="M6687" t="inlineStr">
        <is>
          <t xml:space="preserve">Néant </t>
        </is>
      </c>
      <c r="N6687" t="inlineStr">
        <is>
          <t xml:space="preserve">Néant </t>
        </is>
      </c>
      <c r="O6687" t="inlineStr">
        <is>
          <t>Nc</t>
        </is>
      </c>
      <c r="R6687" s="22"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2" t="n">
        <v>7518</v>
      </c>
      <c r="K6688" t="inlineStr">
        <is>
          <t>Education</t>
        </is>
      </c>
      <c r="L6688" t="inlineStr">
        <is>
          <t>Education</t>
        </is>
      </c>
      <c r="M6688" t="inlineStr">
        <is>
          <t xml:space="preserve">Néant </t>
        </is>
      </c>
      <c r="N6688" t="inlineStr">
        <is>
          <t xml:space="preserve">Néant </t>
        </is>
      </c>
      <c r="O6688" t="inlineStr">
        <is>
          <t>Nc</t>
        </is>
      </c>
      <c r="R6688" s="22"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2" t="n">
        <v>7518</v>
      </c>
      <c r="K6689" t="inlineStr">
        <is>
          <t>Education</t>
        </is>
      </c>
      <c r="L6689" t="inlineStr">
        <is>
          <t>Education</t>
        </is>
      </c>
      <c r="M6689" t="inlineStr">
        <is>
          <t xml:space="preserve">Néant </t>
        </is>
      </c>
      <c r="N6689" t="inlineStr">
        <is>
          <t xml:space="preserve">Néant </t>
        </is>
      </c>
      <c r="O6689" t="inlineStr">
        <is>
          <t>Nc</t>
        </is>
      </c>
      <c r="R6689" s="22"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2" t="n">
        <v>7518</v>
      </c>
      <c r="K6690" t="inlineStr">
        <is>
          <t>Education</t>
        </is>
      </c>
      <c r="L6690" t="inlineStr">
        <is>
          <t>Education</t>
        </is>
      </c>
      <c r="M6690" t="inlineStr">
        <is>
          <t xml:space="preserve">Néant </t>
        </is>
      </c>
      <c r="N6690" t="inlineStr">
        <is>
          <t xml:space="preserve">Néant </t>
        </is>
      </c>
      <c r="O6690" t="inlineStr">
        <is>
          <t>Nc</t>
        </is>
      </c>
      <c r="R6690" s="22"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2" t="n">
        <v>7518</v>
      </c>
      <c r="K6691" t="inlineStr">
        <is>
          <t>Education</t>
        </is>
      </c>
      <c r="L6691" t="inlineStr">
        <is>
          <t>Education</t>
        </is>
      </c>
      <c r="M6691" t="inlineStr">
        <is>
          <t xml:space="preserve">Néant </t>
        </is>
      </c>
      <c r="N6691" t="inlineStr">
        <is>
          <t xml:space="preserve">Néant </t>
        </is>
      </c>
      <c r="O6691" t="inlineStr">
        <is>
          <t>Nc</t>
        </is>
      </c>
      <c r="R6691" s="22"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2" t="n">
        <v>7518</v>
      </c>
      <c r="K6692" t="inlineStr">
        <is>
          <t>Education</t>
        </is>
      </c>
      <c r="L6692" t="inlineStr">
        <is>
          <t>Education</t>
        </is>
      </c>
      <c r="M6692" t="inlineStr">
        <is>
          <t xml:space="preserve">Néant </t>
        </is>
      </c>
      <c r="N6692" t="inlineStr">
        <is>
          <t xml:space="preserve">Néant </t>
        </is>
      </c>
      <c r="O6692" t="inlineStr">
        <is>
          <t>Nc</t>
        </is>
      </c>
      <c r="R6692" s="22"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2" t="n">
        <v>7518</v>
      </c>
      <c r="K6693" t="inlineStr">
        <is>
          <t>Education</t>
        </is>
      </c>
      <c r="L6693" t="inlineStr">
        <is>
          <t>Education</t>
        </is>
      </c>
      <c r="M6693" t="inlineStr">
        <is>
          <t xml:space="preserve">Néant </t>
        </is>
      </c>
      <c r="N6693" t="inlineStr">
        <is>
          <t xml:space="preserve">Néant </t>
        </is>
      </c>
      <c r="O6693" t="inlineStr">
        <is>
          <t>Nc</t>
        </is>
      </c>
      <c r="R6693" s="22"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2" t="n">
        <v>7518</v>
      </c>
      <c r="K6694" t="inlineStr">
        <is>
          <t>Education</t>
        </is>
      </c>
      <c r="L6694" t="inlineStr">
        <is>
          <t>Education</t>
        </is>
      </c>
      <c r="M6694" t="inlineStr">
        <is>
          <t xml:space="preserve">Néant </t>
        </is>
      </c>
      <c r="N6694" t="inlineStr">
        <is>
          <t xml:space="preserve">Néant </t>
        </is>
      </c>
      <c r="O6694" t="inlineStr">
        <is>
          <t>Nc</t>
        </is>
      </c>
      <c r="R6694" s="22"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2" t="n">
        <v>7518</v>
      </c>
      <c r="K6695" t="inlineStr">
        <is>
          <t>Education</t>
        </is>
      </c>
      <c r="L6695" t="inlineStr">
        <is>
          <t>Education</t>
        </is>
      </c>
      <c r="M6695" t="inlineStr">
        <is>
          <t xml:space="preserve">Néant </t>
        </is>
      </c>
      <c r="N6695" t="inlineStr">
        <is>
          <t xml:space="preserve">Néant </t>
        </is>
      </c>
      <c r="O6695" t="inlineStr">
        <is>
          <t>Nc</t>
        </is>
      </c>
      <c r="R6695" s="22"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2" t="n">
        <v>7518</v>
      </c>
      <c r="K6696" t="inlineStr">
        <is>
          <t>Education</t>
        </is>
      </c>
      <c r="L6696" t="inlineStr">
        <is>
          <t>Education</t>
        </is>
      </c>
      <c r="M6696" t="inlineStr">
        <is>
          <t xml:space="preserve">Néant </t>
        </is>
      </c>
      <c r="N6696" t="inlineStr">
        <is>
          <t xml:space="preserve">Néant </t>
        </is>
      </c>
      <c r="O6696" t="inlineStr">
        <is>
          <t>Nc</t>
        </is>
      </c>
      <c r="R6696" s="22"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2" t="n">
        <v>7518</v>
      </c>
      <c r="K6697" t="inlineStr">
        <is>
          <t>Education</t>
        </is>
      </c>
      <c r="L6697" t="inlineStr">
        <is>
          <t>Education</t>
        </is>
      </c>
      <c r="M6697" t="inlineStr">
        <is>
          <t xml:space="preserve">Néant </t>
        </is>
      </c>
      <c r="N6697" t="inlineStr">
        <is>
          <t xml:space="preserve">Néant </t>
        </is>
      </c>
      <c r="O6697" t="inlineStr">
        <is>
          <t>Nc</t>
        </is>
      </c>
      <c r="R6697" s="22"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2" t="n">
        <v>7518</v>
      </c>
      <c r="K6698" t="inlineStr">
        <is>
          <t>Education</t>
        </is>
      </c>
      <c r="L6698" t="inlineStr">
        <is>
          <t>Education</t>
        </is>
      </c>
      <c r="M6698" t="inlineStr">
        <is>
          <t xml:space="preserve">Néant </t>
        </is>
      </c>
      <c r="N6698" t="inlineStr">
        <is>
          <t xml:space="preserve">Néant </t>
        </is>
      </c>
      <c r="O6698" t="inlineStr">
        <is>
          <t>Nc</t>
        </is>
      </c>
      <c r="R6698" s="22"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2" t="n">
        <v>7518</v>
      </c>
      <c r="K6699" t="inlineStr">
        <is>
          <t>Education</t>
        </is>
      </c>
      <c r="L6699" t="inlineStr">
        <is>
          <t>Education</t>
        </is>
      </c>
      <c r="M6699" t="inlineStr">
        <is>
          <t xml:space="preserve">Néant </t>
        </is>
      </c>
      <c r="N6699" t="inlineStr">
        <is>
          <t xml:space="preserve">Néant </t>
        </is>
      </c>
      <c r="O6699" t="inlineStr">
        <is>
          <t>Nc</t>
        </is>
      </c>
      <c r="R6699" s="22"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2"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2"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2" t="n">
        <v>7579</v>
      </c>
      <c r="K6702" t="inlineStr">
        <is>
          <t>Education</t>
        </is>
      </c>
      <c r="L6702" t="inlineStr">
        <is>
          <t>Education</t>
        </is>
      </c>
      <c r="M6702" t="inlineStr">
        <is>
          <t xml:space="preserve">Néant </t>
        </is>
      </c>
      <c r="N6702" t="inlineStr">
        <is>
          <t xml:space="preserve">Néant </t>
        </is>
      </c>
      <c r="O6702" t="inlineStr">
        <is>
          <t>Nc</t>
        </is>
      </c>
      <c r="R6702" s="22"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2" t="n">
        <v>7579</v>
      </c>
      <c r="K6703" t="inlineStr">
        <is>
          <t>Education</t>
        </is>
      </c>
      <c r="L6703" t="inlineStr">
        <is>
          <t>Education</t>
        </is>
      </c>
      <c r="M6703" t="inlineStr">
        <is>
          <t xml:space="preserve">Néant </t>
        </is>
      </c>
      <c r="N6703" t="inlineStr">
        <is>
          <t xml:space="preserve">Néant </t>
        </is>
      </c>
      <c r="O6703" t="inlineStr">
        <is>
          <t>Nc</t>
        </is>
      </c>
      <c r="R6703" s="22"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2" t="n">
        <v>7610</v>
      </c>
      <c r="K6704" t="inlineStr">
        <is>
          <t>Education</t>
        </is>
      </c>
      <c r="L6704" t="inlineStr">
        <is>
          <t>Education</t>
        </is>
      </c>
      <c r="M6704" t="inlineStr">
        <is>
          <t xml:space="preserve">Néant </t>
        </is>
      </c>
      <c r="N6704" t="inlineStr">
        <is>
          <t xml:space="preserve">Néant </t>
        </is>
      </c>
      <c r="O6704" t="inlineStr">
        <is>
          <t>Nc</t>
        </is>
      </c>
      <c r="R6704" s="22"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2" t="n">
        <v>7610</v>
      </c>
      <c r="K6705" t="inlineStr">
        <is>
          <t>Education</t>
        </is>
      </c>
      <c r="L6705" t="inlineStr">
        <is>
          <t>Education</t>
        </is>
      </c>
      <c r="M6705" t="inlineStr">
        <is>
          <t xml:space="preserve">Néant </t>
        </is>
      </c>
      <c r="N6705" t="inlineStr">
        <is>
          <t xml:space="preserve">Néant </t>
        </is>
      </c>
      <c r="O6705" t="inlineStr">
        <is>
          <t>Nc</t>
        </is>
      </c>
      <c r="R6705" s="22"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2" t="n">
        <v>7610</v>
      </c>
      <c r="K6706" t="inlineStr">
        <is>
          <t>Education</t>
        </is>
      </c>
      <c r="L6706" t="inlineStr">
        <is>
          <t>Education</t>
        </is>
      </c>
      <c r="M6706" t="inlineStr">
        <is>
          <t xml:space="preserve">Néant </t>
        </is>
      </c>
      <c r="N6706" t="inlineStr">
        <is>
          <t xml:space="preserve">Néant </t>
        </is>
      </c>
      <c r="O6706" t="inlineStr">
        <is>
          <t>Nc</t>
        </is>
      </c>
      <c r="R6706" s="22"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2" t="n">
        <v>7610</v>
      </c>
      <c r="K6707" t="inlineStr">
        <is>
          <t>Education</t>
        </is>
      </c>
      <c r="L6707" t="inlineStr">
        <is>
          <t>Education</t>
        </is>
      </c>
      <c r="M6707" t="inlineStr">
        <is>
          <t xml:space="preserve">Néant </t>
        </is>
      </c>
      <c r="N6707" t="inlineStr">
        <is>
          <t xml:space="preserve">Néant </t>
        </is>
      </c>
      <c r="O6707" t="inlineStr">
        <is>
          <t>Nc</t>
        </is>
      </c>
      <c r="R6707" s="22"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2" t="n">
        <v>7610</v>
      </c>
      <c r="K6708" t="inlineStr">
        <is>
          <t>Education</t>
        </is>
      </c>
      <c r="L6708" t="inlineStr">
        <is>
          <t>Education</t>
        </is>
      </c>
      <c r="M6708" t="inlineStr">
        <is>
          <t xml:space="preserve">Néant </t>
        </is>
      </c>
      <c r="N6708" t="inlineStr">
        <is>
          <t xml:space="preserve">Néant </t>
        </is>
      </c>
      <c r="O6708" t="inlineStr">
        <is>
          <t>Nc</t>
        </is>
      </c>
      <c r="R6708" s="22"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2" t="n">
        <v>7610</v>
      </c>
      <c r="K6709" t="inlineStr">
        <is>
          <t>Education</t>
        </is>
      </c>
      <c r="L6709" t="inlineStr">
        <is>
          <t>Education</t>
        </is>
      </c>
      <c r="M6709" t="inlineStr">
        <is>
          <t xml:space="preserve">Néant </t>
        </is>
      </c>
      <c r="N6709" t="inlineStr">
        <is>
          <t xml:space="preserve">Néant </t>
        </is>
      </c>
      <c r="O6709" t="inlineStr">
        <is>
          <t>Nc</t>
        </is>
      </c>
      <c r="R6709" s="22"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2" t="n">
        <v>7610</v>
      </c>
      <c r="K6710" t="inlineStr">
        <is>
          <t>Education</t>
        </is>
      </c>
      <c r="L6710" t="inlineStr">
        <is>
          <t>Education</t>
        </is>
      </c>
      <c r="M6710" t="inlineStr">
        <is>
          <t xml:space="preserve">Néant </t>
        </is>
      </c>
      <c r="N6710" t="inlineStr">
        <is>
          <t xml:space="preserve">Néant </t>
        </is>
      </c>
      <c r="O6710" t="inlineStr">
        <is>
          <t>Nc</t>
        </is>
      </c>
      <c r="R6710" s="22"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2" t="n">
        <v>7610</v>
      </c>
      <c r="K6711" t="inlineStr">
        <is>
          <t>Education</t>
        </is>
      </c>
      <c r="L6711" t="inlineStr">
        <is>
          <t>Education</t>
        </is>
      </c>
      <c r="M6711" t="inlineStr">
        <is>
          <t xml:space="preserve">Néant </t>
        </is>
      </c>
      <c r="N6711" t="inlineStr">
        <is>
          <t xml:space="preserve">Néant </t>
        </is>
      </c>
      <c r="O6711" t="inlineStr">
        <is>
          <t>Nc</t>
        </is>
      </c>
      <c r="R6711" s="22"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2" t="n">
        <v>7640</v>
      </c>
      <c r="K6712" t="inlineStr">
        <is>
          <t>Education</t>
        </is>
      </c>
      <c r="L6712" t="inlineStr">
        <is>
          <t>Education</t>
        </is>
      </c>
      <c r="M6712" t="inlineStr">
        <is>
          <t xml:space="preserve">Néant </t>
        </is>
      </c>
      <c r="N6712" t="inlineStr">
        <is>
          <t xml:space="preserve">Néant </t>
        </is>
      </c>
      <c r="O6712" t="inlineStr">
        <is>
          <t>Nc</t>
        </is>
      </c>
      <c r="R6712" s="22"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2" t="n">
        <v>7640</v>
      </c>
      <c r="K6713" t="inlineStr">
        <is>
          <t>Education</t>
        </is>
      </c>
      <c r="L6713" t="inlineStr">
        <is>
          <t>Education</t>
        </is>
      </c>
      <c r="M6713" t="inlineStr">
        <is>
          <t xml:space="preserve">Néant </t>
        </is>
      </c>
      <c r="N6713" t="inlineStr">
        <is>
          <t xml:space="preserve">Néant </t>
        </is>
      </c>
      <c r="O6713" t="inlineStr">
        <is>
          <t>Nc</t>
        </is>
      </c>
      <c r="R6713" s="22"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2"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2"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2"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2"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2"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2"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2"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2"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2"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2"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2" t="n">
        <v>7336</v>
      </c>
      <c r="K6724" t="inlineStr">
        <is>
          <t>Education</t>
        </is>
      </c>
      <c r="L6724" t="inlineStr">
        <is>
          <t>Education</t>
        </is>
      </c>
      <c r="M6724" t="inlineStr">
        <is>
          <t xml:space="preserve">Néant </t>
        </is>
      </c>
      <c r="N6724" t="inlineStr">
        <is>
          <t xml:space="preserve">Néant </t>
        </is>
      </c>
      <c r="O6724" t="inlineStr">
        <is>
          <t>Nc</t>
        </is>
      </c>
      <c r="R6724" s="22"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2" t="n">
        <v>7396</v>
      </c>
      <c r="K6725" t="inlineStr">
        <is>
          <t>Education</t>
        </is>
      </c>
      <c r="L6725" t="inlineStr">
        <is>
          <t>Education</t>
        </is>
      </c>
      <c r="M6725" t="inlineStr">
        <is>
          <t xml:space="preserve">Néant </t>
        </is>
      </c>
      <c r="N6725" t="inlineStr">
        <is>
          <t xml:space="preserve">Néant </t>
        </is>
      </c>
      <c r="O6725" t="inlineStr">
        <is>
          <t>Nc</t>
        </is>
      </c>
      <c r="R6725" s="22"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2" t="n">
        <v>7487</v>
      </c>
      <c r="K6726" t="inlineStr">
        <is>
          <t>Education</t>
        </is>
      </c>
      <c r="L6726" t="inlineStr">
        <is>
          <t>Education</t>
        </is>
      </c>
      <c r="M6726" t="inlineStr">
        <is>
          <t xml:space="preserve">Néant </t>
        </is>
      </c>
      <c r="N6726" t="inlineStr">
        <is>
          <t xml:space="preserve">Néant </t>
        </is>
      </c>
      <c r="O6726" t="inlineStr">
        <is>
          <t>Nc</t>
        </is>
      </c>
      <c r="R6726" s="22"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2" t="n">
        <v>7396</v>
      </c>
      <c r="K6727" t="inlineStr">
        <is>
          <t>Hydraulique</t>
        </is>
      </c>
      <c r="L6727" t="inlineStr">
        <is>
          <t>Hydraulique</t>
        </is>
      </c>
      <c r="M6727" t="inlineStr">
        <is>
          <t xml:space="preserve">Néant </t>
        </is>
      </c>
      <c r="N6727" t="inlineStr">
        <is>
          <t xml:space="preserve">Néant </t>
        </is>
      </c>
      <c r="O6727" t="inlineStr">
        <is>
          <t>Nc</t>
        </is>
      </c>
      <c r="R6727" s="22"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2" t="n">
        <v>7396</v>
      </c>
      <c r="K6728" t="inlineStr">
        <is>
          <t>Hydraulique</t>
        </is>
      </c>
      <c r="L6728" t="inlineStr">
        <is>
          <t>Hydraulique</t>
        </is>
      </c>
      <c r="M6728" t="inlineStr">
        <is>
          <t xml:space="preserve">Néant </t>
        </is>
      </c>
      <c r="N6728" t="inlineStr">
        <is>
          <t xml:space="preserve">Néant </t>
        </is>
      </c>
      <c r="O6728" t="inlineStr">
        <is>
          <t>Nc</t>
        </is>
      </c>
      <c r="R6728" s="22"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2" t="n">
        <v>7396</v>
      </c>
      <c r="K6729" t="inlineStr">
        <is>
          <t>Hydraulique</t>
        </is>
      </c>
      <c r="L6729" t="inlineStr">
        <is>
          <t>Hydraulique</t>
        </is>
      </c>
      <c r="M6729" t="inlineStr">
        <is>
          <t xml:space="preserve">Néant </t>
        </is>
      </c>
      <c r="N6729" t="inlineStr">
        <is>
          <t xml:space="preserve">Néant </t>
        </is>
      </c>
      <c r="O6729" t="inlineStr">
        <is>
          <t>Nc</t>
        </is>
      </c>
      <c r="R6729" s="22"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2" t="n">
        <v>7396</v>
      </c>
      <c r="K6730" t="inlineStr">
        <is>
          <t>Hydraulique</t>
        </is>
      </c>
      <c r="L6730" t="inlineStr">
        <is>
          <t>Hydraulique</t>
        </is>
      </c>
      <c r="M6730" t="inlineStr">
        <is>
          <t xml:space="preserve">Néant </t>
        </is>
      </c>
      <c r="N6730" t="inlineStr">
        <is>
          <t xml:space="preserve">Néant </t>
        </is>
      </c>
      <c r="O6730" t="inlineStr">
        <is>
          <t>Nc</t>
        </is>
      </c>
      <c r="R6730" s="22"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2" t="n">
        <v>7457</v>
      </c>
      <c r="K6731" t="inlineStr">
        <is>
          <t>Hydraulique</t>
        </is>
      </c>
      <c r="L6731" t="inlineStr">
        <is>
          <t>Hydraulique</t>
        </is>
      </c>
      <c r="M6731" t="inlineStr">
        <is>
          <t xml:space="preserve">Néant </t>
        </is>
      </c>
      <c r="N6731" t="inlineStr">
        <is>
          <t xml:space="preserve">Néant </t>
        </is>
      </c>
      <c r="O6731" t="inlineStr">
        <is>
          <t>Nc</t>
        </is>
      </c>
      <c r="R6731" s="22"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2" t="n">
        <v>7457</v>
      </c>
      <c r="K6732" t="inlineStr">
        <is>
          <t>Hydraulique</t>
        </is>
      </c>
      <c r="L6732" t="inlineStr">
        <is>
          <t>Hydraulique</t>
        </is>
      </c>
      <c r="M6732" t="inlineStr">
        <is>
          <t xml:space="preserve">Néant </t>
        </is>
      </c>
      <c r="N6732" t="inlineStr">
        <is>
          <t xml:space="preserve">Néant </t>
        </is>
      </c>
      <c r="O6732" t="inlineStr">
        <is>
          <t>Nc</t>
        </is>
      </c>
      <c r="R6732" s="22"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2" t="n">
        <v>7518</v>
      </c>
      <c r="K6733" t="inlineStr">
        <is>
          <t>Hydraulique</t>
        </is>
      </c>
      <c r="L6733" t="inlineStr">
        <is>
          <t>Hydraulique</t>
        </is>
      </c>
      <c r="M6733" t="inlineStr">
        <is>
          <t xml:space="preserve">Néant </t>
        </is>
      </c>
      <c r="N6733" t="inlineStr">
        <is>
          <t xml:space="preserve">Néant </t>
        </is>
      </c>
      <c r="O6733" t="inlineStr">
        <is>
          <t>Nc</t>
        </is>
      </c>
      <c r="R6733" s="22"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2" t="n">
        <v>7518</v>
      </c>
      <c r="K6734" t="inlineStr">
        <is>
          <t>Hydraulique</t>
        </is>
      </c>
      <c r="L6734" t="inlineStr">
        <is>
          <t>Hydraulique</t>
        </is>
      </c>
      <c r="M6734" t="inlineStr">
        <is>
          <t xml:space="preserve">Néant </t>
        </is>
      </c>
      <c r="N6734" t="inlineStr">
        <is>
          <t xml:space="preserve">Néant </t>
        </is>
      </c>
      <c r="O6734" t="inlineStr">
        <is>
          <t>Nc</t>
        </is>
      </c>
      <c r="R6734" s="22"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2" t="n">
        <v>7518</v>
      </c>
      <c r="K6735" t="inlineStr">
        <is>
          <t>Hydraulique</t>
        </is>
      </c>
      <c r="L6735" t="inlineStr">
        <is>
          <t>Hydraulique</t>
        </is>
      </c>
      <c r="M6735" t="inlineStr">
        <is>
          <t xml:space="preserve">Néant </t>
        </is>
      </c>
      <c r="N6735" t="inlineStr">
        <is>
          <t xml:space="preserve">Néant </t>
        </is>
      </c>
      <c r="O6735" t="inlineStr">
        <is>
          <t>Nc</t>
        </is>
      </c>
      <c r="R6735" s="22"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2" t="n">
        <v>7518</v>
      </c>
      <c r="K6736" t="inlineStr">
        <is>
          <t>Hydraulique</t>
        </is>
      </c>
      <c r="L6736" t="inlineStr">
        <is>
          <t>Hydraulique</t>
        </is>
      </c>
      <c r="M6736" t="inlineStr">
        <is>
          <t xml:space="preserve">Néant </t>
        </is>
      </c>
      <c r="N6736" t="inlineStr">
        <is>
          <t xml:space="preserve">Néant </t>
        </is>
      </c>
      <c r="O6736" t="inlineStr">
        <is>
          <t>Nc</t>
        </is>
      </c>
      <c r="R6736" s="22"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2" t="n">
        <v>7610</v>
      </c>
      <c r="K6737" t="inlineStr">
        <is>
          <t>Hydraulique</t>
        </is>
      </c>
      <c r="L6737" t="inlineStr">
        <is>
          <t>Hydraulique</t>
        </is>
      </c>
      <c r="M6737" t="inlineStr">
        <is>
          <t xml:space="preserve">Néant </t>
        </is>
      </c>
      <c r="N6737" t="inlineStr">
        <is>
          <t xml:space="preserve">Néant </t>
        </is>
      </c>
      <c r="O6737" t="inlineStr">
        <is>
          <t>Nc</t>
        </is>
      </c>
      <c r="R6737" s="22"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2" t="n">
        <v>7610</v>
      </c>
      <c r="K6738" t="inlineStr">
        <is>
          <t>Hydraulique</t>
        </is>
      </c>
      <c r="L6738" t="inlineStr">
        <is>
          <t>Hydraulique</t>
        </is>
      </c>
      <c r="M6738" t="inlineStr">
        <is>
          <t xml:space="preserve">Néant </t>
        </is>
      </c>
      <c r="N6738" t="inlineStr">
        <is>
          <t xml:space="preserve">Néant </t>
        </is>
      </c>
      <c r="O6738" t="inlineStr">
        <is>
          <t>Nc</t>
        </is>
      </c>
      <c r="R6738" s="22"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2" t="n">
        <v>7640</v>
      </c>
      <c r="K6739" t="inlineStr">
        <is>
          <t>Hydraulique</t>
        </is>
      </c>
      <c r="L6739" t="inlineStr">
        <is>
          <t>Hydraulique</t>
        </is>
      </c>
      <c r="M6739" t="inlineStr">
        <is>
          <t xml:space="preserve">Néant </t>
        </is>
      </c>
      <c r="N6739" t="inlineStr">
        <is>
          <t xml:space="preserve">Néant </t>
        </is>
      </c>
      <c r="O6739" t="inlineStr">
        <is>
          <t>Nc</t>
        </is>
      </c>
      <c r="R6739" s="22"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2" t="n">
        <v>7640</v>
      </c>
      <c r="K6740" t="inlineStr">
        <is>
          <t>Hydraulique</t>
        </is>
      </c>
      <c r="L6740" t="inlineStr">
        <is>
          <t>Hydraulique</t>
        </is>
      </c>
      <c r="M6740" t="inlineStr">
        <is>
          <t xml:space="preserve">Néant </t>
        </is>
      </c>
      <c r="N6740" t="inlineStr">
        <is>
          <t xml:space="preserve">Néant </t>
        </is>
      </c>
      <c r="O6740" t="inlineStr">
        <is>
          <t>Nc</t>
        </is>
      </c>
      <c r="R6740" s="22"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2" t="n">
        <v>7640</v>
      </c>
      <c r="K6741" t="inlineStr">
        <is>
          <t>Hydraulique</t>
        </is>
      </c>
      <c r="L6741" t="inlineStr">
        <is>
          <t>Hydraulique</t>
        </is>
      </c>
      <c r="M6741" t="inlineStr">
        <is>
          <t xml:space="preserve">Néant </t>
        </is>
      </c>
      <c r="N6741" t="inlineStr">
        <is>
          <t xml:space="preserve">Néant </t>
        </is>
      </c>
      <c r="O6741" t="inlineStr">
        <is>
          <t>Nc</t>
        </is>
      </c>
      <c r="R6741" s="22"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2" t="n">
        <v>7640</v>
      </c>
      <c r="K6742" t="inlineStr">
        <is>
          <t>Hydraulique</t>
        </is>
      </c>
      <c r="L6742" t="inlineStr">
        <is>
          <t>Hydraulique</t>
        </is>
      </c>
      <c r="M6742" t="inlineStr">
        <is>
          <t xml:space="preserve">Néant </t>
        </is>
      </c>
      <c r="N6742" t="inlineStr">
        <is>
          <t xml:space="preserve">Néant </t>
        </is>
      </c>
      <c r="O6742" t="inlineStr">
        <is>
          <t>Nc</t>
        </is>
      </c>
      <c r="R6742" s="22"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2" t="n">
        <v>7640</v>
      </c>
      <c r="K6743" t="inlineStr">
        <is>
          <t>Hydraulique</t>
        </is>
      </c>
      <c r="L6743" t="inlineStr">
        <is>
          <t>Hydraulique</t>
        </is>
      </c>
      <c r="M6743" t="inlineStr">
        <is>
          <t xml:space="preserve">Néant </t>
        </is>
      </c>
      <c r="N6743" t="inlineStr">
        <is>
          <t xml:space="preserve">Néant </t>
        </is>
      </c>
      <c r="O6743" t="inlineStr">
        <is>
          <t>Nc</t>
        </is>
      </c>
      <c r="R6743" s="22"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2" t="n">
        <v>7640</v>
      </c>
      <c r="K6744" t="inlineStr">
        <is>
          <t>Hydraulique</t>
        </is>
      </c>
      <c r="L6744" t="inlineStr">
        <is>
          <t>Hydraulique</t>
        </is>
      </c>
      <c r="M6744" t="inlineStr">
        <is>
          <t xml:space="preserve">Néant </t>
        </is>
      </c>
      <c r="N6744" t="inlineStr">
        <is>
          <t xml:space="preserve">Néant </t>
        </is>
      </c>
      <c r="O6744" t="inlineStr">
        <is>
          <t>Nc</t>
        </is>
      </c>
      <c r="R6744" s="22"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2" t="n">
        <v>7640</v>
      </c>
      <c r="K6745" t="inlineStr">
        <is>
          <t>Hydraulique</t>
        </is>
      </c>
      <c r="L6745" t="inlineStr">
        <is>
          <t>Hydraulique</t>
        </is>
      </c>
      <c r="M6745" t="inlineStr">
        <is>
          <t xml:space="preserve">Néant </t>
        </is>
      </c>
      <c r="N6745" t="inlineStr">
        <is>
          <t xml:space="preserve">Néant </t>
        </is>
      </c>
      <c r="O6745" t="inlineStr">
        <is>
          <t>Nc</t>
        </is>
      </c>
      <c r="R6745" s="22"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2" t="n">
        <v>7640</v>
      </c>
      <c r="K6746" t="inlineStr">
        <is>
          <t>Hydraulique</t>
        </is>
      </c>
      <c r="L6746" t="inlineStr">
        <is>
          <t>Hydraulique</t>
        </is>
      </c>
      <c r="M6746" t="inlineStr">
        <is>
          <t xml:space="preserve">Néant </t>
        </is>
      </c>
      <c r="N6746" t="inlineStr">
        <is>
          <t xml:space="preserve">Néant </t>
        </is>
      </c>
      <c r="O6746" t="inlineStr">
        <is>
          <t>Nc</t>
        </is>
      </c>
      <c r="R6746" s="22"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2"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2"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2"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2" t="n">
        <v>7396</v>
      </c>
      <c r="K6750" t="inlineStr">
        <is>
          <t>Santé</t>
        </is>
      </c>
      <c r="L6750" t="inlineStr">
        <is>
          <t>Santé</t>
        </is>
      </c>
      <c r="M6750" t="inlineStr">
        <is>
          <t xml:space="preserve">Néant </t>
        </is>
      </c>
      <c r="N6750" t="inlineStr">
        <is>
          <t xml:space="preserve">Néant </t>
        </is>
      </c>
      <c r="O6750" t="inlineStr">
        <is>
          <t>Nc</t>
        </is>
      </c>
      <c r="R6750" s="22"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2" t="n">
        <v>7518</v>
      </c>
      <c r="K6751" t="inlineStr">
        <is>
          <t>Santé</t>
        </is>
      </c>
      <c r="L6751" t="inlineStr">
        <is>
          <t>Santé</t>
        </is>
      </c>
      <c r="M6751" t="inlineStr">
        <is>
          <t xml:space="preserve">Néant </t>
        </is>
      </c>
      <c r="N6751" t="inlineStr">
        <is>
          <t xml:space="preserve">Néant </t>
        </is>
      </c>
      <c r="O6751" t="inlineStr">
        <is>
          <t>Nc</t>
        </is>
      </c>
      <c r="R6751" s="22"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2"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2" t="n">
        <v>7396</v>
      </c>
      <c r="K6753" t="inlineStr">
        <is>
          <t>Sports</t>
        </is>
      </c>
      <c r="L6753" t="inlineStr">
        <is>
          <t>Sports</t>
        </is>
      </c>
      <c r="M6753" t="inlineStr">
        <is>
          <t xml:space="preserve">Néant </t>
        </is>
      </c>
      <c r="N6753" t="inlineStr">
        <is>
          <t xml:space="preserve">Néant </t>
        </is>
      </c>
      <c r="O6753" t="inlineStr">
        <is>
          <t>Nc</t>
        </is>
      </c>
      <c r="R6753" s="22"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2" t="n">
        <v>7426</v>
      </c>
      <c r="K6754" t="inlineStr">
        <is>
          <t>Sports</t>
        </is>
      </c>
      <c r="L6754" t="inlineStr">
        <is>
          <t>Sports</t>
        </is>
      </c>
      <c r="M6754" t="inlineStr">
        <is>
          <t xml:space="preserve">Néant </t>
        </is>
      </c>
      <c r="N6754" t="inlineStr">
        <is>
          <t xml:space="preserve">Néant </t>
        </is>
      </c>
      <c r="O6754" t="inlineStr">
        <is>
          <t>Nc</t>
        </is>
      </c>
      <c r="R6754" s="22"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2" t="n">
        <v>7457</v>
      </c>
      <c r="K6755" t="inlineStr">
        <is>
          <t>Sports</t>
        </is>
      </c>
      <c r="L6755" t="inlineStr">
        <is>
          <t>Sports</t>
        </is>
      </c>
      <c r="M6755" t="inlineStr">
        <is>
          <t xml:space="preserve">Néant </t>
        </is>
      </c>
      <c r="N6755" t="inlineStr">
        <is>
          <t xml:space="preserve">Néant </t>
        </is>
      </c>
      <c r="O6755" t="inlineStr">
        <is>
          <t>Nc</t>
        </is>
      </c>
      <c r="R6755" s="22"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2" t="n">
        <v>7487</v>
      </c>
      <c r="K6756" t="inlineStr">
        <is>
          <t>Sports</t>
        </is>
      </c>
      <c r="L6756" t="inlineStr">
        <is>
          <t>Sports</t>
        </is>
      </c>
      <c r="M6756" t="inlineStr">
        <is>
          <t xml:space="preserve">Néant </t>
        </is>
      </c>
      <c r="N6756" t="inlineStr">
        <is>
          <t xml:space="preserve">Néant </t>
        </is>
      </c>
      <c r="O6756" t="inlineStr">
        <is>
          <t>Nc</t>
        </is>
      </c>
      <c r="R6756" s="22"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2" t="n">
        <v>7518</v>
      </c>
      <c r="K6757" t="inlineStr">
        <is>
          <t>Sports</t>
        </is>
      </c>
      <c r="L6757" t="inlineStr">
        <is>
          <t>Sports</t>
        </is>
      </c>
      <c r="M6757" t="inlineStr">
        <is>
          <t xml:space="preserve">Néant </t>
        </is>
      </c>
      <c r="N6757" t="inlineStr">
        <is>
          <t xml:space="preserve">Néant </t>
        </is>
      </c>
      <c r="O6757" t="inlineStr">
        <is>
          <t>Nc</t>
        </is>
      </c>
      <c r="R6757" s="22"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2"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2" t="n">
        <v>7579</v>
      </c>
      <c r="K6759" t="inlineStr">
        <is>
          <t>Sports</t>
        </is>
      </c>
      <c r="L6759" t="inlineStr">
        <is>
          <t>Sports</t>
        </is>
      </c>
      <c r="M6759" t="inlineStr">
        <is>
          <t xml:space="preserve">Néant </t>
        </is>
      </c>
      <c r="N6759" t="inlineStr">
        <is>
          <t xml:space="preserve">Néant </t>
        </is>
      </c>
      <c r="O6759" t="inlineStr">
        <is>
          <t>Nc</t>
        </is>
      </c>
      <c r="R6759" s="22"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2" t="n">
        <v>7610</v>
      </c>
      <c r="K6760" t="inlineStr">
        <is>
          <t>Sports</t>
        </is>
      </c>
      <c r="L6760" t="inlineStr">
        <is>
          <t>Sports</t>
        </is>
      </c>
      <c r="M6760" t="inlineStr">
        <is>
          <t xml:space="preserve">Néant </t>
        </is>
      </c>
      <c r="N6760" t="inlineStr">
        <is>
          <t xml:space="preserve">Néant </t>
        </is>
      </c>
      <c r="O6760" t="inlineStr">
        <is>
          <t>Nc</t>
        </is>
      </c>
      <c r="R6760" s="22"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2" t="n">
        <v>7640</v>
      </c>
      <c r="K6761" t="inlineStr">
        <is>
          <t>Sports</t>
        </is>
      </c>
      <c r="L6761" t="inlineStr">
        <is>
          <t>Sports</t>
        </is>
      </c>
      <c r="M6761" t="inlineStr">
        <is>
          <t xml:space="preserve">Néant </t>
        </is>
      </c>
      <c r="N6761" t="inlineStr">
        <is>
          <t xml:space="preserve">Néant </t>
        </is>
      </c>
      <c r="O6761" t="inlineStr">
        <is>
          <t>Nc</t>
        </is>
      </c>
      <c r="R6761" s="22"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2" t="n">
        <v>7640</v>
      </c>
      <c r="K6762" t="inlineStr">
        <is>
          <t>Sports</t>
        </is>
      </c>
      <c r="L6762" t="inlineStr">
        <is>
          <t>Sports</t>
        </is>
      </c>
      <c r="M6762" t="inlineStr">
        <is>
          <t xml:space="preserve">Néant </t>
        </is>
      </c>
      <c r="N6762" t="inlineStr">
        <is>
          <t xml:space="preserve">Néant </t>
        </is>
      </c>
      <c r="O6762" t="inlineStr">
        <is>
          <t>Nc</t>
        </is>
      </c>
      <c r="R6762" s="22"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2"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2"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2"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2" t="n">
        <v>-4416650</v>
      </c>
      <c r="K6766" s="23" t="n">
        <v>45364</v>
      </c>
      <c r="M6766" t="inlineStr">
        <is>
          <t>137687</t>
        </is>
      </c>
      <c r="N6766" t="inlineStr">
        <is>
          <t>N/A</t>
        </is>
      </c>
      <c r="O6766" t="inlineStr">
        <is>
          <t>N/A</t>
        </is>
      </c>
      <c r="P6766" t="inlineStr">
        <is>
          <t>Convention minère et Code minier (Fond Social et Fond d'appui au developpement local)</t>
        </is>
      </c>
      <c r="Q6766" t="inlineStr">
        <is>
          <t>NA</t>
        </is>
      </c>
      <c r="R6766" s="22"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2" t="n">
        <v>43891</v>
      </c>
      <c r="K6767" t="inlineStr">
        <is>
          <t>Social</t>
        </is>
      </c>
      <c r="L6767" t="inlineStr">
        <is>
          <t>Social</t>
        </is>
      </c>
      <c r="M6767" t="inlineStr">
        <is>
          <t xml:space="preserve">Néant </t>
        </is>
      </c>
      <c r="N6767" t="inlineStr">
        <is>
          <t xml:space="preserve">Néant </t>
        </is>
      </c>
      <c r="O6767" t="inlineStr">
        <is>
          <t>NC</t>
        </is>
      </c>
      <c r="R6767" s="22"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2" t="n">
        <v>44105</v>
      </c>
      <c r="K6768" t="inlineStr">
        <is>
          <t>Social</t>
        </is>
      </c>
      <c r="L6768" t="inlineStr">
        <is>
          <t>Social</t>
        </is>
      </c>
      <c r="M6768" t="inlineStr">
        <is>
          <t xml:space="preserve">Néant </t>
        </is>
      </c>
      <c r="N6768" t="inlineStr">
        <is>
          <t xml:space="preserve">Néant </t>
        </is>
      </c>
      <c r="O6768" t="inlineStr">
        <is>
          <t>NC</t>
        </is>
      </c>
      <c r="R6768" s="22"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2" t="n">
        <v>43971</v>
      </c>
      <c r="K6769" t="inlineStr">
        <is>
          <t>Social</t>
        </is>
      </c>
      <c r="L6769" t="inlineStr">
        <is>
          <t>Social</t>
        </is>
      </c>
      <c r="M6769" t="inlineStr">
        <is>
          <t xml:space="preserve">Néant </t>
        </is>
      </c>
      <c r="N6769" t="inlineStr">
        <is>
          <t xml:space="preserve">Néant </t>
        </is>
      </c>
      <c r="O6769" t="inlineStr">
        <is>
          <t>NC</t>
        </is>
      </c>
      <c r="R6769" s="22"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2" t="n">
        <v>44104</v>
      </c>
      <c r="K6770" t="inlineStr">
        <is>
          <t>Social</t>
        </is>
      </c>
      <c r="L6770" t="inlineStr">
        <is>
          <t>Social</t>
        </is>
      </c>
      <c r="M6770" t="inlineStr">
        <is>
          <t xml:space="preserve">Néant </t>
        </is>
      </c>
      <c r="N6770" t="inlineStr">
        <is>
          <t xml:space="preserve">Néant </t>
        </is>
      </c>
      <c r="O6770" t="inlineStr">
        <is>
          <t>NC</t>
        </is>
      </c>
      <c r="R6770" s="22"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2" t="n">
        <v>44196</v>
      </c>
      <c r="K6771" t="inlineStr">
        <is>
          <t>Social</t>
        </is>
      </c>
      <c r="L6771" t="inlineStr">
        <is>
          <t>Social</t>
        </is>
      </c>
      <c r="M6771" t="inlineStr">
        <is>
          <t xml:space="preserve">Néant </t>
        </is>
      </c>
      <c r="N6771" t="inlineStr">
        <is>
          <t xml:space="preserve">Néant </t>
        </is>
      </c>
      <c r="O6771" t="inlineStr">
        <is>
          <t>NC</t>
        </is>
      </c>
      <c r="R6771" s="22"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2" t="n">
        <v>44196</v>
      </c>
      <c r="K6772" t="inlineStr">
        <is>
          <t>Social</t>
        </is>
      </c>
      <c r="L6772" t="inlineStr">
        <is>
          <t>Social</t>
        </is>
      </c>
      <c r="M6772" t="inlineStr">
        <is>
          <t xml:space="preserve">Néant </t>
        </is>
      </c>
      <c r="N6772" t="inlineStr">
        <is>
          <t xml:space="preserve">Néant </t>
        </is>
      </c>
      <c r="O6772" t="inlineStr">
        <is>
          <t>NC</t>
        </is>
      </c>
      <c r="R6772" s="22"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2" t="n">
        <v>44196</v>
      </c>
      <c r="K6773" t="inlineStr">
        <is>
          <t>Social</t>
        </is>
      </c>
      <c r="L6773" t="inlineStr">
        <is>
          <t>Social</t>
        </is>
      </c>
      <c r="M6773" t="inlineStr">
        <is>
          <t xml:space="preserve">Néant </t>
        </is>
      </c>
      <c r="N6773" t="inlineStr">
        <is>
          <t xml:space="preserve">Néant </t>
        </is>
      </c>
      <c r="O6773" t="inlineStr">
        <is>
          <t>NC</t>
        </is>
      </c>
      <c r="R6773" s="22"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2" t="n">
        <v>43878</v>
      </c>
      <c r="K6774" t="inlineStr">
        <is>
          <t>Social</t>
        </is>
      </c>
      <c r="L6774" t="inlineStr">
        <is>
          <t>Social</t>
        </is>
      </c>
      <c r="M6774" t="inlineStr">
        <is>
          <t xml:space="preserve">Néant </t>
        </is>
      </c>
      <c r="N6774" t="inlineStr">
        <is>
          <t xml:space="preserve">Néant </t>
        </is>
      </c>
      <c r="O6774" t="inlineStr">
        <is>
          <t>NC</t>
        </is>
      </c>
      <c r="R6774" s="22"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2" t="n">
        <v>44014</v>
      </c>
      <c r="K6775" t="inlineStr">
        <is>
          <t>Social</t>
        </is>
      </c>
      <c r="L6775" t="inlineStr">
        <is>
          <t>Social</t>
        </is>
      </c>
      <c r="M6775" t="inlineStr">
        <is>
          <t xml:space="preserve">Néant </t>
        </is>
      </c>
      <c r="N6775" t="inlineStr">
        <is>
          <t xml:space="preserve">Néant </t>
        </is>
      </c>
      <c r="O6775" t="inlineStr">
        <is>
          <t>NC</t>
        </is>
      </c>
      <c r="R6775" s="22"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2" t="n">
        <v>44014</v>
      </c>
      <c r="K6776" t="inlineStr">
        <is>
          <t>Social</t>
        </is>
      </c>
      <c r="L6776" t="inlineStr">
        <is>
          <t>Social</t>
        </is>
      </c>
      <c r="M6776" t="inlineStr">
        <is>
          <t xml:space="preserve">Néant </t>
        </is>
      </c>
      <c r="N6776" t="inlineStr">
        <is>
          <t xml:space="preserve">Néant </t>
        </is>
      </c>
      <c r="O6776" t="inlineStr">
        <is>
          <t>NC</t>
        </is>
      </c>
      <c r="R6776" s="22"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2" t="n">
        <v>43863</v>
      </c>
      <c r="K6777" t="inlineStr">
        <is>
          <t>Social</t>
        </is>
      </c>
      <c r="L6777" t="inlineStr">
        <is>
          <t>Social</t>
        </is>
      </c>
      <c r="M6777" t="inlineStr">
        <is>
          <t xml:space="preserve">Néant </t>
        </is>
      </c>
      <c r="N6777" t="inlineStr">
        <is>
          <t xml:space="preserve">Néant </t>
        </is>
      </c>
      <c r="O6777" t="inlineStr">
        <is>
          <t>NC</t>
        </is>
      </c>
      <c r="R6777" s="22"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2" t="n">
        <v>44008</v>
      </c>
      <c r="K6778" t="inlineStr">
        <is>
          <t>Santé</t>
        </is>
      </c>
      <c r="L6778" t="inlineStr">
        <is>
          <t>Santé</t>
        </is>
      </c>
      <c r="M6778" t="inlineStr">
        <is>
          <t xml:space="preserve">Néant </t>
        </is>
      </c>
      <c r="N6778" t="inlineStr">
        <is>
          <t xml:space="preserve">Néant </t>
        </is>
      </c>
      <c r="O6778" t="inlineStr">
        <is>
          <t>NC</t>
        </is>
      </c>
      <c r="R6778" s="22"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2" t="n">
        <v>43969</v>
      </c>
      <c r="K6779" t="inlineStr">
        <is>
          <t>Social</t>
        </is>
      </c>
      <c r="L6779" t="inlineStr">
        <is>
          <t>Social</t>
        </is>
      </c>
      <c r="M6779" t="inlineStr">
        <is>
          <t xml:space="preserve">Néant </t>
        </is>
      </c>
      <c r="N6779" t="inlineStr">
        <is>
          <t xml:space="preserve">Néant </t>
        </is>
      </c>
      <c r="O6779" t="inlineStr">
        <is>
          <t>NC</t>
        </is>
      </c>
      <c r="R6779" s="22"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2" t="n">
        <v>44168</v>
      </c>
      <c r="K6780" t="inlineStr">
        <is>
          <t>Social</t>
        </is>
      </c>
      <c r="L6780" t="inlineStr">
        <is>
          <t>Social</t>
        </is>
      </c>
      <c r="M6780" t="inlineStr">
        <is>
          <t xml:space="preserve">Néant </t>
        </is>
      </c>
      <c r="N6780" t="inlineStr">
        <is>
          <t xml:space="preserve">Néant </t>
        </is>
      </c>
      <c r="O6780" t="inlineStr">
        <is>
          <t>NC</t>
        </is>
      </c>
      <c r="R6780" s="22"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2" t="n">
        <v>43918</v>
      </c>
      <c r="K6781" t="inlineStr">
        <is>
          <t>Social</t>
        </is>
      </c>
      <c r="L6781" t="inlineStr">
        <is>
          <t>Social</t>
        </is>
      </c>
      <c r="M6781" t="inlineStr">
        <is>
          <t xml:space="preserve">Néant </t>
        </is>
      </c>
      <c r="N6781" t="inlineStr">
        <is>
          <t xml:space="preserve">Néant </t>
        </is>
      </c>
      <c r="O6781" t="inlineStr">
        <is>
          <t>NC</t>
        </is>
      </c>
      <c r="R6781" s="22"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2" t="n">
        <v>43895</v>
      </c>
      <c r="K6782" t="inlineStr">
        <is>
          <t>Social</t>
        </is>
      </c>
      <c r="L6782" t="inlineStr">
        <is>
          <t>Social</t>
        </is>
      </c>
      <c r="M6782" t="inlineStr">
        <is>
          <t xml:space="preserve">Néant </t>
        </is>
      </c>
      <c r="N6782" t="inlineStr">
        <is>
          <t xml:space="preserve">Néant </t>
        </is>
      </c>
      <c r="O6782" t="inlineStr">
        <is>
          <t>NC</t>
        </is>
      </c>
      <c r="R6782" s="22"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2" t="n">
        <v>43895</v>
      </c>
      <c r="K6783" t="inlineStr">
        <is>
          <t>Social</t>
        </is>
      </c>
      <c r="L6783" t="inlineStr">
        <is>
          <t>Social</t>
        </is>
      </c>
      <c r="M6783" t="inlineStr">
        <is>
          <t xml:space="preserve">Néant </t>
        </is>
      </c>
      <c r="N6783" t="inlineStr">
        <is>
          <t xml:space="preserve">Néant </t>
        </is>
      </c>
      <c r="O6783" t="inlineStr">
        <is>
          <t>NC</t>
        </is>
      </c>
      <c r="R6783" s="22"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2" t="n">
        <v>44014</v>
      </c>
      <c r="K6784" t="inlineStr">
        <is>
          <t>Social</t>
        </is>
      </c>
      <c r="L6784" t="inlineStr">
        <is>
          <t>Social</t>
        </is>
      </c>
      <c r="M6784" t="inlineStr">
        <is>
          <t xml:space="preserve">Néant </t>
        </is>
      </c>
      <c r="N6784" t="inlineStr">
        <is>
          <t xml:space="preserve">Néant </t>
        </is>
      </c>
      <c r="O6784" t="inlineStr">
        <is>
          <t>NC</t>
        </is>
      </c>
      <c r="R6784" s="22"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2" t="n">
        <v>44105</v>
      </c>
      <c r="K6785" t="inlineStr">
        <is>
          <t>Social</t>
        </is>
      </c>
      <c r="L6785" t="inlineStr">
        <is>
          <t>Social</t>
        </is>
      </c>
      <c r="M6785" t="inlineStr">
        <is>
          <t xml:space="preserve">Néant </t>
        </is>
      </c>
      <c r="N6785" t="inlineStr">
        <is>
          <t xml:space="preserve">Néant </t>
        </is>
      </c>
      <c r="O6785" t="inlineStr">
        <is>
          <t>NC</t>
        </is>
      </c>
      <c r="R6785" s="22"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2" t="n">
        <v>43932</v>
      </c>
      <c r="K6786" t="inlineStr">
        <is>
          <t>Social</t>
        </is>
      </c>
      <c r="L6786" t="inlineStr">
        <is>
          <t>Social</t>
        </is>
      </c>
      <c r="M6786" t="inlineStr">
        <is>
          <t xml:space="preserve">Néant </t>
        </is>
      </c>
      <c r="N6786" t="inlineStr">
        <is>
          <t xml:space="preserve">Néant </t>
        </is>
      </c>
      <c r="O6786" t="inlineStr">
        <is>
          <t>NC</t>
        </is>
      </c>
      <c r="R6786" s="22"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2"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2" t="n">
        <v>-4625002.47</v>
      </c>
      <c r="K6788" s="23" t="n">
        <v>45350</v>
      </c>
      <c r="M6788" t="inlineStr">
        <is>
          <t>137715AA</t>
        </is>
      </c>
      <c r="N6788" t="inlineStr">
        <is>
          <t>N/A</t>
        </is>
      </c>
      <c r="O6788" t="inlineStr">
        <is>
          <t>N/A</t>
        </is>
      </c>
      <c r="P6788" t="inlineStr">
        <is>
          <t>Convention minère et Code minier (Fond Social et Fond d'appui au developpement local)</t>
        </is>
      </c>
      <c r="Q6788" t="inlineStr">
        <is>
          <t>NA</t>
        </is>
      </c>
      <c r="R6788" s="22"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2" t="n">
        <v>43937</v>
      </c>
      <c r="K6789" t="inlineStr">
        <is>
          <t>SANTE</t>
        </is>
      </c>
      <c r="L6789" t="inlineStr">
        <is>
          <t>N/A</t>
        </is>
      </c>
      <c r="M6789" t="inlineStr">
        <is>
          <t>N/A</t>
        </is>
      </c>
      <c r="N6789" t="inlineStr">
        <is>
          <t>N/A</t>
        </is>
      </c>
      <c r="O6789" t="inlineStr">
        <is>
          <t>NC</t>
        </is>
      </c>
      <c r="R6789" s="22"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2" t="n">
        <v>44036</v>
      </c>
      <c r="K6790" t="inlineStr">
        <is>
          <t>SANTE</t>
        </is>
      </c>
      <c r="L6790" t="inlineStr">
        <is>
          <t>N/A</t>
        </is>
      </c>
      <c r="M6790" t="inlineStr">
        <is>
          <t>N/A</t>
        </is>
      </c>
      <c r="N6790" t="inlineStr">
        <is>
          <t>N/A</t>
        </is>
      </c>
      <c r="O6790" t="inlineStr">
        <is>
          <t>NC</t>
        </is>
      </c>
      <c r="R6790" s="22"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2" t="n">
        <v>44180</v>
      </c>
      <c r="K6791" t="inlineStr">
        <is>
          <t>SANTE</t>
        </is>
      </c>
      <c r="L6791" t="inlineStr">
        <is>
          <t>N/A</t>
        </is>
      </c>
      <c r="M6791" t="inlineStr">
        <is>
          <t>N/A</t>
        </is>
      </c>
      <c r="N6791" t="inlineStr">
        <is>
          <t>N/A</t>
        </is>
      </c>
      <c r="O6791" t="inlineStr">
        <is>
          <t>NC</t>
        </is>
      </c>
      <c r="R6791" s="22"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2" t="n">
        <v>-4818224</v>
      </c>
      <c r="K6792" t="inlineStr">
        <is>
          <t>31/12/2023</t>
        </is>
      </c>
      <c r="L6792" t="inlineStr">
        <is>
          <t>Appuis divers</t>
        </is>
      </c>
      <c r="R6792" s="22"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2" t="n">
        <v>43943</v>
      </c>
      <c r="K6793" t="inlineStr">
        <is>
          <t>SANTE</t>
        </is>
      </c>
      <c r="L6793" t="inlineStr">
        <is>
          <t>N/A</t>
        </is>
      </c>
      <c r="M6793" t="inlineStr">
        <is>
          <t>N/A</t>
        </is>
      </c>
      <c r="N6793" t="inlineStr">
        <is>
          <t>N/A</t>
        </is>
      </c>
      <c r="O6793" t="inlineStr">
        <is>
          <t>NC</t>
        </is>
      </c>
      <c r="R6793" s="22"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2" t="n">
        <v>43943</v>
      </c>
      <c r="K6794" t="inlineStr">
        <is>
          <t>SANTE</t>
        </is>
      </c>
      <c r="L6794" t="inlineStr">
        <is>
          <t>N/A</t>
        </is>
      </c>
      <c r="M6794" t="inlineStr">
        <is>
          <t>N/A</t>
        </is>
      </c>
      <c r="N6794" t="inlineStr">
        <is>
          <t>N/A</t>
        </is>
      </c>
      <c r="O6794" t="inlineStr">
        <is>
          <t>NC</t>
        </is>
      </c>
      <c r="R6794" s="22"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2" t="n">
        <v>-5000000</v>
      </c>
      <c r="K6795" t="inlineStr">
        <is>
          <t>2024-01-12</t>
        </is>
      </c>
      <c r="L6795" t="inlineStr">
        <is>
          <t>Appuis divers</t>
        </is>
      </c>
      <c r="R6795" s="22"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2" t="n">
        <v>-5000000</v>
      </c>
      <c r="K6796" t="inlineStr">
        <is>
          <t>07/12/2023</t>
        </is>
      </c>
      <c r="L6796" t="inlineStr">
        <is>
          <t>Appuis divers</t>
        </is>
      </c>
      <c r="R6796" s="22"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2" t="n">
        <v>44189</v>
      </c>
      <c r="K6797" t="inlineStr">
        <is>
          <t>EDUCATION</t>
        </is>
      </c>
      <c r="L6797" t="inlineStr">
        <is>
          <t>N/A</t>
        </is>
      </c>
      <c r="M6797" t="inlineStr">
        <is>
          <t>N/A</t>
        </is>
      </c>
      <c r="N6797" t="inlineStr">
        <is>
          <t>N/A</t>
        </is>
      </c>
      <c r="O6797" t="inlineStr">
        <is>
          <t>NC</t>
        </is>
      </c>
      <c r="R6797" s="22"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2" t="n">
        <v>44028</v>
      </c>
      <c r="K6798" t="inlineStr">
        <is>
          <t>SPORTS</t>
        </is>
      </c>
      <c r="L6798" t="inlineStr">
        <is>
          <t>N/A</t>
        </is>
      </c>
      <c r="M6798" t="inlineStr">
        <is>
          <t>N/A</t>
        </is>
      </c>
      <c r="N6798" t="inlineStr">
        <is>
          <t>N/A</t>
        </is>
      </c>
      <c r="O6798" t="inlineStr">
        <is>
          <t>NC</t>
        </is>
      </c>
      <c r="R6798" s="22"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2"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2" t="n">
        <v>-5335316</v>
      </c>
      <c r="K6800" t="inlineStr">
        <is>
          <t>31/10/2023</t>
        </is>
      </c>
      <c r="L6800" t="inlineStr">
        <is>
          <t>Appuis divers</t>
        </is>
      </c>
      <c r="R6800" s="22"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2" t="n">
        <v>-5900000</v>
      </c>
      <c r="K6801" s="23" t="n">
        <v>45464</v>
      </c>
      <c r="M6801" t="inlineStr">
        <is>
          <t>139723</t>
        </is>
      </c>
      <c r="N6801" t="inlineStr">
        <is>
          <t>N/A</t>
        </is>
      </c>
      <c r="O6801" t="inlineStr">
        <is>
          <t>N/A</t>
        </is>
      </c>
      <c r="P6801" t="inlineStr">
        <is>
          <t>Convention minère et Code minier (Fond Social et Fond d'appui au developpement local)</t>
        </is>
      </c>
      <c r="Q6801" t="inlineStr">
        <is>
          <t>NA</t>
        </is>
      </c>
      <c r="R6801" s="22"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2" t="n">
        <v>-6075000</v>
      </c>
      <c r="K6802" s="23" t="n">
        <v>45626</v>
      </c>
      <c r="M6802" t="inlineStr">
        <is>
          <t>139058</t>
        </is>
      </c>
      <c r="N6802" t="inlineStr">
        <is>
          <t>N/A</t>
        </is>
      </c>
      <c r="O6802" t="inlineStr">
        <is>
          <t>N/A</t>
        </is>
      </c>
      <c r="P6802" t="inlineStr">
        <is>
          <t>Convention minère et Code minier (Fond Social et Fond d'appui au developpement local)</t>
        </is>
      </c>
      <c r="Q6802" t="inlineStr">
        <is>
          <t>NA</t>
        </is>
      </c>
      <c r="R6802" s="22"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2" t="n">
        <v>-7000000</v>
      </c>
      <c r="K6803" t="inlineStr">
        <is>
          <t>13/06/2023</t>
        </is>
      </c>
      <c r="L6803" t="inlineStr">
        <is>
          <t>Appuis divers</t>
        </is>
      </c>
      <c r="R6803" s="22"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2" t="n">
        <v>-7689500</v>
      </c>
      <c r="K6804" t="inlineStr">
        <is>
          <t>31/08/2023</t>
        </is>
      </c>
      <c r="L6804" t="inlineStr">
        <is>
          <t>Appuis divers</t>
        </is>
      </c>
      <c r="R6804" s="22"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2" t="n">
        <v>-7801643</v>
      </c>
      <c r="K6805" t="inlineStr">
        <is>
          <t>30/11/2023</t>
        </is>
      </c>
      <c r="L6805" t="inlineStr">
        <is>
          <t>Appuis divers</t>
        </is>
      </c>
      <c r="R6805" s="22"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2" t="n">
        <v>-13500000</v>
      </c>
      <c r="K6806" t="inlineStr">
        <is>
          <t>11/10/2023</t>
        </is>
      </c>
      <c r="L6806" t="inlineStr">
        <is>
          <t>Appuis divers</t>
        </is>
      </c>
      <c r="R6806" s="22"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23"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2"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2026-07-13T18:08:15Z</dcterms:modified>
  <cp:lastModifiedBy>sie rachid traore</cp:lastModifiedBy>
</cp:coreProperties>
</file>